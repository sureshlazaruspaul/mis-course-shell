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es\Downloads\"/>
    </mc:Choice>
  </mc:AlternateContent>
  <xr:revisionPtr revIDLastSave="0" documentId="13_ncr:1_{88268436-0E54-4EC2-B4EA-42CDE08D1EB6}" xr6:coauthVersionLast="47" xr6:coauthVersionMax="47" xr10:uidLastSave="{00000000-0000-0000-0000-000000000000}"/>
  <bookViews>
    <workbookView xWindow="-120" yWindow="-120" windowWidth="57840" windowHeight="15720" xr2:uid="{76817422-0036-4F06-8202-E43D24F71C65}"/>
  </bookViews>
  <sheets>
    <sheet name="tsla_stock_pr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O917" i="1"/>
  <c r="M4" i="1"/>
  <c r="O4" i="1" s="1"/>
  <c r="M5" i="1"/>
  <c r="O5" i="1" s="1"/>
  <c r="M6" i="1"/>
  <c r="O6" i="1" s="1"/>
  <c r="M7" i="1"/>
  <c r="O7" i="1" s="1"/>
  <c r="M8" i="1"/>
  <c r="O8" i="1" s="1"/>
  <c r="M9" i="1"/>
  <c r="O9" i="1" s="1"/>
  <c r="M10" i="1"/>
  <c r="O10" i="1" s="1"/>
  <c r="M11" i="1"/>
  <c r="O11" i="1" s="1"/>
  <c r="M12" i="1"/>
  <c r="O12" i="1" s="1"/>
  <c r="M13" i="1"/>
  <c r="O13" i="1" s="1"/>
  <c r="M14" i="1"/>
  <c r="O14" i="1" s="1"/>
  <c r="M15" i="1"/>
  <c r="O15" i="1" s="1"/>
  <c r="M16" i="1"/>
  <c r="O16" i="1" s="1"/>
  <c r="M17" i="1"/>
  <c r="O17" i="1" s="1"/>
  <c r="M18" i="1"/>
  <c r="O18" i="1" s="1"/>
  <c r="M19" i="1"/>
  <c r="O19" i="1" s="1"/>
  <c r="M20" i="1"/>
  <c r="O20" i="1" s="1"/>
  <c r="M21" i="1"/>
  <c r="O21" i="1" s="1"/>
  <c r="M22" i="1"/>
  <c r="O22" i="1" s="1"/>
  <c r="M23" i="1"/>
  <c r="O23" i="1" s="1"/>
  <c r="M24" i="1"/>
  <c r="O24" i="1" s="1"/>
  <c r="M25" i="1"/>
  <c r="O25" i="1" s="1"/>
  <c r="M26" i="1"/>
  <c r="O26" i="1" s="1"/>
  <c r="M27" i="1"/>
  <c r="O27" i="1" s="1"/>
  <c r="M28" i="1"/>
  <c r="O28" i="1" s="1"/>
  <c r="M29" i="1"/>
  <c r="O29" i="1" s="1"/>
  <c r="M30" i="1"/>
  <c r="O30" i="1" s="1"/>
  <c r="M31" i="1"/>
  <c r="O31" i="1" s="1"/>
  <c r="M32" i="1"/>
  <c r="O32" i="1" s="1"/>
  <c r="M33" i="1"/>
  <c r="O33" i="1" s="1"/>
  <c r="M34" i="1"/>
  <c r="O34" i="1" s="1"/>
  <c r="M35" i="1"/>
  <c r="O35" i="1" s="1"/>
  <c r="M36" i="1"/>
  <c r="O36" i="1" s="1"/>
  <c r="M37" i="1"/>
  <c r="O37" i="1" s="1"/>
  <c r="M38" i="1"/>
  <c r="O38" i="1" s="1"/>
  <c r="M39" i="1"/>
  <c r="O39" i="1" s="1"/>
  <c r="M40" i="1"/>
  <c r="O40" i="1" s="1"/>
  <c r="M41" i="1"/>
  <c r="O41" i="1" s="1"/>
  <c r="M42" i="1"/>
  <c r="O42" i="1" s="1"/>
  <c r="M43" i="1"/>
  <c r="O43" i="1" s="1"/>
  <c r="M44" i="1"/>
  <c r="O44" i="1" s="1"/>
  <c r="M45" i="1"/>
  <c r="O45" i="1" s="1"/>
  <c r="M46" i="1"/>
  <c r="O46" i="1" s="1"/>
  <c r="M47" i="1"/>
  <c r="O47" i="1" s="1"/>
  <c r="M48" i="1"/>
  <c r="O48" i="1" s="1"/>
  <c r="M49" i="1"/>
  <c r="O49" i="1" s="1"/>
  <c r="M50" i="1"/>
  <c r="O50" i="1" s="1"/>
  <c r="M51" i="1"/>
  <c r="O51" i="1" s="1"/>
  <c r="M52" i="1"/>
  <c r="O52" i="1" s="1"/>
  <c r="M53" i="1"/>
  <c r="O53" i="1" s="1"/>
  <c r="M54" i="1"/>
  <c r="O54" i="1" s="1"/>
  <c r="M55" i="1"/>
  <c r="O55" i="1" s="1"/>
  <c r="M56" i="1"/>
  <c r="O56" i="1" s="1"/>
  <c r="M57" i="1"/>
  <c r="O57" i="1" s="1"/>
  <c r="M58" i="1"/>
  <c r="O58" i="1" s="1"/>
  <c r="M59" i="1"/>
  <c r="O59" i="1" s="1"/>
  <c r="M60" i="1"/>
  <c r="O60" i="1" s="1"/>
  <c r="M61" i="1"/>
  <c r="O61" i="1" s="1"/>
  <c r="M62" i="1"/>
  <c r="O62" i="1" s="1"/>
  <c r="M63" i="1"/>
  <c r="O63" i="1" s="1"/>
  <c r="M64" i="1"/>
  <c r="O64" i="1" s="1"/>
  <c r="M65" i="1"/>
  <c r="O65" i="1" s="1"/>
  <c r="M66" i="1"/>
  <c r="O66" i="1" s="1"/>
  <c r="M67" i="1"/>
  <c r="O67" i="1" s="1"/>
  <c r="M68" i="1"/>
  <c r="O68" i="1" s="1"/>
  <c r="M69" i="1"/>
  <c r="O69" i="1" s="1"/>
  <c r="M70" i="1"/>
  <c r="O70" i="1" s="1"/>
  <c r="M71" i="1"/>
  <c r="O71" i="1" s="1"/>
  <c r="M72" i="1"/>
  <c r="O72" i="1" s="1"/>
  <c r="M73" i="1"/>
  <c r="O73" i="1" s="1"/>
  <c r="M74" i="1"/>
  <c r="O74" i="1" s="1"/>
  <c r="M75" i="1"/>
  <c r="O75" i="1" s="1"/>
  <c r="M76" i="1"/>
  <c r="O76" i="1" s="1"/>
  <c r="M77" i="1"/>
  <c r="O77" i="1" s="1"/>
  <c r="M78" i="1"/>
  <c r="O78" i="1" s="1"/>
  <c r="M79" i="1"/>
  <c r="O79" i="1" s="1"/>
  <c r="M80" i="1"/>
  <c r="O80" i="1" s="1"/>
  <c r="M81" i="1"/>
  <c r="O81" i="1" s="1"/>
  <c r="M82" i="1"/>
  <c r="O82" i="1" s="1"/>
  <c r="M83" i="1"/>
  <c r="O83" i="1" s="1"/>
  <c r="M84" i="1"/>
  <c r="O84" i="1" s="1"/>
  <c r="M85" i="1"/>
  <c r="O85" i="1" s="1"/>
  <c r="M86" i="1"/>
  <c r="O86" i="1" s="1"/>
  <c r="M87" i="1"/>
  <c r="O87" i="1" s="1"/>
  <c r="M88" i="1"/>
  <c r="O88" i="1" s="1"/>
  <c r="M89" i="1"/>
  <c r="O89" i="1" s="1"/>
  <c r="M90" i="1"/>
  <c r="O90" i="1" s="1"/>
  <c r="M91" i="1"/>
  <c r="O91" i="1" s="1"/>
  <c r="M92" i="1"/>
  <c r="O92" i="1" s="1"/>
  <c r="M93" i="1"/>
  <c r="O93" i="1" s="1"/>
  <c r="M94" i="1"/>
  <c r="O94" i="1" s="1"/>
  <c r="M95" i="1"/>
  <c r="O95" i="1" s="1"/>
  <c r="M96" i="1"/>
  <c r="O96" i="1" s="1"/>
  <c r="M97" i="1"/>
  <c r="O97" i="1" s="1"/>
  <c r="M98" i="1"/>
  <c r="O98" i="1" s="1"/>
  <c r="M99" i="1"/>
  <c r="O99" i="1" s="1"/>
  <c r="M100" i="1"/>
  <c r="O100" i="1" s="1"/>
  <c r="M101" i="1"/>
  <c r="O101" i="1" s="1"/>
  <c r="M102" i="1"/>
  <c r="O102" i="1" s="1"/>
  <c r="M103" i="1"/>
  <c r="O103" i="1" s="1"/>
  <c r="M104" i="1"/>
  <c r="O104" i="1" s="1"/>
  <c r="M105" i="1"/>
  <c r="O105" i="1" s="1"/>
  <c r="M106" i="1"/>
  <c r="O106" i="1" s="1"/>
  <c r="M107" i="1"/>
  <c r="O107" i="1" s="1"/>
  <c r="M108" i="1"/>
  <c r="O108" i="1" s="1"/>
  <c r="M109" i="1"/>
  <c r="O109" i="1" s="1"/>
  <c r="M110" i="1"/>
  <c r="O110" i="1" s="1"/>
  <c r="M111" i="1"/>
  <c r="O111" i="1" s="1"/>
  <c r="M112" i="1"/>
  <c r="O112" i="1" s="1"/>
  <c r="M113" i="1"/>
  <c r="O113" i="1" s="1"/>
  <c r="M114" i="1"/>
  <c r="O114" i="1" s="1"/>
  <c r="M115" i="1"/>
  <c r="O115" i="1" s="1"/>
  <c r="M116" i="1"/>
  <c r="O116" i="1" s="1"/>
  <c r="M117" i="1"/>
  <c r="O117" i="1" s="1"/>
  <c r="M118" i="1"/>
  <c r="O118" i="1" s="1"/>
  <c r="M119" i="1"/>
  <c r="O119" i="1" s="1"/>
  <c r="M120" i="1"/>
  <c r="O120" i="1" s="1"/>
  <c r="M121" i="1"/>
  <c r="O121" i="1" s="1"/>
  <c r="M122" i="1"/>
  <c r="O122" i="1" s="1"/>
  <c r="M123" i="1"/>
  <c r="O123" i="1" s="1"/>
  <c r="M124" i="1"/>
  <c r="O124" i="1" s="1"/>
  <c r="M125" i="1"/>
  <c r="O125" i="1" s="1"/>
  <c r="M126" i="1"/>
  <c r="O126" i="1" s="1"/>
  <c r="M127" i="1"/>
  <c r="O127" i="1" s="1"/>
  <c r="M128" i="1"/>
  <c r="O128" i="1" s="1"/>
  <c r="M129" i="1"/>
  <c r="O129" i="1" s="1"/>
  <c r="M130" i="1"/>
  <c r="O130" i="1" s="1"/>
  <c r="M131" i="1"/>
  <c r="O131" i="1" s="1"/>
  <c r="M132" i="1"/>
  <c r="O132" i="1" s="1"/>
  <c r="M133" i="1"/>
  <c r="O133" i="1" s="1"/>
  <c r="M134" i="1"/>
  <c r="O134" i="1" s="1"/>
  <c r="M135" i="1"/>
  <c r="O135" i="1" s="1"/>
  <c r="M136" i="1"/>
  <c r="O136" i="1" s="1"/>
  <c r="M137" i="1"/>
  <c r="O137" i="1" s="1"/>
  <c r="M138" i="1"/>
  <c r="O138" i="1" s="1"/>
  <c r="M139" i="1"/>
  <c r="O139" i="1" s="1"/>
  <c r="M140" i="1"/>
  <c r="O140" i="1" s="1"/>
  <c r="M141" i="1"/>
  <c r="O141" i="1" s="1"/>
  <c r="M142" i="1"/>
  <c r="O142" i="1" s="1"/>
  <c r="M143" i="1"/>
  <c r="O143" i="1" s="1"/>
  <c r="M144" i="1"/>
  <c r="O144" i="1" s="1"/>
  <c r="M145" i="1"/>
  <c r="O145" i="1" s="1"/>
  <c r="M146" i="1"/>
  <c r="O146" i="1" s="1"/>
  <c r="M147" i="1"/>
  <c r="O147" i="1" s="1"/>
  <c r="M148" i="1"/>
  <c r="O148" i="1" s="1"/>
  <c r="M149" i="1"/>
  <c r="O149" i="1" s="1"/>
  <c r="M150" i="1"/>
  <c r="O150" i="1" s="1"/>
  <c r="M151" i="1"/>
  <c r="O151" i="1" s="1"/>
  <c r="M152" i="1"/>
  <c r="O152" i="1" s="1"/>
  <c r="M153" i="1"/>
  <c r="O153" i="1" s="1"/>
  <c r="M154" i="1"/>
  <c r="O154" i="1" s="1"/>
  <c r="M155" i="1"/>
  <c r="O155" i="1" s="1"/>
  <c r="M156" i="1"/>
  <c r="O156" i="1" s="1"/>
  <c r="M157" i="1"/>
  <c r="O157" i="1" s="1"/>
  <c r="M158" i="1"/>
  <c r="O158" i="1" s="1"/>
  <c r="M159" i="1"/>
  <c r="O159" i="1" s="1"/>
  <c r="M160" i="1"/>
  <c r="O160" i="1" s="1"/>
  <c r="M161" i="1"/>
  <c r="O161" i="1" s="1"/>
  <c r="M162" i="1"/>
  <c r="O162" i="1" s="1"/>
  <c r="M163" i="1"/>
  <c r="O163" i="1" s="1"/>
  <c r="M164" i="1"/>
  <c r="O164" i="1" s="1"/>
  <c r="M165" i="1"/>
  <c r="O165" i="1" s="1"/>
  <c r="M166" i="1"/>
  <c r="O166" i="1" s="1"/>
  <c r="M167" i="1"/>
  <c r="O167" i="1" s="1"/>
  <c r="M168" i="1"/>
  <c r="O168" i="1" s="1"/>
  <c r="M169" i="1"/>
  <c r="O169" i="1" s="1"/>
  <c r="M170" i="1"/>
  <c r="O170" i="1" s="1"/>
  <c r="M171" i="1"/>
  <c r="O171" i="1" s="1"/>
  <c r="M172" i="1"/>
  <c r="O172" i="1" s="1"/>
  <c r="M173" i="1"/>
  <c r="O173" i="1" s="1"/>
  <c r="M174" i="1"/>
  <c r="O174" i="1" s="1"/>
  <c r="M175" i="1"/>
  <c r="O175" i="1" s="1"/>
  <c r="M176" i="1"/>
  <c r="O176" i="1" s="1"/>
  <c r="M177" i="1"/>
  <c r="O177" i="1" s="1"/>
  <c r="M178" i="1"/>
  <c r="O178" i="1" s="1"/>
  <c r="M179" i="1"/>
  <c r="O179" i="1" s="1"/>
  <c r="M180" i="1"/>
  <c r="O180" i="1" s="1"/>
  <c r="M181" i="1"/>
  <c r="O181" i="1" s="1"/>
  <c r="M182" i="1"/>
  <c r="O182" i="1" s="1"/>
  <c r="M183" i="1"/>
  <c r="O183" i="1" s="1"/>
  <c r="M184" i="1"/>
  <c r="O184" i="1" s="1"/>
  <c r="M185" i="1"/>
  <c r="O185" i="1" s="1"/>
  <c r="M186" i="1"/>
  <c r="O186" i="1" s="1"/>
  <c r="M187" i="1"/>
  <c r="O187" i="1" s="1"/>
  <c r="M188" i="1"/>
  <c r="O188" i="1" s="1"/>
  <c r="M189" i="1"/>
  <c r="O189" i="1" s="1"/>
  <c r="M190" i="1"/>
  <c r="O190" i="1" s="1"/>
  <c r="M191" i="1"/>
  <c r="O191" i="1" s="1"/>
  <c r="M192" i="1"/>
  <c r="O192" i="1" s="1"/>
  <c r="M193" i="1"/>
  <c r="O193" i="1" s="1"/>
  <c r="M194" i="1"/>
  <c r="O194" i="1" s="1"/>
  <c r="M195" i="1"/>
  <c r="O195" i="1" s="1"/>
  <c r="M196" i="1"/>
  <c r="O196" i="1" s="1"/>
  <c r="M197" i="1"/>
  <c r="O197" i="1" s="1"/>
  <c r="M198" i="1"/>
  <c r="O198" i="1" s="1"/>
  <c r="M199" i="1"/>
  <c r="O199" i="1" s="1"/>
  <c r="M200" i="1"/>
  <c r="O200" i="1" s="1"/>
  <c r="M201" i="1"/>
  <c r="O201" i="1" s="1"/>
  <c r="M202" i="1"/>
  <c r="O202" i="1" s="1"/>
  <c r="M203" i="1"/>
  <c r="O203" i="1" s="1"/>
  <c r="M204" i="1"/>
  <c r="O204" i="1" s="1"/>
  <c r="M205" i="1"/>
  <c r="O205" i="1" s="1"/>
  <c r="M206" i="1"/>
  <c r="O206" i="1" s="1"/>
  <c r="M207" i="1"/>
  <c r="O207" i="1" s="1"/>
  <c r="M208" i="1"/>
  <c r="O208" i="1" s="1"/>
  <c r="M209" i="1"/>
  <c r="O209" i="1" s="1"/>
  <c r="M210" i="1"/>
  <c r="O210" i="1" s="1"/>
  <c r="M211" i="1"/>
  <c r="O211" i="1" s="1"/>
  <c r="M212" i="1"/>
  <c r="O212" i="1" s="1"/>
  <c r="M213" i="1"/>
  <c r="O213" i="1" s="1"/>
  <c r="M214" i="1"/>
  <c r="O214" i="1" s="1"/>
  <c r="M215" i="1"/>
  <c r="O215" i="1" s="1"/>
  <c r="M216" i="1"/>
  <c r="O216" i="1" s="1"/>
  <c r="M217" i="1"/>
  <c r="O217" i="1" s="1"/>
  <c r="M218" i="1"/>
  <c r="O218" i="1" s="1"/>
  <c r="M219" i="1"/>
  <c r="O219" i="1" s="1"/>
  <c r="M220" i="1"/>
  <c r="O220" i="1" s="1"/>
  <c r="M221" i="1"/>
  <c r="O221" i="1" s="1"/>
  <c r="M222" i="1"/>
  <c r="O222" i="1" s="1"/>
  <c r="M223" i="1"/>
  <c r="O223" i="1" s="1"/>
  <c r="M224" i="1"/>
  <c r="O224" i="1" s="1"/>
  <c r="M225" i="1"/>
  <c r="O225" i="1" s="1"/>
  <c r="M226" i="1"/>
  <c r="O226" i="1" s="1"/>
  <c r="M227" i="1"/>
  <c r="O227" i="1" s="1"/>
  <c r="M228" i="1"/>
  <c r="O228" i="1" s="1"/>
  <c r="M229" i="1"/>
  <c r="O229" i="1" s="1"/>
  <c r="M230" i="1"/>
  <c r="O230" i="1" s="1"/>
  <c r="M231" i="1"/>
  <c r="O231" i="1" s="1"/>
  <c r="M232" i="1"/>
  <c r="O232" i="1" s="1"/>
  <c r="M233" i="1"/>
  <c r="O233" i="1" s="1"/>
  <c r="M234" i="1"/>
  <c r="O234" i="1" s="1"/>
  <c r="M235" i="1"/>
  <c r="O235" i="1" s="1"/>
  <c r="M236" i="1"/>
  <c r="O236" i="1" s="1"/>
  <c r="M237" i="1"/>
  <c r="O237" i="1" s="1"/>
  <c r="M238" i="1"/>
  <c r="O238" i="1" s="1"/>
  <c r="M239" i="1"/>
  <c r="O239" i="1" s="1"/>
  <c r="M240" i="1"/>
  <c r="O240" i="1" s="1"/>
  <c r="M241" i="1"/>
  <c r="O241" i="1" s="1"/>
  <c r="M242" i="1"/>
  <c r="O242" i="1" s="1"/>
  <c r="M243" i="1"/>
  <c r="O243" i="1" s="1"/>
  <c r="M244" i="1"/>
  <c r="O244" i="1" s="1"/>
  <c r="M245" i="1"/>
  <c r="O245" i="1" s="1"/>
  <c r="M246" i="1"/>
  <c r="O246" i="1" s="1"/>
  <c r="M247" i="1"/>
  <c r="O247" i="1" s="1"/>
  <c r="M248" i="1"/>
  <c r="O248" i="1" s="1"/>
  <c r="M249" i="1"/>
  <c r="O249" i="1" s="1"/>
  <c r="M250" i="1"/>
  <c r="O250" i="1" s="1"/>
  <c r="M251" i="1"/>
  <c r="O251" i="1" s="1"/>
  <c r="M252" i="1"/>
  <c r="O252" i="1" s="1"/>
  <c r="M253" i="1"/>
  <c r="O253" i="1" s="1"/>
  <c r="M254" i="1"/>
  <c r="O254" i="1" s="1"/>
  <c r="M255" i="1"/>
  <c r="O255" i="1" s="1"/>
  <c r="M256" i="1"/>
  <c r="O256" i="1" s="1"/>
  <c r="M257" i="1"/>
  <c r="O257" i="1" s="1"/>
  <c r="M258" i="1"/>
  <c r="O258" i="1" s="1"/>
  <c r="M259" i="1"/>
  <c r="O259" i="1" s="1"/>
  <c r="M260" i="1"/>
  <c r="O260" i="1" s="1"/>
  <c r="M261" i="1"/>
  <c r="O261" i="1" s="1"/>
  <c r="M262" i="1"/>
  <c r="O262" i="1" s="1"/>
  <c r="M263" i="1"/>
  <c r="O263" i="1" s="1"/>
  <c r="M264" i="1"/>
  <c r="O264" i="1" s="1"/>
  <c r="M265" i="1"/>
  <c r="O265" i="1" s="1"/>
  <c r="M266" i="1"/>
  <c r="O266" i="1" s="1"/>
  <c r="M267" i="1"/>
  <c r="O267" i="1" s="1"/>
  <c r="M268" i="1"/>
  <c r="O268" i="1" s="1"/>
  <c r="M269" i="1"/>
  <c r="O269" i="1" s="1"/>
  <c r="M270" i="1"/>
  <c r="O270" i="1" s="1"/>
  <c r="M271" i="1"/>
  <c r="O271" i="1" s="1"/>
  <c r="M272" i="1"/>
  <c r="O272" i="1" s="1"/>
  <c r="M273" i="1"/>
  <c r="O273" i="1" s="1"/>
  <c r="M274" i="1"/>
  <c r="O274" i="1" s="1"/>
  <c r="M275" i="1"/>
  <c r="O275" i="1" s="1"/>
  <c r="M276" i="1"/>
  <c r="O276" i="1" s="1"/>
  <c r="M277" i="1"/>
  <c r="O277" i="1" s="1"/>
  <c r="M278" i="1"/>
  <c r="O278" i="1" s="1"/>
  <c r="M279" i="1"/>
  <c r="O279" i="1" s="1"/>
  <c r="M280" i="1"/>
  <c r="O280" i="1" s="1"/>
  <c r="M281" i="1"/>
  <c r="O281" i="1" s="1"/>
  <c r="M282" i="1"/>
  <c r="O282" i="1" s="1"/>
  <c r="M283" i="1"/>
  <c r="O283" i="1" s="1"/>
  <c r="M284" i="1"/>
  <c r="O284" i="1" s="1"/>
  <c r="M285" i="1"/>
  <c r="O285" i="1" s="1"/>
  <c r="M286" i="1"/>
  <c r="O286" i="1" s="1"/>
  <c r="M287" i="1"/>
  <c r="O287" i="1" s="1"/>
  <c r="M288" i="1"/>
  <c r="O288" i="1" s="1"/>
  <c r="M289" i="1"/>
  <c r="O289" i="1" s="1"/>
  <c r="M290" i="1"/>
  <c r="O290" i="1" s="1"/>
  <c r="M291" i="1"/>
  <c r="O291" i="1" s="1"/>
  <c r="M292" i="1"/>
  <c r="O292" i="1" s="1"/>
  <c r="M293" i="1"/>
  <c r="O293" i="1" s="1"/>
  <c r="M294" i="1"/>
  <c r="O294" i="1" s="1"/>
  <c r="M295" i="1"/>
  <c r="O295" i="1" s="1"/>
  <c r="M296" i="1"/>
  <c r="O296" i="1" s="1"/>
  <c r="M297" i="1"/>
  <c r="O297" i="1" s="1"/>
  <c r="M298" i="1"/>
  <c r="O298" i="1" s="1"/>
  <c r="M299" i="1"/>
  <c r="O299" i="1" s="1"/>
  <c r="M300" i="1"/>
  <c r="O300" i="1" s="1"/>
  <c r="M301" i="1"/>
  <c r="O301" i="1" s="1"/>
  <c r="M302" i="1"/>
  <c r="O302" i="1" s="1"/>
  <c r="M303" i="1"/>
  <c r="O303" i="1" s="1"/>
  <c r="M304" i="1"/>
  <c r="O304" i="1" s="1"/>
  <c r="M305" i="1"/>
  <c r="O305" i="1" s="1"/>
  <c r="M306" i="1"/>
  <c r="O306" i="1" s="1"/>
  <c r="M307" i="1"/>
  <c r="O307" i="1" s="1"/>
  <c r="M308" i="1"/>
  <c r="O308" i="1" s="1"/>
  <c r="M309" i="1"/>
  <c r="O309" i="1" s="1"/>
  <c r="M310" i="1"/>
  <c r="O310" i="1" s="1"/>
  <c r="M311" i="1"/>
  <c r="O311" i="1" s="1"/>
  <c r="M312" i="1"/>
  <c r="O312" i="1" s="1"/>
  <c r="M313" i="1"/>
  <c r="O313" i="1" s="1"/>
  <c r="M314" i="1"/>
  <c r="O314" i="1" s="1"/>
  <c r="M315" i="1"/>
  <c r="O315" i="1" s="1"/>
  <c r="M316" i="1"/>
  <c r="O316" i="1" s="1"/>
  <c r="M317" i="1"/>
  <c r="O317" i="1" s="1"/>
  <c r="M318" i="1"/>
  <c r="O318" i="1" s="1"/>
  <c r="M319" i="1"/>
  <c r="O319" i="1" s="1"/>
  <c r="M320" i="1"/>
  <c r="O320" i="1" s="1"/>
  <c r="M321" i="1"/>
  <c r="O321" i="1" s="1"/>
  <c r="M322" i="1"/>
  <c r="O322" i="1" s="1"/>
  <c r="M323" i="1"/>
  <c r="O323" i="1" s="1"/>
  <c r="M324" i="1"/>
  <c r="O324" i="1" s="1"/>
  <c r="M325" i="1"/>
  <c r="O325" i="1" s="1"/>
  <c r="M326" i="1"/>
  <c r="O326" i="1" s="1"/>
  <c r="M327" i="1"/>
  <c r="O327" i="1" s="1"/>
  <c r="M328" i="1"/>
  <c r="O328" i="1" s="1"/>
  <c r="M329" i="1"/>
  <c r="O329" i="1" s="1"/>
  <c r="M330" i="1"/>
  <c r="O330" i="1" s="1"/>
  <c r="M331" i="1"/>
  <c r="O331" i="1" s="1"/>
  <c r="M332" i="1"/>
  <c r="O332" i="1" s="1"/>
  <c r="M333" i="1"/>
  <c r="O333" i="1" s="1"/>
  <c r="M334" i="1"/>
  <c r="O334" i="1" s="1"/>
  <c r="M335" i="1"/>
  <c r="O335" i="1" s="1"/>
  <c r="M336" i="1"/>
  <c r="O336" i="1" s="1"/>
  <c r="M337" i="1"/>
  <c r="O337" i="1" s="1"/>
  <c r="M338" i="1"/>
  <c r="O338" i="1" s="1"/>
  <c r="M339" i="1"/>
  <c r="O339" i="1" s="1"/>
  <c r="M340" i="1"/>
  <c r="O340" i="1" s="1"/>
  <c r="M341" i="1"/>
  <c r="O341" i="1" s="1"/>
  <c r="M342" i="1"/>
  <c r="O342" i="1" s="1"/>
  <c r="M343" i="1"/>
  <c r="O343" i="1" s="1"/>
  <c r="M344" i="1"/>
  <c r="O344" i="1" s="1"/>
  <c r="M345" i="1"/>
  <c r="O345" i="1" s="1"/>
  <c r="M346" i="1"/>
  <c r="O346" i="1" s="1"/>
  <c r="M347" i="1"/>
  <c r="O347" i="1" s="1"/>
  <c r="M348" i="1"/>
  <c r="O348" i="1" s="1"/>
  <c r="M349" i="1"/>
  <c r="O349" i="1" s="1"/>
  <c r="M350" i="1"/>
  <c r="O350" i="1" s="1"/>
  <c r="M351" i="1"/>
  <c r="O351" i="1" s="1"/>
  <c r="M352" i="1"/>
  <c r="O352" i="1" s="1"/>
  <c r="M353" i="1"/>
  <c r="O353" i="1" s="1"/>
  <c r="M354" i="1"/>
  <c r="O354" i="1" s="1"/>
  <c r="M355" i="1"/>
  <c r="O355" i="1" s="1"/>
  <c r="M356" i="1"/>
  <c r="O356" i="1" s="1"/>
  <c r="M357" i="1"/>
  <c r="O357" i="1" s="1"/>
  <c r="M358" i="1"/>
  <c r="O358" i="1" s="1"/>
  <c r="M359" i="1"/>
  <c r="O359" i="1" s="1"/>
  <c r="M360" i="1"/>
  <c r="O360" i="1" s="1"/>
  <c r="M361" i="1"/>
  <c r="O361" i="1" s="1"/>
  <c r="M362" i="1"/>
  <c r="O362" i="1" s="1"/>
  <c r="M363" i="1"/>
  <c r="O363" i="1" s="1"/>
  <c r="M364" i="1"/>
  <c r="O364" i="1" s="1"/>
  <c r="M365" i="1"/>
  <c r="O365" i="1" s="1"/>
  <c r="M366" i="1"/>
  <c r="O366" i="1" s="1"/>
  <c r="M367" i="1"/>
  <c r="O367" i="1" s="1"/>
  <c r="M368" i="1"/>
  <c r="O368" i="1" s="1"/>
  <c r="M369" i="1"/>
  <c r="O369" i="1" s="1"/>
  <c r="M370" i="1"/>
  <c r="O370" i="1" s="1"/>
  <c r="M371" i="1"/>
  <c r="O371" i="1" s="1"/>
  <c r="M372" i="1"/>
  <c r="O372" i="1" s="1"/>
  <c r="M373" i="1"/>
  <c r="O373" i="1" s="1"/>
  <c r="M374" i="1"/>
  <c r="O374" i="1" s="1"/>
  <c r="M375" i="1"/>
  <c r="O375" i="1" s="1"/>
  <c r="M376" i="1"/>
  <c r="O376" i="1" s="1"/>
  <c r="M377" i="1"/>
  <c r="O377" i="1" s="1"/>
  <c r="M378" i="1"/>
  <c r="O378" i="1" s="1"/>
  <c r="M379" i="1"/>
  <c r="O379" i="1" s="1"/>
  <c r="M380" i="1"/>
  <c r="O380" i="1" s="1"/>
  <c r="M381" i="1"/>
  <c r="O381" i="1" s="1"/>
  <c r="M382" i="1"/>
  <c r="O382" i="1" s="1"/>
  <c r="M383" i="1"/>
  <c r="O383" i="1" s="1"/>
  <c r="M384" i="1"/>
  <c r="O384" i="1" s="1"/>
  <c r="M385" i="1"/>
  <c r="O385" i="1" s="1"/>
  <c r="M386" i="1"/>
  <c r="O386" i="1" s="1"/>
  <c r="M387" i="1"/>
  <c r="O387" i="1" s="1"/>
  <c r="M388" i="1"/>
  <c r="O388" i="1" s="1"/>
  <c r="M389" i="1"/>
  <c r="O389" i="1" s="1"/>
  <c r="M390" i="1"/>
  <c r="O390" i="1" s="1"/>
  <c r="M391" i="1"/>
  <c r="O391" i="1" s="1"/>
  <c r="M392" i="1"/>
  <c r="O392" i="1" s="1"/>
  <c r="M393" i="1"/>
  <c r="O393" i="1" s="1"/>
  <c r="M394" i="1"/>
  <c r="O394" i="1" s="1"/>
  <c r="M395" i="1"/>
  <c r="O395" i="1" s="1"/>
  <c r="M396" i="1"/>
  <c r="O396" i="1" s="1"/>
  <c r="M397" i="1"/>
  <c r="O397" i="1" s="1"/>
  <c r="M398" i="1"/>
  <c r="O398" i="1" s="1"/>
  <c r="M399" i="1"/>
  <c r="O399" i="1" s="1"/>
  <c r="M400" i="1"/>
  <c r="O400" i="1" s="1"/>
  <c r="M401" i="1"/>
  <c r="O401" i="1" s="1"/>
  <c r="M402" i="1"/>
  <c r="O402" i="1" s="1"/>
  <c r="M403" i="1"/>
  <c r="O403" i="1" s="1"/>
  <c r="M404" i="1"/>
  <c r="O404" i="1" s="1"/>
  <c r="M405" i="1"/>
  <c r="O405" i="1" s="1"/>
  <c r="M406" i="1"/>
  <c r="O406" i="1" s="1"/>
  <c r="M407" i="1"/>
  <c r="O407" i="1" s="1"/>
  <c r="M408" i="1"/>
  <c r="O408" i="1" s="1"/>
  <c r="M409" i="1"/>
  <c r="O409" i="1" s="1"/>
  <c r="M410" i="1"/>
  <c r="O410" i="1" s="1"/>
  <c r="M411" i="1"/>
  <c r="O411" i="1" s="1"/>
  <c r="M412" i="1"/>
  <c r="O412" i="1" s="1"/>
  <c r="M413" i="1"/>
  <c r="O413" i="1" s="1"/>
  <c r="M414" i="1"/>
  <c r="O414" i="1" s="1"/>
  <c r="M415" i="1"/>
  <c r="O415" i="1" s="1"/>
  <c r="M416" i="1"/>
  <c r="O416" i="1" s="1"/>
  <c r="M417" i="1"/>
  <c r="O417" i="1" s="1"/>
  <c r="M418" i="1"/>
  <c r="O418" i="1" s="1"/>
  <c r="M419" i="1"/>
  <c r="O419" i="1" s="1"/>
  <c r="M420" i="1"/>
  <c r="O420" i="1" s="1"/>
  <c r="M421" i="1"/>
  <c r="O421" i="1" s="1"/>
  <c r="M422" i="1"/>
  <c r="O422" i="1" s="1"/>
  <c r="M423" i="1"/>
  <c r="O423" i="1" s="1"/>
  <c r="M424" i="1"/>
  <c r="O424" i="1" s="1"/>
  <c r="M425" i="1"/>
  <c r="O425" i="1" s="1"/>
  <c r="M426" i="1"/>
  <c r="O426" i="1" s="1"/>
  <c r="M427" i="1"/>
  <c r="O427" i="1" s="1"/>
  <c r="M428" i="1"/>
  <c r="O428" i="1" s="1"/>
  <c r="M429" i="1"/>
  <c r="O429" i="1" s="1"/>
  <c r="M430" i="1"/>
  <c r="O430" i="1" s="1"/>
  <c r="M431" i="1"/>
  <c r="O431" i="1" s="1"/>
  <c r="M432" i="1"/>
  <c r="O432" i="1" s="1"/>
  <c r="M433" i="1"/>
  <c r="O433" i="1" s="1"/>
  <c r="M434" i="1"/>
  <c r="O434" i="1" s="1"/>
  <c r="M435" i="1"/>
  <c r="O435" i="1" s="1"/>
  <c r="M436" i="1"/>
  <c r="O436" i="1" s="1"/>
  <c r="M437" i="1"/>
  <c r="O437" i="1" s="1"/>
  <c r="M438" i="1"/>
  <c r="O438" i="1" s="1"/>
  <c r="M439" i="1"/>
  <c r="O439" i="1" s="1"/>
  <c r="M440" i="1"/>
  <c r="O440" i="1" s="1"/>
  <c r="M441" i="1"/>
  <c r="O441" i="1" s="1"/>
  <c r="M442" i="1"/>
  <c r="O442" i="1" s="1"/>
  <c r="M443" i="1"/>
  <c r="O443" i="1" s="1"/>
  <c r="M444" i="1"/>
  <c r="O444" i="1" s="1"/>
  <c r="M445" i="1"/>
  <c r="O445" i="1" s="1"/>
  <c r="M446" i="1"/>
  <c r="O446" i="1" s="1"/>
  <c r="M447" i="1"/>
  <c r="O447" i="1" s="1"/>
  <c r="M448" i="1"/>
  <c r="O448" i="1" s="1"/>
  <c r="M449" i="1"/>
  <c r="O449" i="1" s="1"/>
  <c r="M450" i="1"/>
  <c r="O450" i="1" s="1"/>
  <c r="M451" i="1"/>
  <c r="O451" i="1" s="1"/>
  <c r="M452" i="1"/>
  <c r="O452" i="1" s="1"/>
  <c r="M453" i="1"/>
  <c r="O453" i="1" s="1"/>
  <c r="M454" i="1"/>
  <c r="O454" i="1" s="1"/>
  <c r="M455" i="1"/>
  <c r="O455" i="1" s="1"/>
  <c r="M456" i="1"/>
  <c r="O456" i="1" s="1"/>
  <c r="M457" i="1"/>
  <c r="O457" i="1" s="1"/>
  <c r="M458" i="1"/>
  <c r="O458" i="1" s="1"/>
  <c r="M459" i="1"/>
  <c r="O459" i="1" s="1"/>
  <c r="M460" i="1"/>
  <c r="O460" i="1" s="1"/>
  <c r="M461" i="1"/>
  <c r="O461" i="1" s="1"/>
  <c r="M462" i="1"/>
  <c r="O462" i="1" s="1"/>
  <c r="M463" i="1"/>
  <c r="O463" i="1" s="1"/>
  <c r="M464" i="1"/>
  <c r="O464" i="1" s="1"/>
  <c r="M465" i="1"/>
  <c r="O465" i="1" s="1"/>
  <c r="M466" i="1"/>
  <c r="O466" i="1" s="1"/>
  <c r="M467" i="1"/>
  <c r="O467" i="1" s="1"/>
  <c r="M468" i="1"/>
  <c r="O468" i="1" s="1"/>
  <c r="M469" i="1"/>
  <c r="O469" i="1" s="1"/>
  <c r="M470" i="1"/>
  <c r="O470" i="1" s="1"/>
  <c r="M471" i="1"/>
  <c r="O471" i="1" s="1"/>
  <c r="M472" i="1"/>
  <c r="O472" i="1" s="1"/>
  <c r="M473" i="1"/>
  <c r="O473" i="1" s="1"/>
  <c r="M474" i="1"/>
  <c r="O474" i="1" s="1"/>
  <c r="M475" i="1"/>
  <c r="O475" i="1" s="1"/>
  <c r="M476" i="1"/>
  <c r="O476" i="1" s="1"/>
  <c r="M477" i="1"/>
  <c r="O477" i="1" s="1"/>
  <c r="M478" i="1"/>
  <c r="O478" i="1" s="1"/>
  <c r="M479" i="1"/>
  <c r="O479" i="1" s="1"/>
  <c r="M480" i="1"/>
  <c r="O480" i="1" s="1"/>
  <c r="M481" i="1"/>
  <c r="O481" i="1" s="1"/>
  <c r="M482" i="1"/>
  <c r="O482" i="1" s="1"/>
  <c r="M483" i="1"/>
  <c r="O483" i="1" s="1"/>
  <c r="M484" i="1"/>
  <c r="O484" i="1" s="1"/>
  <c r="M485" i="1"/>
  <c r="O485" i="1" s="1"/>
  <c r="M486" i="1"/>
  <c r="O486" i="1" s="1"/>
  <c r="M487" i="1"/>
  <c r="O487" i="1" s="1"/>
  <c r="M488" i="1"/>
  <c r="O488" i="1" s="1"/>
  <c r="M489" i="1"/>
  <c r="O489" i="1" s="1"/>
  <c r="M490" i="1"/>
  <c r="O490" i="1" s="1"/>
  <c r="M491" i="1"/>
  <c r="O491" i="1" s="1"/>
  <c r="M492" i="1"/>
  <c r="O492" i="1" s="1"/>
  <c r="M493" i="1"/>
  <c r="O493" i="1" s="1"/>
  <c r="M494" i="1"/>
  <c r="O494" i="1" s="1"/>
  <c r="M495" i="1"/>
  <c r="O495" i="1" s="1"/>
  <c r="M496" i="1"/>
  <c r="O496" i="1" s="1"/>
  <c r="M497" i="1"/>
  <c r="O497" i="1" s="1"/>
  <c r="M498" i="1"/>
  <c r="O498" i="1" s="1"/>
  <c r="M499" i="1"/>
  <c r="O499" i="1" s="1"/>
  <c r="M500" i="1"/>
  <c r="O500" i="1" s="1"/>
  <c r="M501" i="1"/>
  <c r="O501" i="1" s="1"/>
  <c r="M502" i="1"/>
  <c r="O502" i="1" s="1"/>
  <c r="M503" i="1"/>
  <c r="O503" i="1" s="1"/>
  <c r="M504" i="1"/>
  <c r="O504" i="1" s="1"/>
  <c r="M505" i="1"/>
  <c r="O505" i="1" s="1"/>
  <c r="M506" i="1"/>
  <c r="O506" i="1" s="1"/>
  <c r="M507" i="1"/>
  <c r="O507" i="1" s="1"/>
  <c r="M508" i="1"/>
  <c r="O508" i="1" s="1"/>
  <c r="M509" i="1"/>
  <c r="O509" i="1" s="1"/>
  <c r="M510" i="1"/>
  <c r="O510" i="1" s="1"/>
  <c r="M511" i="1"/>
  <c r="O511" i="1" s="1"/>
  <c r="M512" i="1"/>
  <c r="O512" i="1" s="1"/>
  <c r="M513" i="1"/>
  <c r="O513" i="1" s="1"/>
  <c r="M514" i="1"/>
  <c r="O514" i="1" s="1"/>
  <c r="M515" i="1"/>
  <c r="O515" i="1" s="1"/>
  <c r="M516" i="1"/>
  <c r="O516" i="1" s="1"/>
  <c r="M517" i="1"/>
  <c r="O517" i="1" s="1"/>
  <c r="M518" i="1"/>
  <c r="O518" i="1" s="1"/>
  <c r="M519" i="1"/>
  <c r="O519" i="1" s="1"/>
  <c r="M520" i="1"/>
  <c r="O520" i="1" s="1"/>
  <c r="M521" i="1"/>
  <c r="O521" i="1" s="1"/>
  <c r="M522" i="1"/>
  <c r="O522" i="1" s="1"/>
  <c r="M523" i="1"/>
  <c r="O523" i="1" s="1"/>
  <c r="M524" i="1"/>
  <c r="O524" i="1" s="1"/>
  <c r="M525" i="1"/>
  <c r="O525" i="1" s="1"/>
  <c r="M526" i="1"/>
  <c r="O526" i="1" s="1"/>
  <c r="M527" i="1"/>
  <c r="O527" i="1" s="1"/>
  <c r="M528" i="1"/>
  <c r="O528" i="1" s="1"/>
  <c r="M529" i="1"/>
  <c r="O529" i="1" s="1"/>
  <c r="M530" i="1"/>
  <c r="O530" i="1" s="1"/>
  <c r="M531" i="1"/>
  <c r="O531" i="1" s="1"/>
  <c r="M532" i="1"/>
  <c r="O532" i="1" s="1"/>
  <c r="M533" i="1"/>
  <c r="O533" i="1" s="1"/>
  <c r="M534" i="1"/>
  <c r="O534" i="1" s="1"/>
  <c r="M535" i="1"/>
  <c r="O535" i="1" s="1"/>
  <c r="M536" i="1"/>
  <c r="O536" i="1" s="1"/>
  <c r="M537" i="1"/>
  <c r="O537" i="1" s="1"/>
  <c r="M538" i="1"/>
  <c r="O538" i="1" s="1"/>
  <c r="M539" i="1"/>
  <c r="O539" i="1" s="1"/>
  <c r="M540" i="1"/>
  <c r="O540" i="1" s="1"/>
  <c r="M541" i="1"/>
  <c r="O541" i="1" s="1"/>
  <c r="M542" i="1"/>
  <c r="O542" i="1" s="1"/>
  <c r="M543" i="1"/>
  <c r="O543" i="1" s="1"/>
  <c r="M544" i="1"/>
  <c r="O544" i="1" s="1"/>
  <c r="M545" i="1"/>
  <c r="O545" i="1" s="1"/>
  <c r="M546" i="1"/>
  <c r="O546" i="1" s="1"/>
  <c r="M547" i="1"/>
  <c r="O547" i="1" s="1"/>
  <c r="M548" i="1"/>
  <c r="O548" i="1" s="1"/>
  <c r="M549" i="1"/>
  <c r="O549" i="1" s="1"/>
  <c r="M550" i="1"/>
  <c r="O550" i="1" s="1"/>
  <c r="M551" i="1"/>
  <c r="O551" i="1" s="1"/>
  <c r="M552" i="1"/>
  <c r="O552" i="1" s="1"/>
  <c r="M553" i="1"/>
  <c r="O553" i="1" s="1"/>
  <c r="M554" i="1"/>
  <c r="O554" i="1" s="1"/>
  <c r="M555" i="1"/>
  <c r="O555" i="1" s="1"/>
  <c r="M556" i="1"/>
  <c r="O556" i="1" s="1"/>
  <c r="M557" i="1"/>
  <c r="O557" i="1" s="1"/>
  <c r="M558" i="1"/>
  <c r="O558" i="1" s="1"/>
  <c r="M559" i="1"/>
  <c r="O559" i="1" s="1"/>
  <c r="M560" i="1"/>
  <c r="O560" i="1" s="1"/>
  <c r="M561" i="1"/>
  <c r="O561" i="1" s="1"/>
  <c r="M562" i="1"/>
  <c r="O562" i="1" s="1"/>
  <c r="M563" i="1"/>
  <c r="O563" i="1" s="1"/>
  <c r="M564" i="1"/>
  <c r="O564" i="1" s="1"/>
  <c r="M565" i="1"/>
  <c r="O565" i="1" s="1"/>
  <c r="M566" i="1"/>
  <c r="O566" i="1" s="1"/>
  <c r="M567" i="1"/>
  <c r="O567" i="1" s="1"/>
  <c r="M568" i="1"/>
  <c r="O568" i="1" s="1"/>
  <c r="M569" i="1"/>
  <c r="O569" i="1" s="1"/>
  <c r="M570" i="1"/>
  <c r="O570" i="1" s="1"/>
  <c r="M571" i="1"/>
  <c r="O571" i="1" s="1"/>
  <c r="M572" i="1"/>
  <c r="O572" i="1" s="1"/>
  <c r="M573" i="1"/>
  <c r="O573" i="1" s="1"/>
  <c r="M574" i="1"/>
  <c r="O574" i="1" s="1"/>
  <c r="M575" i="1"/>
  <c r="O575" i="1" s="1"/>
  <c r="M576" i="1"/>
  <c r="O576" i="1" s="1"/>
  <c r="M577" i="1"/>
  <c r="O577" i="1" s="1"/>
  <c r="M578" i="1"/>
  <c r="O578" i="1" s="1"/>
  <c r="M579" i="1"/>
  <c r="O579" i="1" s="1"/>
  <c r="M580" i="1"/>
  <c r="O580" i="1" s="1"/>
  <c r="M581" i="1"/>
  <c r="O581" i="1" s="1"/>
  <c r="M582" i="1"/>
  <c r="O582" i="1" s="1"/>
  <c r="M583" i="1"/>
  <c r="O583" i="1" s="1"/>
  <c r="M584" i="1"/>
  <c r="O584" i="1" s="1"/>
  <c r="M585" i="1"/>
  <c r="O585" i="1" s="1"/>
  <c r="M586" i="1"/>
  <c r="O586" i="1" s="1"/>
  <c r="M587" i="1"/>
  <c r="O587" i="1" s="1"/>
  <c r="M588" i="1"/>
  <c r="O588" i="1" s="1"/>
  <c r="M589" i="1"/>
  <c r="O589" i="1" s="1"/>
  <c r="M590" i="1"/>
  <c r="O590" i="1" s="1"/>
  <c r="M591" i="1"/>
  <c r="O591" i="1" s="1"/>
  <c r="M592" i="1"/>
  <c r="O592" i="1" s="1"/>
  <c r="M593" i="1"/>
  <c r="O593" i="1" s="1"/>
  <c r="M594" i="1"/>
  <c r="O594" i="1" s="1"/>
  <c r="M595" i="1"/>
  <c r="O595" i="1" s="1"/>
  <c r="M596" i="1"/>
  <c r="O596" i="1" s="1"/>
  <c r="M597" i="1"/>
  <c r="O597" i="1" s="1"/>
  <c r="M598" i="1"/>
  <c r="O598" i="1" s="1"/>
  <c r="M599" i="1"/>
  <c r="O599" i="1" s="1"/>
  <c r="M600" i="1"/>
  <c r="O600" i="1" s="1"/>
  <c r="M601" i="1"/>
  <c r="O601" i="1" s="1"/>
  <c r="M602" i="1"/>
  <c r="O602" i="1" s="1"/>
  <c r="M603" i="1"/>
  <c r="O603" i="1" s="1"/>
  <c r="M604" i="1"/>
  <c r="O604" i="1" s="1"/>
  <c r="M605" i="1"/>
  <c r="O605" i="1" s="1"/>
  <c r="M606" i="1"/>
  <c r="O606" i="1" s="1"/>
  <c r="M607" i="1"/>
  <c r="O607" i="1" s="1"/>
  <c r="M608" i="1"/>
  <c r="O608" i="1" s="1"/>
  <c r="M609" i="1"/>
  <c r="O609" i="1" s="1"/>
  <c r="M610" i="1"/>
  <c r="O610" i="1" s="1"/>
  <c r="M611" i="1"/>
  <c r="O611" i="1" s="1"/>
  <c r="M612" i="1"/>
  <c r="O612" i="1" s="1"/>
  <c r="M613" i="1"/>
  <c r="O613" i="1" s="1"/>
  <c r="M614" i="1"/>
  <c r="O614" i="1" s="1"/>
  <c r="M615" i="1"/>
  <c r="O615" i="1" s="1"/>
  <c r="M616" i="1"/>
  <c r="O616" i="1" s="1"/>
  <c r="M617" i="1"/>
  <c r="O617" i="1" s="1"/>
  <c r="M618" i="1"/>
  <c r="O618" i="1" s="1"/>
  <c r="M619" i="1"/>
  <c r="O619" i="1" s="1"/>
  <c r="M620" i="1"/>
  <c r="O620" i="1" s="1"/>
  <c r="M621" i="1"/>
  <c r="O621" i="1" s="1"/>
  <c r="M622" i="1"/>
  <c r="O622" i="1" s="1"/>
  <c r="M623" i="1"/>
  <c r="O623" i="1" s="1"/>
  <c r="M624" i="1"/>
  <c r="O624" i="1" s="1"/>
  <c r="M625" i="1"/>
  <c r="O625" i="1" s="1"/>
  <c r="M626" i="1"/>
  <c r="O626" i="1" s="1"/>
  <c r="M627" i="1"/>
  <c r="O627" i="1" s="1"/>
  <c r="M628" i="1"/>
  <c r="O628" i="1" s="1"/>
  <c r="M629" i="1"/>
  <c r="O629" i="1" s="1"/>
  <c r="M630" i="1"/>
  <c r="O630" i="1" s="1"/>
  <c r="M631" i="1"/>
  <c r="O631" i="1" s="1"/>
  <c r="M632" i="1"/>
  <c r="O632" i="1" s="1"/>
  <c r="M633" i="1"/>
  <c r="O633" i="1" s="1"/>
  <c r="M634" i="1"/>
  <c r="O634" i="1" s="1"/>
  <c r="M635" i="1"/>
  <c r="O635" i="1" s="1"/>
  <c r="M636" i="1"/>
  <c r="O636" i="1" s="1"/>
  <c r="M637" i="1"/>
  <c r="O637" i="1" s="1"/>
  <c r="M638" i="1"/>
  <c r="O638" i="1" s="1"/>
  <c r="M639" i="1"/>
  <c r="O639" i="1" s="1"/>
  <c r="M640" i="1"/>
  <c r="O640" i="1" s="1"/>
  <c r="M641" i="1"/>
  <c r="O641" i="1" s="1"/>
  <c r="M642" i="1"/>
  <c r="O642" i="1" s="1"/>
  <c r="M643" i="1"/>
  <c r="O643" i="1" s="1"/>
  <c r="M644" i="1"/>
  <c r="O644" i="1" s="1"/>
  <c r="M645" i="1"/>
  <c r="O645" i="1" s="1"/>
  <c r="M646" i="1"/>
  <c r="O646" i="1" s="1"/>
  <c r="M647" i="1"/>
  <c r="O647" i="1" s="1"/>
  <c r="M648" i="1"/>
  <c r="O648" i="1" s="1"/>
  <c r="M649" i="1"/>
  <c r="O649" i="1" s="1"/>
  <c r="M650" i="1"/>
  <c r="O650" i="1" s="1"/>
  <c r="M651" i="1"/>
  <c r="O651" i="1" s="1"/>
  <c r="M652" i="1"/>
  <c r="O652" i="1" s="1"/>
  <c r="M653" i="1"/>
  <c r="O653" i="1" s="1"/>
  <c r="M654" i="1"/>
  <c r="O654" i="1" s="1"/>
  <c r="M655" i="1"/>
  <c r="O655" i="1" s="1"/>
  <c r="M656" i="1"/>
  <c r="O656" i="1" s="1"/>
  <c r="M657" i="1"/>
  <c r="O657" i="1" s="1"/>
  <c r="M658" i="1"/>
  <c r="O658" i="1" s="1"/>
  <c r="M659" i="1"/>
  <c r="O659" i="1" s="1"/>
  <c r="M660" i="1"/>
  <c r="O660" i="1" s="1"/>
  <c r="M661" i="1"/>
  <c r="O661" i="1" s="1"/>
  <c r="M662" i="1"/>
  <c r="O662" i="1" s="1"/>
  <c r="M663" i="1"/>
  <c r="O663" i="1" s="1"/>
  <c r="M664" i="1"/>
  <c r="O664" i="1" s="1"/>
  <c r="M665" i="1"/>
  <c r="O665" i="1" s="1"/>
  <c r="M666" i="1"/>
  <c r="O666" i="1" s="1"/>
  <c r="M667" i="1"/>
  <c r="O667" i="1" s="1"/>
  <c r="M668" i="1"/>
  <c r="O668" i="1" s="1"/>
  <c r="M669" i="1"/>
  <c r="O669" i="1" s="1"/>
  <c r="M670" i="1"/>
  <c r="O670" i="1" s="1"/>
  <c r="M671" i="1"/>
  <c r="O671" i="1" s="1"/>
  <c r="M672" i="1"/>
  <c r="O672" i="1" s="1"/>
  <c r="M673" i="1"/>
  <c r="O673" i="1" s="1"/>
  <c r="M674" i="1"/>
  <c r="O674" i="1" s="1"/>
  <c r="M675" i="1"/>
  <c r="O675" i="1" s="1"/>
  <c r="M676" i="1"/>
  <c r="O676" i="1" s="1"/>
  <c r="M677" i="1"/>
  <c r="O677" i="1" s="1"/>
  <c r="M678" i="1"/>
  <c r="O678" i="1" s="1"/>
  <c r="M679" i="1"/>
  <c r="O679" i="1" s="1"/>
  <c r="M680" i="1"/>
  <c r="O680" i="1" s="1"/>
  <c r="M681" i="1"/>
  <c r="O681" i="1" s="1"/>
  <c r="M682" i="1"/>
  <c r="O682" i="1" s="1"/>
  <c r="M683" i="1"/>
  <c r="O683" i="1" s="1"/>
  <c r="M684" i="1"/>
  <c r="O684" i="1" s="1"/>
  <c r="M685" i="1"/>
  <c r="O685" i="1" s="1"/>
  <c r="M686" i="1"/>
  <c r="O686" i="1" s="1"/>
  <c r="M687" i="1"/>
  <c r="O687" i="1" s="1"/>
  <c r="M688" i="1"/>
  <c r="O688" i="1" s="1"/>
  <c r="M689" i="1"/>
  <c r="O689" i="1" s="1"/>
  <c r="M690" i="1"/>
  <c r="O690" i="1" s="1"/>
  <c r="M691" i="1"/>
  <c r="O691" i="1" s="1"/>
  <c r="M692" i="1"/>
  <c r="O692" i="1" s="1"/>
  <c r="M693" i="1"/>
  <c r="O693" i="1" s="1"/>
  <c r="M694" i="1"/>
  <c r="O694" i="1" s="1"/>
  <c r="M695" i="1"/>
  <c r="O695" i="1" s="1"/>
  <c r="M696" i="1"/>
  <c r="O696" i="1" s="1"/>
  <c r="M697" i="1"/>
  <c r="O697" i="1" s="1"/>
  <c r="M698" i="1"/>
  <c r="O698" i="1" s="1"/>
  <c r="M699" i="1"/>
  <c r="O699" i="1" s="1"/>
  <c r="M700" i="1"/>
  <c r="O700" i="1" s="1"/>
  <c r="M701" i="1"/>
  <c r="O701" i="1" s="1"/>
  <c r="M702" i="1"/>
  <c r="O702" i="1" s="1"/>
  <c r="M703" i="1"/>
  <c r="O703" i="1" s="1"/>
  <c r="M704" i="1"/>
  <c r="O704" i="1" s="1"/>
  <c r="M705" i="1"/>
  <c r="O705" i="1" s="1"/>
  <c r="M706" i="1"/>
  <c r="O706" i="1" s="1"/>
  <c r="M707" i="1"/>
  <c r="O707" i="1" s="1"/>
  <c r="M708" i="1"/>
  <c r="O708" i="1" s="1"/>
  <c r="M709" i="1"/>
  <c r="O709" i="1" s="1"/>
  <c r="M710" i="1"/>
  <c r="O710" i="1" s="1"/>
  <c r="M711" i="1"/>
  <c r="O711" i="1" s="1"/>
  <c r="M712" i="1"/>
  <c r="O712" i="1" s="1"/>
  <c r="M713" i="1"/>
  <c r="O713" i="1" s="1"/>
  <c r="M714" i="1"/>
  <c r="O714" i="1" s="1"/>
  <c r="M715" i="1"/>
  <c r="O715" i="1" s="1"/>
  <c r="M716" i="1"/>
  <c r="O716" i="1" s="1"/>
  <c r="M717" i="1"/>
  <c r="O717" i="1" s="1"/>
  <c r="M718" i="1"/>
  <c r="O718" i="1" s="1"/>
  <c r="M719" i="1"/>
  <c r="O719" i="1" s="1"/>
  <c r="M720" i="1"/>
  <c r="O720" i="1" s="1"/>
  <c r="M721" i="1"/>
  <c r="O721" i="1" s="1"/>
  <c r="M722" i="1"/>
  <c r="O722" i="1" s="1"/>
  <c r="M723" i="1"/>
  <c r="O723" i="1" s="1"/>
  <c r="M724" i="1"/>
  <c r="O724" i="1" s="1"/>
  <c r="M725" i="1"/>
  <c r="O725" i="1" s="1"/>
  <c r="M726" i="1"/>
  <c r="O726" i="1" s="1"/>
  <c r="M727" i="1"/>
  <c r="O727" i="1" s="1"/>
  <c r="M728" i="1"/>
  <c r="O728" i="1" s="1"/>
  <c r="M729" i="1"/>
  <c r="O729" i="1" s="1"/>
  <c r="M730" i="1"/>
  <c r="O730" i="1" s="1"/>
  <c r="M731" i="1"/>
  <c r="O731" i="1" s="1"/>
  <c r="M732" i="1"/>
  <c r="O732" i="1" s="1"/>
  <c r="M733" i="1"/>
  <c r="O733" i="1" s="1"/>
  <c r="M734" i="1"/>
  <c r="O734" i="1" s="1"/>
  <c r="M735" i="1"/>
  <c r="O735" i="1" s="1"/>
  <c r="M736" i="1"/>
  <c r="O736" i="1" s="1"/>
  <c r="M737" i="1"/>
  <c r="O737" i="1" s="1"/>
  <c r="M738" i="1"/>
  <c r="O738" i="1" s="1"/>
  <c r="M739" i="1"/>
  <c r="O739" i="1" s="1"/>
  <c r="M740" i="1"/>
  <c r="O740" i="1" s="1"/>
  <c r="M741" i="1"/>
  <c r="O741" i="1" s="1"/>
  <c r="M742" i="1"/>
  <c r="O742" i="1" s="1"/>
  <c r="M743" i="1"/>
  <c r="O743" i="1" s="1"/>
  <c r="M744" i="1"/>
  <c r="O744" i="1" s="1"/>
  <c r="M745" i="1"/>
  <c r="O745" i="1" s="1"/>
  <c r="M746" i="1"/>
  <c r="O746" i="1" s="1"/>
  <c r="M747" i="1"/>
  <c r="O747" i="1" s="1"/>
  <c r="M748" i="1"/>
  <c r="O748" i="1" s="1"/>
  <c r="M749" i="1"/>
  <c r="O749" i="1" s="1"/>
  <c r="M750" i="1"/>
  <c r="O750" i="1" s="1"/>
  <c r="M751" i="1"/>
  <c r="O751" i="1" s="1"/>
  <c r="M752" i="1"/>
  <c r="O752" i="1" s="1"/>
  <c r="M753" i="1"/>
  <c r="O753" i="1" s="1"/>
  <c r="M754" i="1"/>
  <c r="O754" i="1" s="1"/>
  <c r="M755" i="1"/>
  <c r="O755" i="1" s="1"/>
  <c r="M756" i="1"/>
  <c r="O756" i="1" s="1"/>
  <c r="M757" i="1"/>
  <c r="O757" i="1" s="1"/>
  <c r="M758" i="1"/>
  <c r="O758" i="1" s="1"/>
  <c r="M759" i="1"/>
  <c r="O759" i="1" s="1"/>
  <c r="M760" i="1"/>
  <c r="O760" i="1" s="1"/>
  <c r="M761" i="1"/>
  <c r="O761" i="1" s="1"/>
  <c r="M762" i="1"/>
  <c r="O762" i="1" s="1"/>
  <c r="M763" i="1"/>
  <c r="O763" i="1" s="1"/>
  <c r="M764" i="1"/>
  <c r="O764" i="1" s="1"/>
  <c r="M765" i="1"/>
  <c r="O765" i="1" s="1"/>
  <c r="M766" i="1"/>
  <c r="O766" i="1" s="1"/>
  <c r="M767" i="1"/>
  <c r="O767" i="1" s="1"/>
  <c r="M768" i="1"/>
  <c r="O768" i="1" s="1"/>
  <c r="M769" i="1"/>
  <c r="O769" i="1" s="1"/>
  <c r="M770" i="1"/>
  <c r="O770" i="1" s="1"/>
  <c r="M771" i="1"/>
  <c r="O771" i="1" s="1"/>
  <c r="M772" i="1"/>
  <c r="O772" i="1" s="1"/>
  <c r="M773" i="1"/>
  <c r="O773" i="1" s="1"/>
  <c r="M774" i="1"/>
  <c r="O774" i="1" s="1"/>
  <c r="M775" i="1"/>
  <c r="O775" i="1" s="1"/>
  <c r="M776" i="1"/>
  <c r="O776" i="1" s="1"/>
  <c r="M777" i="1"/>
  <c r="O777" i="1" s="1"/>
  <c r="M778" i="1"/>
  <c r="O778" i="1" s="1"/>
  <c r="M779" i="1"/>
  <c r="O779" i="1" s="1"/>
  <c r="M780" i="1"/>
  <c r="O780" i="1" s="1"/>
  <c r="M781" i="1"/>
  <c r="O781" i="1" s="1"/>
  <c r="M782" i="1"/>
  <c r="O782" i="1" s="1"/>
  <c r="M783" i="1"/>
  <c r="O783" i="1" s="1"/>
  <c r="M784" i="1"/>
  <c r="O784" i="1" s="1"/>
  <c r="M785" i="1"/>
  <c r="O785" i="1" s="1"/>
  <c r="M786" i="1"/>
  <c r="O786" i="1" s="1"/>
  <c r="M787" i="1"/>
  <c r="O787" i="1" s="1"/>
  <c r="M788" i="1"/>
  <c r="O788" i="1" s="1"/>
  <c r="M789" i="1"/>
  <c r="O789" i="1" s="1"/>
  <c r="M790" i="1"/>
  <c r="O790" i="1" s="1"/>
  <c r="M791" i="1"/>
  <c r="O791" i="1" s="1"/>
  <c r="M792" i="1"/>
  <c r="O792" i="1" s="1"/>
  <c r="M793" i="1"/>
  <c r="O793" i="1" s="1"/>
  <c r="M794" i="1"/>
  <c r="O794" i="1" s="1"/>
  <c r="M795" i="1"/>
  <c r="O795" i="1" s="1"/>
  <c r="M796" i="1"/>
  <c r="O796" i="1" s="1"/>
  <c r="M797" i="1"/>
  <c r="O797" i="1" s="1"/>
  <c r="M798" i="1"/>
  <c r="O798" i="1" s="1"/>
  <c r="M799" i="1"/>
  <c r="O799" i="1" s="1"/>
  <c r="M800" i="1"/>
  <c r="O800" i="1" s="1"/>
  <c r="M801" i="1"/>
  <c r="O801" i="1" s="1"/>
  <c r="M802" i="1"/>
  <c r="O802" i="1" s="1"/>
  <c r="M803" i="1"/>
  <c r="O803" i="1" s="1"/>
  <c r="M804" i="1"/>
  <c r="O804" i="1" s="1"/>
  <c r="M805" i="1"/>
  <c r="O805" i="1" s="1"/>
  <c r="M806" i="1"/>
  <c r="O806" i="1" s="1"/>
  <c r="M807" i="1"/>
  <c r="O807" i="1" s="1"/>
  <c r="M808" i="1"/>
  <c r="O808" i="1" s="1"/>
  <c r="M809" i="1"/>
  <c r="O809" i="1" s="1"/>
  <c r="M810" i="1"/>
  <c r="O810" i="1" s="1"/>
  <c r="M811" i="1"/>
  <c r="O811" i="1" s="1"/>
  <c r="M812" i="1"/>
  <c r="O812" i="1" s="1"/>
  <c r="M813" i="1"/>
  <c r="O813" i="1" s="1"/>
  <c r="M814" i="1"/>
  <c r="O814" i="1" s="1"/>
  <c r="M815" i="1"/>
  <c r="O815" i="1" s="1"/>
  <c r="M816" i="1"/>
  <c r="O816" i="1" s="1"/>
  <c r="M817" i="1"/>
  <c r="O817" i="1" s="1"/>
  <c r="M818" i="1"/>
  <c r="O818" i="1" s="1"/>
  <c r="M819" i="1"/>
  <c r="O819" i="1" s="1"/>
  <c r="M820" i="1"/>
  <c r="O820" i="1" s="1"/>
  <c r="M821" i="1"/>
  <c r="O821" i="1" s="1"/>
  <c r="M822" i="1"/>
  <c r="O822" i="1" s="1"/>
  <c r="M823" i="1"/>
  <c r="O823" i="1" s="1"/>
  <c r="M824" i="1"/>
  <c r="O824" i="1" s="1"/>
  <c r="M825" i="1"/>
  <c r="O825" i="1" s="1"/>
  <c r="M826" i="1"/>
  <c r="O826" i="1" s="1"/>
  <c r="M827" i="1"/>
  <c r="O827" i="1" s="1"/>
  <c r="M828" i="1"/>
  <c r="O828" i="1" s="1"/>
  <c r="M829" i="1"/>
  <c r="O829" i="1" s="1"/>
  <c r="M830" i="1"/>
  <c r="O830" i="1" s="1"/>
  <c r="M831" i="1"/>
  <c r="O831" i="1" s="1"/>
  <c r="M832" i="1"/>
  <c r="O832" i="1" s="1"/>
  <c r="M833" i="1"/>
  <c r="O833" i="1" s="1"/>
  <c r="M834" i="1"/>
  <c r="O834" i="1" s="1"/>
  <c r="M835" i="1"/>
  <c r="O835" i="1" s="1"/>
  <c r="M836" i="1"/>
  <c r="O836" i="1" s="1"/>
  <c r="M837" i="1"/>
  <c r="O837" i="1" s="1"/>
  <c r="M838" i="1"/>
  <c r="O838" i="1" s="1"/>
  <c r="M839" i="1"/>
  <c r="O839" i="1" s="1"/>
  <c r="M840" i="1"/>
  <c r="O840" i="1" s="1"/>
  <c r="M841" i="1"/>
  <c r="O841" i="1" s="1"/>
  <c r="M842" i="1"/>
  <c r="O842" i="1" s="1"/>
  <c r="M843" i="1"/>
  <c r="O843" i="1" s="1"/>
  <c r="M844" i="1"/>
  <c r="O844" i="1" s="1"/>
  <c r="M845" i="1"/>
  <c r="O845" i="1" s="1"/>
  <c r="M846" i="1"/>
  <c r="O846" i="1" s="1"/>
  <c r="M847" i="1"/>
  <c r="O847" i="1" s="1"/>
  <c r="M848" i="1"/>
  <c r="O848" i="1" s="1"/>
  <c r="M849" i="1"/>
  <c r="O849" i="1" s="1"/>
  <c r="M850" i="1"/>
  <c r="O850" i="1" s="1"/>
  <c r="M851" i="1"/>
  <c r="O851" i="1" s="1"/>
  <c r="M852" i="1"/>
  <c r="O852" i="1" s="1"/>
  <c r="M853" i="1"/>
  <c r="O853" i="1" s="1"/>
  <c r="M854" i="1"/>
  <c r="O854" i="1" s="1"/>
  <c r="M855" i="1"/>
  <c r="O855" i="1" s="1"/>
  <c r="M856" i="1"/>
  <c r="O856" i="1" s="1"/>
  <c r="M857" i="1"/>
  <c r="O857" i="1" s="1"/>
  <c r="M858" i="1"/>
  <c r="O858" i="1" s="1"/>
  <c r="M859" i="1"/>
  <c r="O859" i="1" s="1"/>
  <c r="M860" i="1"/>
  <c r="O860" i="1" s="1"/>
  <c r="M861" i="1"/>
  <c r="O861" i="1" s="1"/>
  <c r="M862" i="1"/>
  <c r="O862" i="1" s="1"/>
  <c r="M863" i="1"/>
  <c r="O863" i="1" s="1"/>
  <c r="M864" i="1"/>
  <c r="O864" i="1" s="1"/>
  <c r="M865" i="1"/>
  <c r="O865" i="1" s="1"/>
  <c r="M866" i="1"/>
  <c r="O866" i="1" s="1"/>
  <c r="M867" i="1"/>
  <c r="O867" i="1" s="1"/>
  <c r="M868" i="1"/>
  <c r="O868" i="1" s="1"/>
  <c r="M869" i="1"/>
  <c r="O869" i="1" s="1"/>
  <c r="M870" i="1"/>
  <c r="O870" i="1" s="1"/>
  <c r="M871" i="1"/>
  <c r="O871" i="1" s="1"/>
  <c r="M872" i="1"/>
  <c r="O872" i="1" s="1"/>
  <c r="M873" i="1"/>
  <c r="O873" i="1" s="1"/>
  <c r="M874" i="1"/>
  <c r="O874" i="1" s="1"/>
  <c r="M875" i="1"/>
  <c r="O875" i="1" s="1"/>
  <c r="M876" i="1"/>
  <c r="O876" i="1" s="1"/>
  <c r="M877" i="1"/>
  <c r="O877" i="1" s="1"/>
  <c r="M878" i="1"/>
  <c r="O878" i="1" s="1"/>
  <c r="M879" i="1"/>
  <c r="O879" i="1" s="1"/>
  <c r="M880" i="1"/>
  <c r="O880" i="1" s="1"/>
  <c r="M881" i="1"/>
  <c r="O881" i="1" s="1"/>
  <c r="M882" i="1"/>
  <c r="O882" i="1" s="1"/>
  <c r="M883" i="1"/>
  <c r="O883" i="1" s="1"/>
  <c r="M884" i="1"/>
  <c r="O884" i="1" s="1"/>
  <c r="M885" i="1"/>
  <c r="O885" i="1" s="1"/>
  <c r="M886" i="1"/>
  <c r="O886" i="1" s="1"/>
  <c r="M887" i="1"/>
  <c r="O887" i="1" s="1"/>
  <c r="M888" i="1"/>
  <c r="O888" i="1" s="1"/>
  <c r="M889" i="1"/>
  <c r="O889" i="1" s="1"/>
  <c r="M890" i="1"/>
  <c r="O890" i="1" s="1"/>
  <c r="M891" i="1"/>
  <c r="O891" i="1" s="1"/>
  <c r="M892" i="1"/>
  <c r="O892" i="1" s="1"/>
  <c r="M893" i="1"/>
  <c r="O893" i="1" s="1"/>
  <c r="M894" i="1"/>
  <c r="O894" i="1" s="1"/>
  <c r="M895" i="1"/>
  <c r="O895" i="1" s="1"/>
  <c r="M896" i="1"/>
  <c r="O896" i="1" s="1"/>
  <c r="M897" i="1"/>
  <c r="O897" i="1" s="1"/>
  <c r="M898" i="1"/>
  <c r="O898" i="1" s="1"/>
  <c r="M899" i="1"/>
  <c r="O899" i="1" s="1"/>
  <c r="M900" i="1"/>
  <c r="O900" i="1" s="1"/>
  <c r="M901" i="1"/>
  <c r="O901" i="1" s="1"/>
  <c r="M902" i="1"/>
  <c r="O902" i="1" s="1"/>
  <c r="M903" i="1"/>
  <c r="O903" i="1" s="1"/>
  <c r="M904" i="1"/>
  <c r="O904" i="1" s="1"/>
  <c r="M905" i="1"/>
  <c r="O905" i="1" s="1"/>
  <c r="M906" i="1"/>
  <c r="O906" i="1" s="1"/>
  <c r="M907" i="1"/>
  <c r="O907" i="1" s="1"/>
  <c r="M908" i="1"/>
  <c r="O908" i="1" s="1"/>
  <c r="M909" i="1"/>
  <c r="O909" i="1" s="1"/>
  <c r="M910" i="1"/>
  <c r="O910" i="1" s="1"/>
  <c r="M911" i="1"/>
  <c r="O911" i="1" s="1"/>
  <c r="M912" i="1"/>
  <c r="O912" i="1" s="1"/>
  <c r="M913" i="1"/>
  <c r="O913" i="1" s="1"/>
  <c r="M914" i="1"/>
  <c r="O914" i="1" s="1"/>
  <c r="M915" i="1"/>
  <c r="O915" i="1" s="1"/>
  <c r="M916" i="1"/>
  <c r="O916" i="1" s="1"/>
  <c r="M917" i="1"/>
  <c r="M918" i="1"/>
  <c r="O918" i="1" s="1"/>
  <c r="M919" i="1"/>
  <c r="O919" i="1" s="1"/>
  <c r="M920" i="1"/>
  <c r="O920" i="1" s="1"/>
  <c r="M921" i="1"/>
  <c r="O921" i="1" s="1"/>
  <c r="M922" i="1"/>
  <c r="O922" i="1" s="1"/>
  <c r="M923" i="1"/>
  <c r="O923" i="1" s="1"/>
  <c r="M924" i="1"/>
  <c r="O924" i="1" s="1"/>
  <c r="M925" i="1"/>
  <c r="O925" i="1" s="1"/>
  <c r="M926" i="1"/>
  <c r="O926" i="1" s="1"/>
  <c r="M927" i="1"/>
  <c r="O927" i="1" s="1"/>
  <c r="M928" i="1"/>
  <c r="O928" i="1" s="1"/>
  <c r="M929" i="1"/>
  <c r="O929" i="1" s="1"/>
  <c r="M930" i="1"/>
  <c r="O930" i="1" s="1"/>
  <c r="M931" i="1"/>
  <c r="O931" i="1" s="1"/>
  <c r="M932" i="1"/>
  <c r="O932" i="1" s="1"/>
  <c r="M933" i="1"/>
  <c r="O933" i="1" s="1"/>
  <c r="M934" i="1"/>
  <c r="O934" i="1" s="1"/>
  <c r="M935" i="1"/>
  <c r="O935" i="1" s="1"/>
  <c r="M936" i="1"/>
  <c r="O936" i="1" s="1"/>
  <c r="M937" i="1"/>
  <c r="O937" i="1" s="1"/>
  <c r="M938" i="1"/>
  <c r="O938" i="1" s="1"/>
  <c r="M939" i="1"/>
  <c r="O939" i="1" s="1"/>
  <c r="M940" i="1"/>
  <c r="O940" i="1" s="1"/>
  <c r="M941" i="1"/>
  <c r="O941" i="1" s="1"/>
  <c r="M942" i="1"/>
  <c r="O942" i="1" s="1"/>
  <c r="M943" i="1"/>
  <c r="O943" i="1" s="1"/>
  <c r="M944" i="1"/>
  <c r="O944" i="1" s="1"/>
  <c r="M945" i="1"/>
  <c r="O945" i="1" s="1"/>
  <c r="M946" i="1"/>
  <c r="O946" i="1" s="1"/>
  <c r="M947" i="1"/>
  <c r="O947" i="1" s="1"/>
  <c r="M948" i="1"/>
  <c r="O948" i="1" s="1"/>
  <c r="M949" i="1"/>
  <c r="O949" i="1" s="1"/>
  <c r="M950" i="1"/>
  <c r="O950" i="1" s="1"/>
  <c r="M951" i="1"/>
  <c r="O951" i="1" s="1"/>
  <c r="M952" i="1"/>
  <c r="O952" i="1" s="1"/>
  <c r="M953" i="1"/>
  <c r="O953" i="1" s="1"/>
  <c r="M954" i="1"/>
  <c r="O954" i="1" s="1"/>
  <c r="M955" i="1"/>
  <c r="O955" i="1" s="1"/>
  <c r="M956" i="1"/>
  <c r="O956" i="1" s="1"/>
  <c r="M957" i="1"/>
  <c r="O957" i="1" s="1"/>
  <c r="M958" i="1"/>
  <c r="O958" i="1" s="1"/>
  <c r="M959" i="1"/>
  <c r="O959" i="1" s="1"/>
  <c r="M960" i="1"/>
  <c r="O960" i="1" s="1"/>
  <c r="M961" i="1"/>
  <c r="O961" i="1" s="1"/>
  <c r="M962" i="1"/>
  <c r="O962" i="1" s="1"/>
  <c r="M963" i="1"/>
  <c r="O963" i="1" s="1"/>
  <c r="M964" i="1"/>
  <c r="O964" i="1" s="1"/>
  <c r="M965" i="1"/>
  <c r="O965" i="1" s="1"/>
  <c r="M966" i="1"/>
  <c r="O966" i="1" s="1"/>
  <c r="M967" i="1"/>
  <c r="O967" i="1" s="1"/>
  <c r="M968" i="1"/>
  <c r="O968" i="1" s="1"/>
  <c r="M969" i="1"/>
  <c r="O969" i="1" s="1"/>
  <c r="M970" i="1"/>
  <c r="O970" i="1" s="1"/>
  <c r="M971" i="1"/>
  <c r="O971" i="1" s="1"/>
  <c r="M972" i="1"/>
  <c r="O972" i="1" s="1"/>
  <c r="M973" i="1"/>
  <c r="O973" i="1" s="1"/>
  <c r="M974" i="1"/>
  <c r="O974" i="1" s="1"/>
  <c r="M975" i="1"/>
  <c r="O975" i="1" s="1"/>
  <c r="M976" i="1"/>
  <c r="O976" i="1" s="1"/>
  <c r="M977" i="1"/>
  <c r="O977" i="1" s="1"/>
  <c r="M978" i="1"/>
  <c r="O978" i="1" s="1"/>
  <c r="M979" i="1"/>
  <c r="O979" i="1" s="1"/>
  <c r="M980" i="1"/>
  <c r="O980" i="1" s="1"/>
  <c r="M981" i="1"/>
  <c r="O981" i="1" s="1"/>
  <c r="M982" i="1"/>
  <c r="O982" i="1" s="1"/>
  <c r="M983" i="1"/>
  <c r="O983" i="1" s="1"/>
  <c r="M984" i="1"/>
  <c r="O984" i="1" s="1"/>
  <c r="M985" i="1"/>
  <c r="O985" i="1" s="1"/>
  <c r="M986" i="1"/>
  <c r="O986" i="1" s="1"/>
  <c r="M987" i="1"/>
  <c r="O987" i="1" s="1"/>
  <c r="M988" i="1"/>
  <c r="O988" i="1" s="1"/>
  <c r="M989" i="1"/>
  <c r="O989" i="1" s="1"/>
  <c r="M990" i="1"/>
  <c r="O990" i="1" s="1"/>
  <c r="M991" i="1"/>
  <c r="O991" i="1" s="1"/>
  <c r="M992" i="1"/>
  <c r="O992" i="1" s="1"/>
  <c r="M993" i="1"/>
  <c r="O993" i="1" s="1"/>
  <c r="M994" i="1"/>
  <c r="O994" i="1" s="1"/>
  <c r="M995" i="1"/>
  <c r="O995" i="1" s="1"/>
  <c r="M996" i="1"/>
  <c r="O996" i="1" s="1"/>
  <c r="M997" i="1"/>
  <c r="O997" i="1" s="1"/>
  <c r="M998" i="1"/>
  <c r="O998" i="1" s="1"/>
  <c r="M999" i="1"/>
  <c r="O999" i="1" s="1"/>
  <c r="M1000" i="1"/>
  <c r="O1000" i="1" s="1"/>
  <c r="M1001" i="1"/>
  <c r="O1001" i="1" s="1"/>
  <c r="M1002" i="1"/>
  <c r="O1002" i="1" s="1"/>
  <c r="M1003" i="1"/>
  <c r="O1003" i="1" s="1"/>
  <c r="M1004" i="1"/>
  <c r="O1004" i="1" s="1"/>
  <c r="M1005" i="1"/>
  <c r="O1005" i="1" s="1"/>
  <c r="M1006" i="1"/>
  <c r="O1006" i="1" s="1"/>
  <c r="M1007" i="1"/>
  <c r="O1007" i="1" s="1"/>
  <c r="M1008" i="1"/>
  <c r="O1008" i="1" s="1"/>
  <c r="M1009" i="1"/>
  <c r="O1009" i="1" s="1"/>
  <c r="M1010" i="1"/>
  <c r="O1010" i="1" s="1"/>
  <c r="M1011" i="1"/>
  <c r="O1011" i="1" s="1"/>
  <c r="M1012" i="1"/>
  <c r="O1012" i="1" s="1"/>
  <c r="M1013" i="1"/>
  <c r="O1013" i="1" s="1"/>
  <c r="M1014" i="1"/>
  <c r="O1014" i="1" s="1"/>
  <c r="M1015" i="1"/>
  <c r="O1015" i="1" s="1"/>
  <c r="M1016" i="1"/>
  <c r="O1016" i="1" s="1"/>
  <c r="M1017" i="1"/>
  <c r="O1017" i="1" s="1"/>
  <c r="M1018" i="1"/>
  <c r="O1018" i="1" s="1"/>
  <c r="M1019" i="1"/>
  <c r="O1019" i="1" s="1"/>
  <c r="M1020" i="1"/>
  <c r="O1020" i="1" s="1"/>
  <c r="M1021" i="1"/>
  <c r="O1021" i="1" s="1"/>
  <c r="M1022" i="1"/>
  <c r="O1022" i="1" s="1"/>
  <c r="M1023" i="1"/>
  <c r="O1023" i="1" s="1"/>
  <c r="M1024" i="1"/>
  <c r="O1024" i="1" s="1"/>
  <c r="M1025" i="1"/>
  <c r="O1025" i="1" s="1"/>
  <c r="M1026" i="1"/>
  <c r="O1026" i="1" s="1"/>
  <c r="M1027" i="1"/>
  <c r="O1027" i="1" s="1"/>
  <c r="M1028" i="1"/>
  <c r="O1028" i="1" s="1"/>
  <c r="M1029" i="1"/>
  <c r="O1029" i="1" s="1"/>
  <c r="M1030" i="1"/>
  <c r="O1030" i="1" s="1"/>
  <c r="M1031" i="1"/>
  <c r="O1031" i="1" s="1"/>
  <c r="M1032" i="1"/>
  <c r="O1032" i="1" s="1"/>
  <c r="M1033" i="1"/>
  <c r="O1033" i="1" s="1"/>
  <c r="M1034" i="1"/>
  <c r="O1034" i="1" s="1"/>
  <c r="M1035" i="1"/>
  <c r="O1035" i="1" s="1"/>
  <c r="M1036" i="1"/>
  <c r="O1036" i="1" s="1"/>
  <c r="M1037" i="1"/>
  <c r="O1037" i="1" s="1"/>
  <c r="M1038" i="1"/>
  <c r="O1038" i="1" s="1"/>
  <c r="M1039" i="1"/>
  <c r="O1039" i="1" s="1"/>
  <c r="M1040" i="1"/>
  <c r="O1040" i="1" s="1"/>
  <c r="M1041" i="1"/>
  <c r="O1041" i="1" s="1"/>
  <c r="M1042" i="1"/>
  <c r="O1042" i="1" s="1"/>
  <c r="M1043" i="1"/>
  <c r="O1043" i="1" s="1"/>
  <c r="M1044" i="1"/>
  <c r="O1044" i="1" s="1"/>
  <c r="M1045" i="1"/>
  <c r="O1045" i="1" s="1"/>
  <c r="M1046" i="1"/>
  <c r="O1046" i="1" s="1"/>
  <c r="M1047" i="1"/>
  <c r="O1047" i="1" s="1"/>
  <c r="M1048" i="1"/>
  <c r="O1048" i="1" s="1"/>
  <c r="M1049" i="1"/>
  <c r="O1049" i="1" s="1"/>
  <c r="M1050" i="1"/>
  <c r="O1050" i="1" s="1"/>
  <c r="M1051" i="1"/>
  <c r="O1051" i="1" s="1"/>
  <c r="M1052" i="1"/>
  <c r="O1052" i="1" s="1"/>
  <c r="M1053" i="1"/>
  <c r="O1053" i="1" s="1"/>
  <c r="M1054" i="1"/>
  <c r="O1054" i="1" s="1"/>
  <c r="M1055" i="1"/>
  <c r="O1055" i="1" s="1"/>
  <c r="M1056" i="1"/>
  <c r="O1056" i="1" s="1"/>
  <c r="M1057" i="1"/>
  <c r="O1057" i="1" s="1"/>
  <c r="M1058" i="1"/>
  <c r="O1058" i="1" s="1"/>
  <c r="M1059" i="1"/>
  <c r="O1059" i="1" s="1"/>
  <c r="M1060" i="1"/>
  <c r="O1060" i="1" s="1"/>
  <c r="M1061" i="1"/>
  <c r="O1061" i="1" s="1"/>
  <c r="M1062" i="1"/>
  <c r="O1062" i="1" s="1"/>
  <c r="M1063" i="1"/>
  <c r="O1063" i="1" s="1"/>
  <c r="M1064" i="1"/>
  <c r="O1064" i="1" s="1"/>
  <c r="M1065" i="1"/>
  <c r="O1065" i="1" s="1"/>
  <c r="M1066" i="1"/>
  <c r="O1066" i="1" s="1"/>
  <c r="M1067" i="1"/>
  <c r="O1067" i="1" s="1"/>
  <c r="M1068" i="1"/>
  <c r="O1068" i="1" s="1"/>
  <c r="M1069" i="1"/>
  <c r="O1069" i="1" s="1"/>
  <c r="M1070" i="1"/>
  <c r="O1070" i="1" s="1"/>
  <c r="M1071" i="1"/>
  <c r="O1071" i="1" s="1"/>
  <c r="M1072" i="1"/>
  <c r="O1072" i="1" s="1"/>
  <c r="M1073" i="1"/>
  <c r="O1073" i="1" s="1"/>
  <c r="M1074" i="1"/>
  <c r="O1074" i="1" s="1"/>
  <c r="M1075" i="1"/>
  <c r="O1075" i="1" s="1"/>
  <c r="M1076" i="1"/>
  <c r="O1076" i="1" s="1"/>
  <c r="M1077" i="1"/>
  <c r="O1077" i="1" s="1"/>
  <c r="M1078" i="1"/>
  <c r="O1078" i="1" s="1"/>
  <c r="M1079" i="1"/>
  <c r="O1079" i="1" s="1"/>
  <c r="M1080" i="1"/>
  <c r="O1080" i="1" s="1"/>
  <c r="M1081" i="1"/>
  <c r="O1081" i="1" s="1"/>
  <c r="M1082" i="1"/>
  <c r="O1082" i="1" s="1"/>
  <c r="M1083" i="1"/>
  <c r="O1083" i="1" s="1"/>
  <c r="M1084" i="1"/>
  <c r="O1084" i="1" s="1"/>
  <c r="M1085" i="1"/>
  <c r="O1085" i="1" s="1"/>
  <c r="M1086" i="1"/>
  <c r="O1086" i="1" s="1"/>
  <c r="M1087" i="1"/>
  <c r="O1087" i="1" s="1"/>
  <c r="M1088" i="1"/>
  <c r="O1088" i="1" s="1"/>
  <c r="M1089" i="1"/>
  <c r="O1089" i="1" s="1"/>
  <c r="M1090" i="1"/>
  <c r="O1090" i="1" s="1"/>
  <c r="M1091" i="1"/>
  <c r="O1091" i="1" s="1"/>
  <c r="M1092" i="1"/>
  <c r="O1092" i="1" s="1"/>
  <c r="M1093" i="1"/>
  <c r="O1093" i="1" s="1"/>
  <c r="M1094" i="1"/>
  <c r="O1094" i="1" s="1"/>
  <c r="M1095" i="1"/>
  <c r="O1095" i="1" s="1"/>
  <c r="M1096" i="1"/>
  <c r="O1096" i="1" s="1"/>
  <c r="M1097" i="1"/>
  <c r="O1097" i="1" s="1"/>
  <c r="M1098" i="1"/>
  <c r="O1098" i="1" s="1"/>
  <c r="M1099" i="1"/>
  <c r="O1099" i="1" s="1"/>
  <c r="M1100" i="1"/>
  <c r="O1100" i="1" s="1"/>
  <c r="M1101" i="1"/>
  <c r="O1101" i="1" s="1"/>
  <c r="M1102" i="1"/>
  <c r="O1102" i="1" s="1"/>
  <c r="M1103" i="1"/>
  <c r="O1103" i="1" s="1"/>
  <c r="M1104" i="1"/>
  <c r="O1104" i="1" s="1"/>
  <c r="M1105" i="1"/>
  <c r="O1105" i="1" s="1"/>
  <c r="M1106" i="1"/>
  <c r="O1106" i="1" s="1"/>
  <c r="M1107" i="1"/>
  <c r="O1107" i="1" s="1"/>
  <c r="M1108" i="1"/>
  <c r="O1108" i="1" s="1"/>
  <c r="M1109" i="1"/>
  <c r="O1109" i="1" s="1"/>
  <c r="M1110" i="1"/>
  <c r="O1110" i="1" s="1"/>
  <c r="M1111" i="1"/>
  <c r="O1111" i="1" s="1"/>
  <c r="M1112" i="1"/>
  <c r="O1112" i="1" s="1"/>
  <c r="M1113" i="1"/>
  <c r="O1113" i="1" s="1"/>
  <c r="M1114" i="1"/>
  <c r="O1114" i="1" s="1"/>
  <c r="M1115" i="1"/>
  <c r="O1115" i="1" s="1"/>
  <c r="M1116" i="1"/>
  <c r="O1116" i="1" s="1"/>
  <c r="M1117" i="1"/>
  <c r="O1117" i="1" s="1"/>
  <c r="M1118" i="1"/>
  <c r="O1118" i="1" s="1"/>
  <c r="M1119" i="1"/>
  <c r="O1119" i="1" s="1"/>
  <c r="M1120" i="1"/>
  <c r="O1120" i="1" s="1"/>
  <c r="M1121" i="1"/>
  <c r="O1121" i="1" s="1"/>
  <c r="M1122" i="1"/>
  <c r="O1122" i="1" s="1"/>
  <c r="M1123" i="1"/>
  <c r="O1123" i="1" s="1"/>
  <c r="M1124" i="1"/>
  <c r="O1124" i="1" s="1"/>
  <c r="M1125" i="1"/>
  <c r="O1125" i="1" s="1"/>
  <c r="M1126" i="1"/>
  <c r="O1126" i="1" s="1"/>
  <c r="M1127" i="1"/>
  <c r="O1127" i="1" s="1"/>
  <c r="M1128" i="1"/>
  <c r="O1128" i="1" s="1"/>
  <c r="M1129" i="1"/>
  <c r="O1129" i="1" s="1"/>
  <c r="M1130" i="1"/>
  <c r="O1130" i="1" s="1"/>
  <c r="M1131" i="1"/>
  <c r="O1131" i="1" s="1"/>
  <c r="M1132" i="1"/>
  <c r="O1132" i="1" s="1"/>
  <c r="M1133" i="1"/>
  <c r="O1133" i="1" s="1"/>
  <c r="M1134" i="1"/>
  <c r="O1134" i="1" s="1"/>
  <c r="M1135" i="1"/>
  <c r="O1135" i="1" s="1"/>
  <c r="M1136" i="1"/>
  <c r="O1136" i="1" s="1"/>
  <c r="M1137" i="1"/>
  <c r="O1137" i="1" s="1"/>
  <c r="M1138" i="1"/>
  <c r="O1138" i="1" s="1"/>
  <c r="M1139" i="1"/>
  <c r="O1139" i="1" s="1"/>
  <c r="M1140" i="1"/>
  <c r="O1140" i="1" s="1"/>
  <c r="M1141" i="1"/>
  <c r="O1141" i="1" s="1"/>
  <c r="M1142" i="1"/>
  <c r="O1142" i="1" s="1"/>
  <c r="M1143" i="1"/>
  <c r="O1143" i="1" s="1"/>
  <c r="M1144" i="1"/>
  <c r="O1144" i="1" s="1"/>
  <c r="M1145" i="1"/>
  <c r="O1145" i="1" s="1"/>
  <c r="M1146" i="1"/>
  <c r="O1146" i="1" s="1"/>
  <c r="M1147" i="1"/>
  <c r="O1147" i="1" s="1"/>
  <c r="M1148" i="1"/>
  <c r="O1148" i="1" s="1"/>
  <c r="M1149" i="1"/>
  <c r="O1149" i="1" s="1"/>
  <c r="M1150" i="1"/>
  <c r="O1150" i="1" s="1"/>
  <c r="M1151" i="1"/>
  <c r="O1151" i="1" s="1"/>
  <c r="M1152" i="1"/>
  <c r="O1152" i="1" s="1"/>
  <c r="M1153" i="1"/>
  <c r="O1153" i="1" s="1"/>
  <c r="M1154" i="1"/>
  <c r="O1154" i="1" s="1"/>
  <c r="M1155" i="1"/>
  <c r="O1155" i="1" s="1"/>
  <c r="M1156" i="1"/>
  <c r="O1156" i="1" s="1"/>
  <c r="M1157" i="1"/>
  <c r="O1157" i="1" s="1"/>
  <c r="M1158" i="1"/>
  <c r="O1158" i="1" s="1"/>
  <c r="M1159" i="1"/>
  <c r="O1159" i="1" s="1"/>
  <c r="M1160" i="1"/>
  <c r="O1160" i="1" s="1"/>
  <c r="M1161" i="1"/>
  <c r="O1161" i="1" s="1"/>
  <c r="M1162" i="1"/>
  <c r="O1162" i="1" s="1"/>
  <c r="M1163" i="1"/>
  <c r="O1163" i="1" s="1"/>
  <c r="M1164" i="1"/>
  <c r="O1164" i="1" s="1"/>
  <c r="M1165" i="1"/>
  <c r="O1165" i="1" s="1"/>
  <c r="M1166" i="1"/>
  <c r="O1166" i="1" s="1"/>
  <c r="M1167" i="1"/>
  <c r="O1167" i="1" s="1"/>
  <c r="M1168" i="1"/>
  <c r="O1168" i="1" s="1"/>
  <c r="M1169" i="1"/>
  <c r="O1169" i="1" s="1"/>
  <c r="M1170" i="1"/>
  <c r="O1170" i="1" s="1"/>
  <c r="M1171" i="1"/>
  <c r="O1171" i="1" s="1"/>
  <c r="M1172" i="1"/>
  <c r="O1172" i="1" s="1"/>
  <c r="M1173" i="1"/>
  <c r="O1173" i="1" s="1"/>
  <c r="M1174" i="1"/>
  <c r="O1174" i="1" s="1"/>
  <c r="M1175" i="1"/>
  <c r="O1175" i="1" s="1"/>
  <c r="M1176" i="1"/>
  <c r="O1176" i="1" s="1"/>
  <c r="M1177" i="1"/>
  <c r="O1177" i="1" s="1"/>
  <c r="M1178" i="1"/>
  <c r="O1178" i="1" s="1"/>
  <c r="M1179" i="1"/>
  <c r="O1179" i="1" s="1"/>
  <c r="M1180" i="1"/>
  <c r="O1180" i="1" s="1"/>
  <c r="M1181" i="1"/>
  <c r="O1181" i="1" s="1"/>
  <c r="M1182" i="1"/>
  <c r="O1182" i="1" s="1"/>
  <c r="M1183" i="1"/>
  <c r="O1183" i="1" s="1"/>
  <c r="M1184" i="1"/>
  <c r="O1184" i="1" s="1"/>
  <c r="M1185" i="1"/>
  <c r="O1185" i="1" s="1"/>
  <c r="M1186" i="1"/>
  <c r="O1186" i="1" s="1"/>
  <c r="M1187" i="1"/>
  <c r="O1187" i="1" s="1"/>
  <c r="M1188" i="1"/>
  <c r="O1188" i="1" s="1"/>
  <c r="M1189" i="1"/>
  <c r="O1189" i="1" s="1"/>
  <c r="M1190" i="1"/>
  <c r="O1190" i="1" s="1"/>
  <c r="M1191" i="1"/>
  <c r="O1191" i="1" s="1"/>
  <c r="M1192" i="1"/>
  <c r="O1192" i="1" s="1"/>
  <c r="M1193" i="1"/>
  <c r="O1193" i="1" s="1"/>
  <c r="M1194" i="1"/>
  <c r="O1194" i="1" s="1"/>
  <c r="M1195" i="1"/>
  <c r="O1195" i="1" s="1"/>
  <c r="M1196" i="1"/>
  <c r="O1196" i="1" s="1"/>
  <c r="M1197" i="1"/>
  <c r="O1197" i="1" s="1"/>
  <c r="M1198" i="1"/>
  <c r="O1198" i="1" s="1"/>
  <c r="M1199" i="1"/>
  <c r="O1199" i="1" s="1"/>
  <c r="M1200" i="1"/>
  <c r="O1200" i="1" s="1"/>
  <c r="M1201" i="1"/>
  <c r="O1201" i="1" s="1"/>
  <c r="M1202" i="1"/>
  <c r="O1202" i="1" s="1"/>
  <c r="M1203" i="1"/>
  <c r="O1203" i="1" s="1"/>
  <c r="M1204" i="1"/>
  <c r="O1204" i="1" s="1"/>
  <c r="M1205" i="1"/>
  <c r="O1205" i="1" s="1"/>
  <c r="M1206" i="1"/>
  <c r="O1206" i="1" s="1"/>
  <c r="M1207" i="1"/>
  <c r="O1207" i="1" s="1"/>
  <c r="M1208" i="1"/>
  <c r="O1208" i="1" s="1"/>
  <c r="M1209" i="1"/>
  <c r="O1209" i="1" s="1"/>
  <c r="M1210" i="1"/>
  <c r="O1210" i="1" s="1"/>
  <c r="M1211" i="1"/>
  <c r="O1211" i="1" s="1"/>
  <c r="M1212" i="1"/>
  <c r="O1212" i="1" s="1"/>
  <c r="M1213" i="1"/>
  <c r="O1213" i="1" s="1"/>
  <c r="M1214" i="1"/>
  <c r="O1214" i="1" s="1"/>
  <c r="M1215" i="1"/>
  <c r="O1215" i="1" s="1"/>
  <c r="M1216" i="1"/>
  <c r="O1216" i="1" s="1"/>
  <c r="M1217" i="1"/>
  <c r="O1217" i="1" s="1"/>
  <c r="M1218" i="1"/>
  <c r="O1218" i="1" s="1"/>
  <c r="M1219" i="1"/>
  <c r="O1219" i="1" s="1"/>
  <c r="M1220" i="1"/>
  <c r="O1220" i="1" s="1"/>
  <c r="M1221" i="1"/>
  <c r="O1221" i="1" s="1"/>
  <c r="M1222" i="1"/>
  <c r="O1222" i="1" s="1"/>
  <c r="M1223" i="1"/>
  <c r="O1223" i="1" s="1"/>
  <c r="M1224" i="1"/>
  <c r="O1224" i="1" s="1"/>
  <c r="M1225" i="1"/>
  <c r="O1225" i="1" s="1"/>
  <c r="M1226" i="1"/>
  <c r="O1226" i="1" s="1"/>
  <c r="M1227" i="1"/>
  <c r="O1227" i="1" s="1"/>
  <c r="M1228" i="1"/>
  <c r="O1228" i="1" s="1"/>
  <c r="M1229" i="1"/>
  <c r="O1229" i="1" s="1"/>
  <c r="M1230" i="1"/>
  <c r="O1230" i="1" s="1"/>
  <c r="M1231" i="1"/>
  <c r="O1231" i="1" s="1"/>
  <c r="M1232" i="1"/>
  <c r="O1232" i="1" s="1"/>
  <c r="M1233" i="1"/>
  <c r="O1233" i="1" s="1"/>
  <c r="M1234" i="1"/>
  <c r="O1234" i="1" s="1"/>
  <c r="M1235" i="1"/>
  <c r="O1235" i="1" s="1"/>
  <c r="M1236" i="1"/>
  <c r="O1236" i="1" s="1"/>
  <c r="M1237" i="1"/>
  <c r="O1237" i="1" s="1"/>
  <c r="M1238" i="1"/>
  <c r="O1238" i="1" s="1"/>
  <c r="M1239" i="1"/>
  <c r="O1239" i="1" s="1"/>
  <c r="M1240" i="1"/>
  <c r="O1240" i="1" s="1"/>
  <c r="M1241" i="1"/>
  <c r="O1241" i="1" s="1"/>
  <c r="M1242" i="1"/>
  <c r="O1242" i="1" s="1"/>
  <c r="M1243" i="1"/>
  <c r="O1243" i="1" s="1"/>
  <c r="M1244" i="1"/>
  <c r="O1244" i="1" s="1"/>
  <c r="M1245" i="1"/>
  <c r="O1245" i="1" s="1"/>
  <c r="M1246" i="1"/>
  <c r="O1246" i="1" s="1"/>
  <c r="M1247" i="1"/>
  <c r="O1247" i="1" s="1"/>
  <c r="M1248" i="1"/>
  <c r="O1248" i="1" s="1"/>
  <c r="M1249" i="1"/>
  <c r="O1249" i="1" s="1"/>
  <c r="M1250" i="1"/>
  <c r="O1250" i="1" s="1"/>
  <c r="M1251" i="1"/>
  <c r="O1251" i="1" s="1"/>
  <c r="M1252" i="1"/>
  <c r="O1252" i="1" s="1"/>
  <c r="M1253" i="1"/>
  <c r="O1253" i="1" s="1"/>
  <c r="M1254" i="1"/>
  <c r="O1254" i="1" s="1"/>
  <c r="M1255" i="1"/>
  <c r="O1255" i="1" s="1"/>
  <c r="M1256" i="1"/>
  <c r="O1256" i="1" s="1"/>
  <c r="M1257" i="1"/>
  <c r="O1257" i="1" s="1"/>
  <c r="M1258" i="1"/>
  <c r="O1258" i="1" s="1"/>
  <c r="M1259" i="1"/>
  <c r="O1259" i="1" s="1"/>
  <c r="M1260" i="1"/>
  <c r="O1260" i="1" s="1"/>
  <c r="M1261" i="1"/>
  <c r="O1261" i="1" s="1"/>
  <c r="M1262" i="1"/>
  <c r="O1262" i="1" s="1"/>
  <c r="M1263" i="1"/>
  <c r="O1263" i="1" s="1"/>
  <c r="M1264" i="1"/>
  <c r="O1264" i="1" s="1"/>
  <c r="M1265" i="1"/>
  <c r="O1265" i="1" s="1"/>
  <c r="M1266" i="1"/>
  <c r="O1266" i="1" s="1"/>
  <c r="M1267" i="1"/>
  <c r="O1267" i="1" s="1"/>
  <c r="M1268" i="1"/>
  <c r="O1268" i="1" s="1"/>
  <c r="M1269" i="1"/>
  <c r="O1269" i="1" s="1"/>
  <c r="M1270" i="1"/>
  <c r="O1270" i="1" s="1"/>
  <c r="M1271" i="1"/>
  <c r="O1271" i="1" s="1"/>
  <c r="M1272" i="1"/>
  <c r="O1272" i="1" s="1"/>
  <c r="M1273" i="1"/>
  <c r="O1273" i="1" s="1"/>
  <c r="M1274" i="1"/>
  <c r="O1274" i="1" s="1"/>
  <c r="M1275" i="1"/>
  <c r="O1275" i="1" s="1"/>
  <c r="M1276" i="1"/>
  <c r="O1276" i="1" s="1"/>
  <c r="M1277" i="1"/>
  <c r="O1277" i="1" s="1"/>
  <c r="M1278" i="1"/>
  <c r="O1278" i="1" s="1"/>
  <c r="M1279" i="1"/>
  <c r="O1279" i="1" s="1"/>
  <c r="M1280" i="1"/>
  <c r="O1280" i="1" s="1"/>
  <c r="M1281" i="1"/>
  <c r="O1281" i="1" s="1"/>
  <c r="M1282" i="1"/>
  <c r="O1282" i="1" s="1"/>
  <c r="M1283" i="1"/>
  <c r="O1283" i="1" s="1"/>
  <c r="M1284" i="1"/>
  <c r="O1284" i="1" s="1"/>
  <c r="M1285" i="1"/>
  <c r="O1285" i="1" s="1"/>
  <c r="M1286" i="1"/>
  <c r="O1286" i="1" s="1"/>
  <c r="M1287" i="1"/>
  <c r="O1287" i="1" s="1"/>
  <c r="M1288" i="1"/>
  <c r="O1288" i="1" s="1"/>
  <c r="M1289" i="1"/>
  <c r="O1289" i="1" s="1"/>
  <c r="M1290" i="1"/>
  <c r="O1290" i="1" s="1"/>
  <c r="M1291" i="1"/>
  <c r="O1291" i="1" s="1"/>
  <c r="M1292" i="1"/>
  <c r="O1292" i="1" s="1"/>
  <c r="M1293" i="1"/>
  <c r="O1293" i="1" s="1"/>
  <c r="M1294" i="1"/>
  <c r="O1294" i="1" s="1"/>
  <c r="M1295" i="1"/>
  <c r="O1295" i="1" s="1"/>
  <c r="M1296" i="1"/>
  <c r="O1296" i="1" s="1"/>
  <c r="M1297" i="1"/>
  <c r="O1297" i="1" s="1"/>
  <c r="M1298" i="1"/>
  <c r="O1298" i="1" s="1"/>
  <c r="M1299" i="1"/>
  <c r="O1299" i="1" s="1"/>
  <c r="M1300" i="1"/>
  <c r="O1300" i="1" s="1"/>
  <c r="M1301" i="1"/>
  <c r="O1301" i="1" s="1"/>
  <c r="M1302" i="1"/>
  <c r="O1302" i="1" s="1"/>
  <c r="M1303" i="1"/>
  <c r="O1303" i="1" s="1"/>
  <c r="M1304" i="1"/>
  <c r="O1304" i="1" s="1"/>
  <c r="M1305" i="1"/>
  <c r="O1305" i="1" s="1"/>
  <c r="M1306" i="1"/>
  <c r="O1306" i="1" s="1"/>
  <c r="M1307" i="1"/>
  <c r="O1307" i="1" s="1"/>
  <c r="M1308" i="1"/>
  <c r="O1308" i="1" s="1"/>
  <c r="M1309" i="1"/>
  <c r="O1309" i="1" s="1"/>
  <c r="M1310" i="1"/>
  <c r="O1310" i="1" s="1"/>
  <c r="M1311" i="1"/>
  <c r="O1311" i="1" s="1"/>
  <c r="M1312" i="1"/>
  <c r="O1312" i="1" s="1"/>
  <c r="M1313" i="1"/>
  <c r="O1313" i="1" s="1"/>
  <c r="M1314" i="1"/>
  <c r="O1314" i="1" s="1"/>
  <c r="M1315" i="1"/>
  <c r="O1315" i="1" s="1"/>
  <c r="M1316" i="1"/>
  <c r="O1316" i="1" s="1"/>
  <c r="M1317" i="1"/>
  <c r="O1317" i="1" s="1"/>
  <c r="M1318" i="1"/>
  <c r="O1318" i="1" s="1"/>
  <c r="M1319" i="1"/>
  <c r="O1319" i="1" s="1"/>
  <c r="M1320" i="1"/>
  <c r="O1320" i="1" s="1"/>
  <c r="M1321" i="1"/>
  <c r="O1321" i="1" s="1"/>
  <c r="M1322" i="1"/>
  <c r="O1322" i="1" s="1"/>
  <c r="M1323" i="1"/>
  <c r="O1323" i="1" s="1"/>
  <c r="M1324" i="1"/>
  <c r="O1324" i="1" s="1"/>
  <c r="M1325" i="1"/>
  <c r="O1325" i="1" s="1"/>
  <c r="M1326" i="1"/>
  <c r="O1326" i="1" s="1"/>
  <c r="M1327" i="1"/>
  <c r="O1327" i="1" s="1"/>
  <c r="M1328" i="1"/>
  <c r="O1328" i="1" s="1"/>
  <c r="M1329" i="1"/>
  <c r="O1329" i="1" s="1"/>
  <c r="M1330" i="1"/>
  <c r="O1330" i="1" s="1"/>
  <c r="M1331" i="1"/>
  <c r="O1331" i="1" s="1"/>
  <c r="M1332" i="1"/>
  <c r="O1332" i="1" s="1"/>
  <c r="M1333" i="1"/>
  <c r="O1333" i="1" s="1"/>
  <c r="M1334" i="1"/>
  <c r="O1334" i="1" s="1"/>
  <c r="M1335" i="1"/>
  <c r="O1335" i="1" s="1"/>
  <c r="M1336" i="1"/>
  <c r="O1336" i="1" s="1"/>
  <c r="M1337" i="1"/>
  <c r="O1337" i="1" s="1"/>
  <c r="M1338" i="1"/>
  <c r="O1338" i="1" s="1"/>
  <c r="M1339" i="1"/>
  <c r="O1339" i="1" s="1"/>
  <c r="M1340" i="1"/>
  <c r="O1340" i="1" s="1"/>
  <c r="M1341" i="1"/>
  <c r="O1341" i="1" s="1"/>
  <c r="M1342" i="1"/>
  <c r="O1342" i="1" s="1"/>
  <c r="M1343" i="1"/>
  <c r="O1343" i="1" s="1"/>
  <c r="M1344" i="1"/>
  <c r="O1344" i="1" s="1"/>
  <c r="M1345" i="1"/>
  <c r="O1345" i="1" s="1"/>
  <c r="M1346" i="1"/>
  <c r="O1346" i="1" s="1"/>
  <c r="M1347" i="1"/>
  <c r="O1347" i="1" s="1"/>
  <c r="M1348" i="1"/>
  <c r="O1348" i="1" s="1"/>
  <c r="M1349" i="1"/>
  <c r="O1349" i="1" s="1"/>
  <c r="M1350" i="1"/>
  <c r="O1350" i="1" s="1"/>
  <c r="M1351" i="1"/>
  <c r="O1351" i="1" s="1"/>
  <c r="M1352" i="1"/>
  <c r="O1352" i="1" s="1"/>
  <c r="M1353" i="1"/>
  <c r="O1353" i="1" s="1"/>
  <c r="M1354" i="1"/>
  <c r="O1354" i="1" s="1"/>
  <c r="M1355" i="1"/>
  <c r="O1355" i="1" s="1"/>
  <c r="M1356" i="1"/>
  <c r="O1356" i="1" s="1"/>
  <c r="M1357" i="1"/>
  <c r="O1357" i="1" s="1"/>
  <c r="M1358" i="1"/>
  <c r="O1358" i="1" s="1"/>
  <c r="M1359" i="1"/>
  <c r="O1359" i="1" s="1"/>
  <c r="M1360" i="1"/>
  <c r="O1360" i="1" s="1"/>
  <c r="M1361" i="1"/>
  <c r="O1361" i="1" s="1"/>
  <c r="M1362" i="1"/>
  <c r="O1362" i="1" s="1"/>
  <c r="M1363" i="1"/>
  <c r="O1363" i="1" s="1"/>
  <c r="M1364" i="1"/>
  <c r="O1364" i="1" s="1"/>
  <c r="M1365" i="1"/>
  <c r="O1365" i="1" s="1"/>
  <c r="M1366" i="1"/>
  <c r="O1366" i="1" s="1"/>
  <c r="M1367" i="1"/>
  <c r="O1367" i="1" s="1"/>
  <c r="M1368" i="1"/>
  <c r="O1368" i="1" s="1"/>
  <c r="M1369" i="1"/>
  <c r="O1369" i="1" s="1"/>
  <c r="M1370" i="1"/>
  <c r="O1370" i="1" s="1"/>
  <c r="M1371" i="1"/>
  <c r="O1371" i="1" s="1"/>
  <c r="M1372" i="1"/>
  <c r="O1372" i="1" s="1"/>
  <c r="M1373" i="1"/>
  <c r="O1373" i="1" s="1"/>
  <c r="M1374" i="1"/>
  <c r="O1374" i="1" s="1"/>
  <c r="M1375" i="1"/>
  <c r="O1375" i="1" s="1"/>
  <c r="M1376" i="1"/>
  <c r="O1376" i="1" s="1"/>
  <c r="M1377" i="1"/>
  <c r="O1377" i="1" s="1"/>
  <c r="M1378" i="1"/>
  <c r="O1378" i="1" s="1"/>
  <c r="M1379" i="1"/>
  <c r="O1379" i="1" s="1"/>
  <c r="M1380" i="1"/>
  <c r="O1380" i="1" s="1"/>
  <c r="M1381" i="1"/>
  <c r="O1381" i="1" s="1"/>
  <c r="M1382" i="1"/>
  <c r="O1382" i="1" s="1"/>
  <c r="M1383" i="1"/>
  <c r="O1383" i="1" s="1"/>
  <c r="M1384" i="1"/>
  <c r="O1384" i="1" s="1"/>
  <c r="M1385" i="1"/>
  <c r="O1385" i="1" s="1"/>
  <c r="M1386" i="1"/>
  <c r="O1386" i="1" s="1"/>
  <c r="M1387" i="1"/>
  <c r="O1387" i="1" s="1"/>
  <c r="M1388" i="1"/>
  <c r="O1388" i="1" s="1"/>
  <c r="M1389" i="1"/>
  <c r="O1389" i="1" s="1"/>
  <c r="M1390" i="1"/>
  <c r="O1390" i="1" s="1"/>
  <c r="M1391" i="1"/>
  <c r="O1391" i="1" s="1"/>
  <c r="M1392" i="1"/>
  <c r="O1392" i="1" s="1"/>
  <c r="M1393" i="1"/>
  <c r="O1393" i="1" s="1"/>
  <c r="M1394" i="1"/>
  <c r="O1394" i="1" s="1"/>
  <c r="M1395" i="1"/>
  <c r="O1395" i="1" s="1"/>
  <c r="M1396" i="1"/>
  <c r="O1396" i="1" s="1"/>
  <c r="M1397" i="1"/>
  <c r="O1397" i="1" s="1"/>
  <c r="M1398" i="1"/>
  <c r="O1398" i="1" s="1"/>
  <c r="M1399" i="1"/>
  <c r="O1399" i="1" s="1"/>
  <c r="M1400" i="1"/>
  <c r="O1400" i="1" s="1"/>
  <c r="M1401" i="1"/>
  <c r="O1401" i="1" s="1"/>
  <c r="M1402" i="1"/>
  <c r="O1402" i="1" s="1"/>
  <c r="M1403" i="1"/>
  <c r="O1403" i="1" s="1"/>
  <c r="M1404" i="1"/>
  <c r="O1404" i="1" s="1"/>
  <c r="M1405" i="1"/>
  <c r="O1405" i="1" s="1"/>
  <c r="M1406" i="1"/>
  <c r="O1406" i="1" s="1"/>
  <c r="M1407" i="1"/>
  <c r="O1407" i="1" s="1"/>
  <c r="M1408" i="1"/>
  <c r="O1408" i="1" s="1"/>
  <c r="M1409" i="1"/>
  <c r="O1409" i="1" s="1"/>
  <c r="M1410" i="1"/>
  <c r="O1410" i="1" s="1"/>
  <c r="M1411" i="1"/>
  <c r="O1411" i="1" s="1"/>
  <c r="M1412" i="1"/>
  <c r="O1412" i="1" s="1"/>
  <c r="M1413" i="1"/>
  <c r="O1413" i="1" s="1"/>
  <c r="M1414" i="1"/>
  <c r="O1414" i="1" s="1"/>
  <c r="M1415" i="1"/>
  <c r="O1415" i="1" s="1"/>
  <c r="M1416" i="1"/>
  <c r="O1416" i="1" s="1"/>
  <c r="M1417" i="1"/>
  <c r="O1417" i="1" s="1"/>
  <c r="M1418" i="1"/>
  <c r="O1418" i="1" s="1"/>
  <c r="M1419" i="1"/>
  <c r="O1419" i="1" s="1"/>
  <c r="M1420" i="1"/>
  <c r="O1420" i="1" s="1"/>
  <c r="M1421" i="1"/>
  <c r="O1421" i="1" s="1"/>
  <c r="M1422" i="1"/>
  <c r="O1422" i="1" s="1"/>
  <c r="M1423" i="1"/>
  <c r="O1423" i="1" s="1"/>
  <c r="M1424" i="1"/>
  <c r="O1424" i="1" s="1"/>
  <c r="M1425" i="1"/>
  <c r="O1425" i="1" s="1"/>
  <c r="M1426" i="1"/>
  <c r="O1426" i="1" s="1"/>
  <c r="M1427" i="1"/>
  <c r="O1427" i="1" s="1"/>
  <c r="M1428" i="1"/>
  <c r="O1428" i="1" s="1"/>
  <c r="M1429" i="1"/>
  <c r="O1429" i="1" s="1"/>
  <c r="M1430" i="1"/>
  <c r="O1430" i="1" s="1"/>
  <c r="M1431" i="1"/>
  <c r="O1431" i="1" s="1"/>
  <c r="M1432" i="1"/>
  <c r="O1432" i="1" s="1"/>
  <c r="M1433" i="1"/>
  <c r="O1433" i="1" s="1"/>
  <c r="M1434" i="1"/>
  <c r="O1434" i="1" s="1"/>
  <c r="M1435" i="1"/>
  <c r="O1435" i="1" s="1"/>
  <c r="M1436" i="1"/>
  <c r="O1436" i="1" s="1"/>
  <c r="M1437" i="1"/>
  <c r="O1437" i="1" s="1"/>
  <c r="M1438" i="1"/>
  <c r="O1438" i="1" s="1"/>
  <c r="M1439" i="1"/>
  <c r="O1439" i="1" s="1"/>
  <c r="M1440" i="1"/>
  <c r="O1440" i="1" s="1"/>
  <c r="M1441" i="1"/>
  <c r="O1441" i="1" s="1"/>
  <c r="M1442" i="1"/>
  <c r="O1442" i="1" s="1"/>
  <c r="M1443" i="1"/>
  <c r="O1443" i="1" s="1"/>
  <c r="M1444" i="1"/>
  <c r="O1444" i="1" s="1"/>
  <c r="M1445" i="1"/>
  <c r="O1445" i="1" s="1"/>
  <c r="M1446" i="1"/>
  <c r="O1446" i="1" s="1"/>
  <c r="M1447" i="1"/>
  <c r="O1447" i="1" s="1"/>
  <c r="M1448" i="1"/>
  <c r="O1448" i="1" s="1"/>
  <c r="M1449" i="1"/>
  <c r="O1449" i="1" s="1"/>
  <c r="M1450" i="1"/>
  <c r="O1450" i="1" s="1"/>
  <c r="M1451" i="1"/>
  <c r="O1451" i="1" s="1"/>
  <c r="M1452" i="1"/>
  <c r="O1452" i="1" s="1"/>
  <c r="M1453" i="1"/>
  <c r="O1453" i="1" s="1"/>
  <c r="M1454" i="1"/>
  <c r="O1454" i="1" s="1"/>
  <c r="M1455" i="1"/>
  <c r="O1455" i="1" s="1"/>
  <c r="M1456" i="1"/>
  <c r="O1456" i="1" s="1"/>
  <c r="M1457" i="1"/>
  <c r="O1457" i="1" s="1"/>
  <c r="M1458" i="1"/>
  <c r="O1458" i="1" s="1"/>
  <c r="M1459" i="1"/>
  <c r="O1459" i="1" s="1"/>
  <c r="M1460" i="1"/>
  <c r="O1460" i="1" s="1"/>
  <c r="M1461" i="1"/>
  <c r="O1461" i="1" s="1"/>
  <c r="M1462" i="1"/>
  <c r="O1462" i="1" s="1"/>
  <c r="M1463" i="1"/>
  <c r="O1463" i="1" s="1"/>
  <c r="M1464" i="1"/>
  <c r="O1464" i="1" s="1"/>
  <c r="M1465" i="1"/>
  <c r="O1465" i="1" s="1"/>
  <c r="M1466" i="1"/>
  <c r="O1466" i="1" s="1"/>
  <c r="M1467" i="1"/>
  <c r="O1467" i="1" s="1"/>
  <c r="M1468" i="1"/>
  <c r="O1468" i="1" s="1"/>
  <c r="M1469" i="1"/>
  <c r="O1469" i="1" s="1"/>
  <c r="M1470" i="1"/>
  <c r="O1470" i="1" s="1"/>
  <c r="M1471" i="1"/>
  <c r="O1471" i="1" s="1"/>
  <c r="M1472" i="1"/>
  <c r="O1472" i="1" s="1"/>
  <c r="M1473" i="1"/>
  <c r="O1473" i="1" s="1"/>
  <c r="M1474" i="1"/>
  <c r="O1474" i="1" s="1"/>
  <c r="M1475" i="1"/>
  <c r="O1475" i="1" s="1"/>
  <c r="M1476" i="1"/>
  <c r="O1476" i="1" s="1"/>
  <c r="M1477" i="1"/>
  <c r="O1477" i="1" s="1"/>
  <c r="M1478" i="1"/>
  <c r="O1478" i="1" s="1"/>
  <c r="M1479" i="1"/>
  <c r="O1479" i="1" s="1"/>
  <c r="M1480" i="1"/>
  <c r="O1480" i="1" s="1"/>
  <c r="M1481" i="1"/>
  <c r="O1481" i="1" s="1"/>
  <c r="M1482" i="1"/>
  <c r="O1482" i="1" s="1"/>
  <c r="M1483" i="1"/>
  <c r="O1483" i="1" s="1"/>
  <c r="M1484" i="1"/>
  <c r="O1484" i="1" s="1"/>
  <c r="M1485" i="1"/>
  <c r="O1485" i="1" s="1"/>
  <c r="M1486" i="1"/>
  <c r="O1486" i="1" s="1"/>
  <c r="M1487" i="1"/>
  <c r="O1487" i="1" s="1"/>
  <c r="M1488" i="1"/>
  <c r="O1488" i="1" s="1"/>
  <c r="M1489" i="1"/>
  <c r="O1489" i="1" s="1"/>
  <c r="M1490" i="1"/>
  <c r="O1490" i="1" s="1"/>
  <c r="M1491" i="1"/>
  <c r="O1491" i="1" s="1"/>
  <c r="M1492" i="1"/>
  <c r="O1492" i="1" s="1"/>
  <c r="M1493" i="1"/>
  <c r="O1493" i="1" s="1"/>
  <c r="M1494" i="1"/>
  <c r="O1494" i="1" s="1"/>
  <c r="M1495" i="1"/>
  <c r="O1495" i="1" s="1"/>
  <c r="M1496" i="1"/>
  <c r="O1496" i="1" s="1"/>
  <c r="M1497" i="1"/>
  <c r="O1497" i="1" s="1"/>
  <c r="M1498" i="1"/>
  <c r="O1498" i="1" s="1"/>
  <c r="M1499" i="1"/>
  <c r="O1499" i="1" s="1"/>
  <c r="M1500" i="1"/>
  <c r="O1500" i="1" s="1"/>
  <c r="M1501" i="1"/>
  <c r="O1501" i="1" s="1"/>
  <c r="M1502" i="1"/>
  <c r="O1502" i="1" s="1"/>
  <c r="M1503" i="1"/>
  <c r="O1503" i="1" s="1"/>
  <c r="M1504" i="1"/>
  <c r="O1504" i="1" s="1"/>
  <c r="M1505" i="1"/>
  <c r="O1505" i="1" s="1"/>
  <c r="M1506" i="1"/>
  <c r="O1506" i="1" s="1"/>
  <c r="M1507" i="1"/>
  <c r="O1507" i="1" s="1"/>
  <c r="M1508" i="1"/>
  <c r="O1508" i="1" s="1"/>
  <c r="M1509" i="1"/>
  <c r="O1509" i="1" s="1"/>
  <c r="M1510" i="1"/>
  <c r="O1510" i="1" s="1"/>
  <c r="M1511" i="1"/>
  <c r="O1511" i="1" s="1"/>
  <c r="M1512" i="1"/>
  <c r="O1512" i="1" s="1"/>
  <c r="M1513" i="1"/>
  <c r="O1513" i="1" s="1"/>
  <c r="M1514" i="1"/>
  <c r="O1514" i="1" s="1"/>
  <c r="M1515" i="1"/>
  <c r="O1515" i="1" s="1"/>
  <c r="M1516" i="1"/>
  <c r="O1516" i="1" s="1"/>
  <c r="M1517" i="1"/>
  <c r="O1517" i="1" s="1"/>
  <c r="M1518" i="1"/>
  <c r="O1518" i="1" s="1"/>
  <c r="M1519" i="1"/>
  <c r="O1519" i="1" s="1"/>
  <c r="M1520" i="1"/>
  <c r="O1520" i="1" s="1"/>
  <c r="M1521" i="1"/>
  <c r="O1521" i="1" s="1"/>
  <c r="M1522" i="1"/>
  <c r="O1522" i="1" s="1"/>
  <c r="M1523" i="1"/>
  <c r="O1523" i="1" s="1"/>
  <c r="M1524" i="1"/>
  <c r="O1524" i="1" s="1"/>
  <c r="M1525" i="1"/>
  <c r="O1525" i="1" s="1"/>
  <c r="M1526" i="1"/>
  <c r="O1526" i="1" s="1"/>
  <c r="M1527" i="1"/>
  <c r="O1527" i="1" s="1"/>
  <c r="M1528" i="1"/>
  <c r="O1528" i="1" s="1"/>
  <c r="M1529" i="1"/>
  <c r="O1529" i="1" s="1"/>
  <c r="M1530" i="1"/>
  <c r="O1530" i="1" s="1"/>
  <c r="M1531" i="1"/>
  <c r="O1531" i="1" s="1"/>
  <c r="M1532" i="1"/>
  <c r="O1532" i="1" s="1"/>
  <c r="M1533" i="1"/>
  <c r="O1533" i="1" s="1"/>
  <c r="M1534" i="1"/>
  <c r="O1534" i="1" s="1"/>
  <c r="M1535" i="1"/>
  <c r="O1535" i="1" s="1"/>
  <c r="M1536" i="1"/>
  <c r="O1536" i="1" s="1"/>
  <c r="M1537" i="1"/>
  <c r="O1537" i="1" s="1"/>
  <c r="M1538" i="1"/>
  <c r="O1538" i="1" s="1"/>
  <c r="M1539" i="1"/>
  <c r="O1539" i="1" s="1"/>
  <c r="M1540" i="1"/>
  <c r="O1540" i="1" s="1"/>
  <c r="M1541" i="1"/>
  <c r="O1541" i="1" s="1"/>
  <c r="M1542" i="1"/>
  <c r="O1542" i="1" s="1"/>
  <c r="M1543" i="1"/>
  <c r="O1543" i="1" s="1"/>
  <c r="M1544" i="1"/>
  <c r="O1544" i="1" s="1"/>
  <c r="M1545" i="1"/>
  <c r="O1545" i="1" s="1"/>
  <c r="M1546" i="1"/>
  <c r="O1546" i="1" s="1"/>
  <c r="M1547" i="1"/>
  <c r="O1547" i="1" s="1"/>
  <c r="M1548" i="1"/>
  <c r="O1548" i="1" s="1"/>
  <c r="M1549" i="1"/>
  <c r="O1549" i="1" s="1"/>
  <c r="M1550" i="1"/>
  <c r="O1550" i="1" s="1"/>
  <c r="M1551" i="1"/>
  <c r="O1551" i="1" s="1"/>
  <c r="M1552" i="1"/>
  <c r="O1552" i="1" s="1"/>
  <c r="M1553" i="1"/>
  <c r="O1553" i="1" s="1"/>
  <c r="M1554" i="1"/>
  <c r="O1554" i="1" s="1"/>
  <c r="M1555" i="1"/>
  <c r="O1555" i="1" s="1"/>
  <c r="M1556" i="1"/>
  <c r="O1556" i="1" s="1"/>
  <c r="M1557" i="1"/>
  <c r="O1557" i="1" s="1"/>
  <c r="M1558" i="1"/>
  <c r="O1558" i="1" s="1"/>
  <c r="M1559" i="1"/>
  <c r="O1559" i="1" s="1"/>
  <c r="M1560" i="1"/>
  <c r="O1560" i="1" s="1"/>
  <c r="M1561" i="1"/>
  <c r="O1561" i="1" s="1"/>
  <c r="M1562" i="1"/>
  <c r="O1562" i="1" s="1"/>
  <c r="M1563" i="1"/>
  <c r="O1563" i="1" s="1"/>
  <c r="M1564" i="1"/>
  <c r="O1564" i="1" s="1"/>
  <c r="M1565" i="1"/>
  <c r="O1565" i="1" s="1"/>
  <c r="M1566" i="1"/>
  <c r="O1566" i="1" s="1"/>
  <c r="M1567" i="1"/>
  <c r="O1567" i="1" s="1"/>
  <c r="M1568" i="1"/>
  <c r="O1568" i="1" s="1"/>
  <c r="M1569" i="1"/>
  <c r="O1569" i="1" s="1"/>
  <c r="M1570" i="1"/>
  <c r="O1570" i="1" s="1"/>
  <c r="M1571" i="1"/>
  <c r="O1571" i="1" s="1"/>
  <c r="M1572" i="1"/>
  <c r="O1572" i="1" s="1"/>
  <c r="M1573" i="1"/>
  <c r="O1573" i="1" s="1"/>
  <c r="M1574" i="1"/>
  <c r="O1574" i="1" s="1"/>
  <c r="M1575" i="1"/>
  <c r="O1575" i="1" s="1"/>
  <c r="M1576" i="1"/>
  <c r="O1576" i="1" s="1"/>
  <c r="M1577" i="1"/>
  <c r="O1577" i="1" s="1"/>
  <c r="M1578" i="1"/>
  <c r="O1578" i="1" s="1"/>
  <c r="M1579" i="1"/>
  <c r="O1579" i="1" s="1"/>
  <c r="M1580" i="1"/>
  <c r="O1580" i="1" s="1"/>
  <c r="M1581" i="1"/>
  <c r="O1581" i="1" s="1"/>
  <c r="M1582" i="1"/>
  <c r="O1582" i="1" s="1"/>
  <c r="M1583" i="1"/>
  <c r="O1583" i="1" s="1"/>
  <c r="M1584" i="1"/>
  <c r="O1584" i="1" s="1"/>
  <c r="M1585" i="1"/>
  <c r="O1585" i="1" s="1"/>
  <c r="M1586" i="1"/>
  <c r="O1586" i="1" s="1"/>
  <c r="M1587" i="1"/>
  <c r="O1587" i="1" s="1"/>
  <c r="M1588" i="1"/>
  <c r="O1588" i="1" s="1"/>
  <c r="M1589" i="1"/>
  <c r="O1589" i="1" s="1"/>
  <c r="M1590" i="1"/>
  <c r="O1590" i="1" s="1"/>
  <c r="M1591" i="1"/>
  <c r="O1591" i="1" s="1"/>
  <c r="M1592" i="1"/>
  <c r="O1592" i="1" s="1"/>
  <c r="M1593" i="1"/>
  <c r="O1593" i="1" s="1"/>
  <c r="M1594" i="1"/>
  <c r="O1594" i="1" s="1"/>
  <c r="M1595" i="1"/>
  <c r="O1595" i="1" s="1"/>
  <c r="M1596" i="1"/>
  <c r="O1596" i="1" s="1"/>
  <c r="M1597" i="1"/>
  <c r="O1597" i="1" s="1"/>
  <c r="M1598" i="1"/>
  <c r="O1598" i="1" s="1"/>
  <c r="M1599" i="1"/>
  <c r="O1599" i="1" s="1"/>
  <c r="M1600" i="1"/>
  <c r="O1600" i="1" s="1"/>
  <c r="M1601" i="1"/>
  <c r="O1601" i="1" s="1"/>
  <c r="M1602" i="1"/>
  <c r="O1602" i="1" s="1"/>
  <c r="M1603" i="1"/>
  <c r="O1603" i="1" s="1"/>
  <c r="M1604" i="1"/>
  <c r="O1604" i="1" s="1"/>
  <c r="M1605" i="1"/>
  <c r="O1605" i="1" s="1"/>
  <c r="M1606" i="1"/>
  <c r="O1606" i="1" s="1"/>
  <c r="M1607" i="1"/>
  <c r="O1607" i="1" s="1"/>
  <c r="M1608" i="1"/>
  <c r="O1608" i="1" s="1"/>
  <c r="M1609" i="1"/>
  <c r="O1609" i="1" s="1"/>
  <c r="M1610" i="1"/>
  <c r="O1610" i="1" s="1"/>
  <c r="M1611" i="1"/>
  <c r="O1611" i="1" s="1"/>
  <c r="M1612" i="1"/>
  <c r="O1612" i="1" s="1"/>
  <c r="M1613" i="1"/>
  <c r="O1613" i="1" s="1"/>
  <c r="M1614" i="1"/>
  <c r="O1614" i="1" s="1"/>
  <c r="M1615" i="1"/>
  <c r="O1615" i="1" s="1"/>
  <c r="M1616" i="1"/>
  <c r="O1616" i="1" s="1"/>
  <c r="M1617" i="1"/>
  <c r="O1617" i="1" s="1"/>
  <c r="M1618" i="1"/>
  <c r="O1618" i="1" s="1"/>
  <c r="M1619" i="1"/>
  <c r="O1619" i="1" s="1"/>
  <c r="M1620" i="1"/>
  <c r="O1620" i="1" s="1"/>
  <c r="M1621" i="1"/>
  <c r="O1621" i="1" s="1"/>
  <c r="M1622" i="1"/>
  <c r="O1622" i="1" s="1"/>
  <c r="M1623" i="1"/>
  <c r="O1623" i="1" s="1"/>
  <c r="M1624" i="1"/>
  <c r="O1624" i="1" s="1"/>
  <c r="M1625" i="1"/>
  <c r="O1625" i="1" s="1"/>
  <c r="M1626" i="1"/>
  <c r="O1626" i="1" s="1"/>
  <c r="M1627" i="1"/>
  <c r="O1627" i="1" s="1"/>
  <c r="M1628" i="1"/>
  <c r="O1628" i="1" s="1"/>
  <c r="M1629" i="1"/>
  <c r="O1629" i="1" s="1"/>
  <c r="M1630" i="1"/>
  <c r="O1630" i="1" s="1"/>
  <c r="M1631" i="1"/>
  <c r="O1631" i="1" s="1"/>
  <c r="M1632" i="1"/>
  <c r="O1632" i="1" s="1"/>
  <c r="M1633" i="1"/>
  <c r="O1633" i="1" s="1"/>
  <c r="M1634" i="1"/>
  <c r="O1634" i="1" s="1"/>
  <c r="M1635" i="1"/>
  <c r="O1635" i="1" s="1"/>
  <c r="M1636" i="1"/>
  <c r="O1636" i="1" s="1"/>
  <c r="M1637" i="1"/>
  <c r="O1637" i="1" s="1"/>
  <c r="M1638" i="1"/>
  <c r="O1638" i="1" s="1"/>
  <c r="M1639" i="1"/>
  <c r="O1639" i="1" s="1"/>
  <c r="M1640" i="1"/>
  <c r="O1640" i="1" s="1"/>
  <c r="M1641" i="1"/>
  <c r="O1641" i="1" s="1"/>
  <c r="M1642" i="1"/>
  <c r="O1642" i="1" s="1"/>
  <c r="M1643" i="1"/>
  <c r="O1643" i="1" s="1"/>
  <c r="M1644" i="1"/>
  <c r="O1644" i="1" s="1"/>
  <c r="M1645" i="1"/>
  <c r="O1645" i="1" s="1"/>
  <c r="M1646" i="1"/>
  <c r="O1646" i="1" s="1"/>
  <c r="M1647" i="1"/>
  <c r="O1647" i="1" s="1"/>
  <c r="M1648" i="1"/>
  <c r="O1648" i="1" s="1"/>
  <c r="M1649" i="1"/>
  <c r="O1649" i="1" s="1"/>
  <c r="M1650" i="1"/>
  <c r="O1650" i="1" s="1"/>
  <c r="M1651" i="1"/>
  <c r="O1651" i="1" s="1"/>
  <c r="M1652" i="1"/>
  <c r="O1652" i="1" s="1"/>
  <c r="M1653" i="1"/>
  <c r="O1653" i="1" s="1"/>
  <c r="M1654" i="1"/>
  <c r="O1654" i="1" s="1"/>
  <c r="M1655" i="1"/>
  <c r="O1655" i="1" s="1"/>
  <c r="M1656" i="1"/>
  <c r="O1656" i="1" s="1"/>
  <c r="M1657" i="1"/>
  <c r="O1657" i="1" s="1"/>
  <c r="M1658" i="1"/>
  <c r="O1658" i="1" s="1"/>
  <c r="M1659" i="1"/>
  <c r="O1659" i="1" s="1"/>
  <c r="M1660" i="1"/>
  <c r="O1660" i="1" s="1"/>
  <c r="M1661" i="1"/>
  <c r="O1661" i="1" s="1"/>
  <c r="M1662" i="1"/>
  <c r="O1662" i="1" s="1"/>
  <c r="M1663" i="1"/>
  <c r="O1663" i="1" s="1"/>
  <c r="M1664" i="1"/>
  <c r="O1664" i="1" s="1"/>
  <c r="M1665" i="1"/>
  <c r="O1665" i="1" s="1"/>
  <c r="M1666" i="1"/>
  <c r="O1666" i="1" s="1"/>
  <c r="M1667" i="1"/>
  <c r="O1667" i="1" s="1"/>
  <c r="M1668" i="1"/>
  <c r="O1668" i="1" s="1"/>
  <c r="M1669" i="1"/>
  <c r="O1669" i="1" s="1"/>
  <c r="M1670" i="1"/>
  <c r="O1670" i="1" s="1"/>
  <c r="M1671" i="1"/>
  <c r="O1671" i="1" s="1"/>
  <c r="M1672" i="1"/>
  <c r="O1672" i="1" s="1"/>
  <c r="M1673" i="1"/>
  <c r="O1673" i="1" s="1"/>
  <c r="M1674" i="1"/>
  <c r="O1674" i="1" s="1"/>
  <c r="M1675" i="1"/>
  <c r="O1675" i="1" s="1"/>
  <c r="M1676" i="1"/>
  <c r="O1676" i="1" s="1"/>
  <c r="M1677" i="1"/>
  <c r="O1677" i="1" s="1"/>
  <c r="M1678" i="1"/>
  <c r="O1678" i="1" s="1"/>
  <c r="M1679" i="1"/>
  <c r="O1679" i="1" s="1"/>
  <c r="M1680" i="1"/>
  <c r="O1680" i="1" s="1"/>
  <c r="M1681" i="1"/>
  <c r="O1681" i="1" s="1"/>
  <c r="M1682" i="1"/>
  <c r="O1682" i="1" s="1"/>
  <c r="M1683" i="1"/>
  <c r="O1683" i="1" s="1"/>
  <c r="M1684" i="1"/>
  <c r="O1684" i="1" s="1"/>
  <c r="M1685" i="1"/>
  <c r="O1685" i="1" s="1"/>
  <c r="M1686" i="1"/>
  <c r="O1686" i="1" s="1"/>
  <c r="M1687" i="1"/>
  <c r="O1687" i="1" s="1"/>
  <c r="M1688" i="1"/>
  <c r="O1688" i="1" s="1"/>
  <c r="M1689" i="1"/>
  <c r="O1689" i="1" s="1"/>
  <c r="M1690" i="1"/>
  <c r="O1690" i="1" s="1"/>
  <c r="M1691" i="1"/>
  <c r="O1691" i="1" s="1"/>
  <c r="M1692" i="1"/>
  <c r="O1692" i="1" s="1"/>
  <c r="M1693" i="1"/>
  <c r="O1693" i="1" s="1"/>
  <c r="M1694" i="1"/>
  <c r="O1694" i="1" s="1"/>
  <c r="M1695" i="1"/>
  <c r="O1695" i="1" s="1"/>
  <c r="M1696" i="1"/>
  <c r="O1696" i="1" s="1"/>
  <c r="M1697" i="1"/>
  <c r="O1697" i="1" s="1"/>
  <c r="M1698" i="1"/>
  <c r="O1698" i="1" s="1"/>
  <c r="M1699" i="1"/>
  <c r="O1699" i="1" s="1"/>
  <c r="M1700" i="1"/>
  <c r="O1700" i="1" s="1"/>
  <c r="M1701" i="1"/>
  <c r="O1701" i="1" s="1"/>
  <c r="M1702" i="1"/>
  <c r="O1702" i="1" s="1"/>
  <c r="M1703" i="1"/>
  <c r="O1703" i="1" s="1"/>
  <c r="M1704" i="1"/>
  <c r="O1704" i="1" s="1"/>
  <c r="M1705" i="1"/>
  <c r="O1705" i="1" s="1"/>
  <c r="M1706" i="1"/>
  <c r="O1706" i="1" s="1"/>
  <c r="M1707" i="1"/>
  <c r="O1707" i="1" s="1"/>
  <c r="M1708" i="1"/>
  <c r="O1708" i="1" s="1"/>
  <c r="M1709" i="1"/>
  <c r="O1709" i="1" s="1"/>
  <c r="M1710" i="1"/>
  <c r="O1710" i="1" s="1"/>
  <c r="M1711" i="1"/>
  <c r="O1711" i="1" s="1"/>
  <c r="M1712" i="1"/>
  <c r="O1712" i="1" s="1"/>
  <c r="M1713" i="1"/>
  <c r="O1713" i="1" s="1"/>
  <c r="M1714" i="1"/>
  <c r="O1714" i="1" s="1"/>
  <c r="M1715" i="1"/>
  <c r="O1715" i="1" s="1"/>
  <c r="M1716" i="1"/>
  <c r="O1716" i="1" s="1"/>
  <c r="M1717" i="1"/>
  <c r="O1717" i="1" s="1"/>
  <c r="M1718" i="1"/>
  <c r="O1718" i="1" s="1"/>
  <c r="M1719" i="1"/>
  <c r="O1719" i="1" s="1"/>
  <c r="M1720" i="1"/>
  <c r="O1720" i="1" s="1"/>
  <c r="M1721" i="1"/>
  <c r="O1721" i="1" s="1"/>
  <c r="M1722" i="1"/>
  <c r="O1722" i="1" s="1"/>
  <c r="M1723" i="1"/>
  <c r="O1723" i="1" s="1"/>
  <c r="M1724" i="1"/>
  <c r="O1724" i="1" s="1"/>
  <c r="M1725" i="1"/>
  <c r="O1725" i="1" s="1"/>
  <c r="M1726" i="1"/>
  <c r="O1726" i="1" s="1"/>
  <c r="M1727" i="1"/>
  <c r="O1727" i="1" s="1"/>
  <c r="M1728" i="1"/>
  <c r="O1728" i="1" s="1"/>
  <c r="M1729" i="1"/>
  <c r="O1729" i="1" s="1"/>
  <c r="M1730" i="1"/>
  <c r="O1730" i="1" s="1"/>
  <c r="M1731" i="1"/>
  <c r="O1731" i="1" s="1"/>
  <c r="M1732" i="1"/>
  <c r="O1732" i="1" s="1"/>
  <c r="M1733" i="1"/>
  <c r="O1733" i="1" s="1"/>
  <c r="M1734" i="1"/>
  <c r="O1734" i="1" s="1"/>
  <c r="M1735" i="1"/>
  <c r="O1735" i="1" s="1"/>
  <c r="M1736" i="1"/>
  <c r="O1736" i="1" s="1"/>
  <c r="M1737" i="1"/>
  <c r="O1737" i="1" s="1"/>
  <c r="M1738" i="1"/>
  <c r="O1738" i="1" s="1"/>
  <c r="M1739" i="1"/>
  <c r="O1739" i="1" s="1"/>
  <c r="M1740" i="1"/>
  <c r="O1740" i="1" s="1"/>
  <c r="M1741" i="1"/>
  <c r="O1741" i="1" s="1"/>
  <c r="M1742" i="1"/>
  <c r="O1742" i="1" s="1"/>
  <c r="M1743" i="1"/>
  <c r="O1743" i="1" s="1"/>
  <c r="M1744" i="1"/>
  <c r="O1744" i="1" s="1"/>
  <c r="M1745" i="1"/>
  <c r="O1745" i="1" s="1"/>
  <c r="M1746" i="1"/>
  <c r="O1746" i="1" s="1"/>
  <c r="M1747" i="1"/>
  <c r="O1747" i="1" s="1"/>
  <c r="M1748" i="1"/>
  <c r="O1748" i="1" s="1"/>
  <c r="M1749" i="1"/>
  <c r="O1749" i="1" s="1"/>
  <c r="M1750" i="1"/>
  <c r="O1750" i="1" s="1"/>
  <c r="M1751" i="1"/>
  <c r="O1751" i="1" s="1"/>
  <c r="M1752" i="1"/>
  <c r="O1752" i="1" s="1"/>
  <c r="M1753" i="1"/>
  <c r="O1753" i="1" s="1"/>
  <c r="M1754" i="1"/>
  <c r="O1754" i="1" s="1"/>
  <c r="M1755" i="1"/>
  <c r="O1755" i="1" s="1"/>
  <c r="M1756" i="1"/>
  <c r="O1756" i="1" s="1"/>
  <c r="M1757" i="1"/>
  <c r="O1757" i="1" s="1"/>
  <c r="M1758" i="1"/>
  <c r="O1758" i="1" s="1"/>
  <c r="M1759" i="1"/>
  <c r="O1759" i="1" s="1"/>
  <c r="M1760" i="1"/>
  <c r="O1760" i="1" s="1"/>
  <c r="M1761" i="1"/>
  <c r="O1761" i="1" s="1"/>
  <c r="M1762" i="1"/>
  <c r="O1762" i="1" s="1"/>
  <c r="M1763" i="1"/>
  <c r="O1763" i="1" s="1"/>
  <c r="M1764" i="1"/>
  <c r="O1764" i="1" s="1"/>
  <c r="M1765" i="1"/>
  <c r="O1765" i="1" s="1"/>
  <c r="M1766" i="1"/>
  <c r="O1766" i="1" s="1"/>
  <c r="M1767" i="1"/>
  <c r="O1767" i="1" s="1"/>
  <c r="M1768" i="1"/>
  <c r="O1768" i="1" s="1"/>
  <c r="M1769" i="1"/>
  <c r="O1769" i="1" s="1"/>
  <c r="M1770" i="1"/>
  <c r="O1770" i="1" s="1"/>
  <c r="M1771" i="1"/>
  <c r="O1771" i="1" s="1"/>
  <c r="M1772" i="1"/>
  <c r="O1772" i="1" s="1"/>
  <c r="M1773" i="1"/>
  <c r="O1773" i="1" s="1"/>
  <c r="M1774" i="1"/>
  <c r="O1774" i="1" s="1"/>
  <c r="M1775" i="1"/>
  <c r="O1775" i="1" s="1"/>
  <c r="M1776" i="1"/>
  <c r="O1776" i="1" s="1"/>
  <c r="M1777" i="1"/>
  <c r="O1777" i="1" s="1"/>
  <c r="M1778" i="1"/>
  <c r="O1778" i="1" s="1"/>
  <c r="M1779" i="1"/>
  <c r="O1779" i="1" s="1"/>
  <c r="M1780" i="1"/>
  <c r="O1780" i="1" s="1"/>
  <c r="M1781" i="1"/>
  <c r="O1781" i="1" s="1"/>
  <c r="M1782" i="1"/>
  <c r="O1782" i="1" s="1"/>
  <c r="M1783" i="1"/>
  <c r="O1783" i="1" s="1"/>
  <c r="M1784" i="1"/>
  <c r="O1784" i="1" s="1"/>
  <c r="M1785" i="1"/>
  <c r="O1785" i="1" s="1"/>
  <c r="M1786" i="1"/>
  <c r="O1786" i="1" s="1"/>
  <c r="M1787" i="1"/>
  <c r="O1787" i="1" s="1"/>
  <c r="M1788" i="1"/>
  <c r="O1788" i="1" s="1"/>
  <c r="M1789" i="1"/>
  <c r="O1789" i="1" s="1"/>
  <c r="M1790" i="1"/>
  <c r="O1790" i="1" s="1"/>
  <c r="M1791" i="1"/>
  <c r="O1791" i="1" s="1"/>
  <c r="M1792" i="1"/>
  <c r="O1792" i="1" s="1"/>
  <c r="M1793" i="1"/>
  <c r="O1793" i="1" s="1"/>
  <c r="M1794" i="1"/>
  <c r="O1794" i="1" s="1"/>
  <c r="M1795" i="1"/>
  <c r="O1795" i="1" s="1"/>
  <c r="M1796" i="1"/>
  <c r="O1796" i="1" s="1"/>
  <c r="M1797" i="1"/>
  <c r="O1797" i="1" s="1"/>
  <c r="M1798" i="1"/>
  <c r="O1798" i="1" s="1"/>
  <c r="M1799" i="1"/>
  <c r="O1799" i="1" s="1"/>
  <c r="M1800" i="1"/>
  <c r="O1800" i="1" s="1"/>
  <c r="M1801" i="1"/>
  <c r="O1801" i="1" s="1"/>
  <c r="M1802" i="1"/>
  <c r="O1802" i="1" s="1"/>
  <c r="M1803" i="1"/>
  <c r="O1803" i="1" s="1"/>
  <c r="M1804" i="1"/>
  <c r="O1804" i="1" s="1"/>
  <c r="M1805" i="1"/>
  <c r="O1805" i="1" s="1"/>
  <c r="M1806" i="1"/>
  <c r="O1806" i="1" s="1"/>
  <c r="M1807" i="1"/>
  <c r="O1807" i="1" s="1"/>
  <c r="M1808" i="1"/>
  <c r="O1808" i="1" s="1"/>
  <c r="M1809" i="1"/>
  <c r="O1809" i="1" s="1"/>
  <c r="M1810" i="1"/>
  <c r="O1810" i="1" s="1"/>
  <c r="M1811" i="1"/>
  <c r="O1811" i="1" s="1"/>
  <c r="M1812" i="1"/>
  <c r="O1812" i="1" s="1"/>
  <c r="M1813" i="1"/>
  <c r="O1813" i="1" s="1"/>
  <c r="M1814" i="1"/>
  <c r="O1814" i="1" s="1"/>
  <c r="M1815" i="1"/>
  <c r="O1815" i="1" s="1"/>
  <c r="M1816" i="1"/>
  <c r="O1816" i="1" s="1"/>
  <c r="M1817" i="1"/>
  <c r="O1817" i="1" s="1"/>
  <c r="M1818" i="1"/>
  <c r="O1818" i="1" s="1"/>
  <c r="M1819" i="1"/>
  <c r="O1819" i="1" s="1"/>
  <c r="M1820" i="1"/>
  <c r="O1820" i="1" s="1"/>
  <c r="M1821" i="1"/>
  <c r="O1821" i="1" s="1"/>
  <c r="M1822" i="1"/>
  <c r="O1822" i="1" s="1"/>
  <c r="M1823" i="1"/>
  <c r="O1823" i="1" s="1"/>
  <c r="M1824" i="1"/>
  <c r="O1824" i="1" s="1"/>
  <c r="M1825" i="1"/>
  <c r="O1825" i="1" s="1"/>
  <c r="M1826" i="1"/>
  <c r="O1826" i="1" s="1"/>
  <c r="M1827" i="1"/>
  <c r="O1827" i="1" s="1"/>
  <c r="M1828" i="1"/>
  <c r="O1828" i="1" s="1"/>
  <c r="M1829" i="1"/>
  <c r="O1829" i="1" s="1"/>
  <c r="M1830" i="1"/>
  <c r="O1830" i="1" s="1"/>
  <c r="M1831" i="1"/>
  <c r="O1831" i="1" s="1"/>
  <c r="M1832" i="1"/>
  <c r="O1832" i="1" s="1"/>
  <c r="M1833" i="1"/>
  <c r="O1833" i="1" s="1"/>
  <c r="M1834" i="1"/>
  <c r="O1834" i="1" s="1"/>
  <c r="M1835" i="1"/>
  <c r="O1835" i="1" s="1"/>
  <c r="M1836" i="1"/>
  <c r="O1836" i="1" s="1"/>
  <c r="M1837" i="1"/>
  <c r="O1837" i="1" s="1"/>
  <c r="M1838" i="1"/>
  <c r="O1838" i="1" s="1"/>
  <c r="M1839" i="1"/>
  <c r="O1839" i="1" s="1"/>
  <c r="M1840" i="1"/>
  <c r="O1840" i="1" s="1"/>
  <c r="M1841" i="1"/>
  <c r="O1841" i="1" s="1"/>
  <c r="M1842" i="1"/>
  <c r="O1842" i="1" s="1"/>
  <c r="M1843" i="1"/>
  <c r="O1843" i="1" s="1"/>
  <c r="M1844" i="1"/>
  <c r="O1844" i="1" s="1"/>
  <c r="M1845" i="1"/>
  <c r="O1845" i="1" s="1"/>
  <c r="M1846" i="1"/>
  <c r="O1846" i="1" s="1"/>
  <c r="M1847" i="1"/>
  <c r="O1847" i="1" s="1"/>
  <c r="M1848" i="1"/>
  <c r="O1848" i="1" s="1"/>
  <c r="M1849" i="1"/>
  <c r="O1849" i="1" s="1"/>
  <c r="M1850" i="1"/>
  <c r="O1850" i="1" s="1"/>
  <c r="M1851" i="1"/>
  <c r="O1851" i="1" s="1"/>
  <c r="M1852" i="1"/>
  <c r="O1852" i="1" s="1"/>
  <c r="M1853" i="1"/>
  <c r="O1853" i="1" s="1"/>
  <c r="M1854" i="1"/>
  <c r="O1854" i="1" s="1"/>
  <c r="M1855" i="1"/>
  <c r="O1855" i="1" s="1"/>
  <c r="M1856" i="1"/>
  <c r="O1856" i="1" s="1"/>
  <c r="M1857" i="1"/>
  <c r="O1857" i="1" s="1"/>
  <c r="M1858" i="1"/>
  <c r="O1858" i="1" s="1"/>
  <c r="M1859" i="1"/>
  <c r="O1859" i="1" s="1"/>
  <c r="M1860" i="1"/>
  <c r="O1860" i="1" s="1"/>
  <c r="M1861" i="1"/>
  <c r="O1861" i="1" s="1"/>
  <c r="M1862" i="1"/>
  <c r="O1862" i="1" s="1"/>
  <c r="M1863" i="1"/>
  <c r="O1863" i="1" s="1"/>
  <c r="M1864" i="1"/>
  <c r="O1864" i="1" s="1"/>
  <c r="M1865" i="1"/>
  <c r="O1865" i="1" s="1"/>
  <c r="M1866" i="1"/>
  <c r="O1866" i="1" s="1"/>
  <c r="M1867" i="1"/>
  <c r="O1867" i="1" s="1"/>
  <c r="M1868" i="1"/>
  <c r="O1868" i="1" s="1"/>
  <c r="M1869" i="1"/>
  <c r="O1869" i="1" s="1"/>
  <c r="M1870" i="1"/>
  <c r="O1870" i="1" s="1"/>
  <c r="M1871" i="1"/>
  <c r="O1871" i="1" s="1"/>
  <c r="M1872" i="1"/>
  <c r="O1872" i="1" s="1"/>
  <c r="M1873" i="1"/>
  <c r="O1873" i="1" s="1"/>
  <c r="M1874" i="1"/>
  <c r="O1874" i="1" s="1"/>
  <c r="M1875" i="1"/>
  <c r="O1875" i="1" s="1"/>
  <c r="M1876" i="1"/>
  <c r="O1876" i="1" s="1"/>
  <c r="M1877" i="1"/>
  <c r="O1877" i="1" s="1"/>
  <c r="M1878" i="1"/>
  <c r="O1878" i="1" s="1"/>
  <c r="M1879" i="1"/>
  <c r="O1879" i="1" s="1"/>
  <c r="M1880" i="1"/>
  <c r="O1880" i="1" s="1"/>
  <c r="M1881" i="1"/>
  <c r="O1881" i="1" s="1"/>
  <c r="M1882" i="1"/>
  <c r="O1882" i="1" s="1"/>
  <c r="M1883" i="1"/>
  <c r="O1883" i="1" s="1"/>
  <c r="M1884" i="1"/>
  <c r="O1884" i="1" s="1"/>
  <c r="M1885" i="1"/>
  <c r="O1885" i="1" s="1"/>
  <c r="M1886" i="1"/>
  <c r="O1886" i="1" s="1"/>
  <c r="M1887" i="1"/>
  <c r="O1887" i="1" s="1"/>
  <c r="M1888" i="1"/>
  <c r="O1888" i="1" s="1"/>
  <c r="M1889" i="1"/>
  <c r="O1889" i="1" s="1"/>
  <c r="M1890" i="1"/>
  <c r="O1890" i="1" s="1"/>
  <c r="M1891" i="1"/>
  <c r="O1891" i="1" s="1"/>
  <c r="M1892" i="1"/>
  <c r="O1892" i="1" s="1"/>
  <c r="M1893" i="1"/>
  <c r="O1893" i="1" s="1"/>
  <c r="M1894" i="1"/>
  <c r="O1894" i="1" s="1"/>
  <c r="M1895" i="1"/>
  <c r="O1895" i="1" s="1"/>
  <c r="M1896" i="1"/>
  <c r="O1896" i="1" s="1"/>
  <c r="M1897" i="1"/>
  <c r="O1897" i="1" s="1"/>
  <c r="M1898" i="1"/>
  <c r="O1898" i="1" s="1"/>
  <c r="M1899" i="1"/>
  <c r="O1899" i="1" s="1"/>
  <c r="M1900" i="1"/>
  <c r="O1900" i="1" s="1"/>
  <c r="M1901" i="1"/>
  <c r="O1901" i="1" s="1"/>
  <c r="M1902" i="1"/>
  <c r="O1902" i="1" s="1"/>
  <c r="M1903" i="1"/>
  <c r="O1903" i="1" s="1"/>
  <c r="M1904" i="1"/>
  <c r="O1904" i="1" s="1"/>
  <c r="M1905" i="1"/>
  <c r="O1905" i="1" s="1"/>
  <c r="M1906" i="1"/>
  <c r="O1906" i="1" s="1"/>
  <c r="M1907" i="1"/>
  <c r="O1907" i="1" s="1"/>
  <c r="M1908" i="1"/>
  <c r="O1908" i="1" s="1"/>
  <c r="M1909" i="1"/>
  <c r="O1909" i="1" s="1"/>
  <c r="M1910" i="1"/>
  <c r="O1910" i="1" s="1"/>
  <c r="M1911" i="1"/>
  <c r="O1911" i="1" s="1"/>
  <c r="M1912" i="1"/>
  <c r="O1912" i="1" s="1"/>
  <c r="M1913" i="1"/>
  <c r="O1913" i="1" s="1"/>
  <c r="M1914" i="1"/>
  <c r="O1914" i="1" s="1"/>
  <c r="M1915" i="1"/>
  <c r="O1915" i="1" s="1"/>
  <c r="M1916" i="1"/>
  <c r="O1916" i="1" s="1"/>
  <c r="M1917" i="1"/>
  <c r="O1917" i="1" s="1"/>
  <c r="M1918" i="1"/>
  <c r="O1918" i="1" s="1"/>
  <c r="M1919" i="1"/>
  <c r="O1919" i="1" s="1"/>
  <c r="M1920" i="1"/>
  <c r="O1920" i="1" s="1"/>
  <c r="M1921" i="1"/>
  <c r="O1921" i="1" s="1"/>
  <c r="M1922" i="1"/>
  <c r="O1922" i="1" s="1"/>
  <c r="M1923" i="1"/>
  <c r="O1923" i="1" s="1"/>
  <c r="M1924" i="1"/>
  <c r="O1924" i="1" s="1"/>
  <c r="M1925" i="1"/>
  <c r="O1925" i="1" s="1"/>
  <c r="M1926" i="1"/>
  <c r="O1926" i="1" s="1"/>
  <c r="M1927" i="1"/>
  <c r="O1927" i="1" s="1"/>
  <c r="M1928" i="1"/>
  <c r="O1928" i="1" s="1"/>
  <c r="M1929" i="1"/>
  <c r="O1929" i="1" s="1"/>
  <c r="M1930" i="1"/>
  <c r="O1930" i="1" s="1"/>
  <c r="M1931" i="1"/>
  <c r="O1931" i="1" s="1"/>
  <c r="M1932" i="1"/>
  <c r="O1932" i="1" s="1"/>
  <c r="M1933" i="1"/>
  <c r="O1933" i="1" s="1"/>
  <c r="M1934" i="1"/>
  <c r="O1934" i="1" s="1"/>
  <c r="M1935" i="1"/>
  <c r="O1935" i="1" s="1"/>
  <c r="M1936" i="1"/>
  <c r="O1936" i="1" s="1"/>
  <c r="M1937" i="1"/>
  <c r="O1937" i="1" s="1"/>
  <c r="M1938" i="1"/>
  <c r="O1938" i="1" s="1"/>
  <c r="M1939" i="1"/>
  <c r="O1939" i="1" s="1"/>
  <c r="M1940" i="1"/>
  <c r="O1940" i="1" s="1"/>
  <c r="M1941" i="1"/>
  <c r="O1941" i="1" s="1"/>
  <c r="M1942" i="1"/>
  <c r="O1942" i="1" s="1"/>
  <c r="M1943" i="1"/>
  <c r="O1943" i="1" s="1"/>
  <c r="M1944" i="1"/>
  <c r="O1944" i="1" s="1"/>
  <c r="M1945" i="1"/>
  <c r="O1945" i="1" s="1"/>
  <c r="M1946" i="1"/>
  <c r="O1946" i="1" s="1"/>
  <c r="M1947" i="1"/>
  <c r="O1947" i="1" s="1"/>
  <c r="M1948" i="1"/>
  <c r="O1948" i="1" s="1"/>
  <c r="M1949" i="1"/>
  <c r="O1949" i="1" s="1"/>
  <c r="M1950" i="1"/>
  <c r="O1950" i="1" s="1"/>
  <c r="M1951" i="1"/>
  <c r="O1951" i="1" s="1"/>
  <c r="M1952" i="1"/>
  <c r="O1952" i="1" s="1"/>
  <c r="M1953" i="1"/>
  <c r="O1953" i="1" s="1"/>
  <c r="M1954" i="1"/>
  <c r="O1954" i="1" s="1"/>
  <c r="M1955" i="1"/>
  <c r="O1955" i="1" s="1"/>
  <c r="M1956" i="1"/>
  <c r="O1956" i="1" s="1"/>
  <c r="M1957" i="1"/>
  <c r="O1957" i="1" s="1"/>
  <c r="M1958" i="1"/>
  <c r="O1958" i="1" s="1"/>
  <c r="M1959" i="1"/>
  <c r="O1959" i="1" s="1"/>
  <c r="M1960" i="1"/>
  <c r="O1960" i="1" s="1"/>
  <c r="M1961" i="1"/>
  <c r="O1961" i="1" s="1"/>
  <c r="M1962" i="1"/>
  <c r="O1962" i="1" s="1"/>
  <c r="M1963" i="1"/>
  <c r="O1963" i="1" s="1"/>
  <c r="M1964" i="1"/>
  <c r="O1964" i="1" s="1"/>
  <c r="M1965" i="1"/>
  <c r="O1965" i="1" s="1"/>
  <c r="M1966" i="1"/>
  <c r="O1966" i="1" s="1"/>
  <c r="M1967" i="1"/>
  <c r="O1967" i="1" s="1"/>
  <c r="M1968" i="1"/>
  <c r="O1968" i="1" s="1"/>
  <c r="M1969" i="1"/>
  <c r="O1969" i="1" s="1"/>
  <c r="M1970" i="1"/>
  <c r="O1970" i="1" s="1"/>
  <c r="M1971" i="1"/>
  <c r="O1971" i="1" s="1"/>
  <c r="M1972" i="1"/>
  <c r="O1972" i="1" s="1"/>
  <c r="M1973" i="1"/>
  <c r="O1973" i="1" s="1"/>
  <c r="M1974" i="1"/>
  <c r="O1974" i="1" s="1"/>
  <c r="M1975" i="1"/>
  <c r="O1975" i="1" s="1"/>
  <c r="M1976" i="1"/>
  <c r="O1976" i="1" s="1"/>
  <c r="M1977" i="1"/>
  <c r="O1977" i="1" s="1"/>
  <c r="M1978" i="1"/>
  <c r="O1978" i="1" s="1"/>
  <c r="M1979" i="1"/>
  <c r="O1979" i="1" s="1"/>
  <c r="M1980" i="1"/>
  <c r="O1980" i="1" s="1"/>
  <c r="M1981" i="1"/>
  <c r="O1981" i="1" s="1"/>
  <c r="M1982" i="1"/>
  <c r="O1982" i="1" s="1"/>
  <c r="M1983" i="1"/>
  <c r="O1983" i="1" s="1"/>
  <c r="M1984" i="1"/>
  <c r="O1984" i="1" s="1"/>
  <c r="M1985" i="1"/>
  <c r="O1985" i="1" s="1"/>
  <c r="M1986" i="1"/>
  <c r="O1986" i="1" s="1"/>
  <c r="M1987" i="1"/>
  <c r="O1987" i="1" s="1"/>
  <c r="M1988" i="1"/>
  <c r="O1988" i="1" s="1"/>
  <c r="M1989" i="1"/>
  <c r="O1989" i="1" s="1"/>
  <c r="M1990" i="1"/>
  <c r="O1990" i="1" s="1"/>
  <c r="M1991" i="1"/>
  <c r="O1991" i="1" s="1"/>
  <c r="M1992" i="1"/>
  <c r="O1992" i="1" s="1"/>
  <c r="M1993" i="1"/>
  <c r="O1993" i="1" s="1"/>
  <c r="M1994" i="1"/>
  <c r="O1994" i="1" s="1"/>
  <c r="M1995" i="1"/>
  <c r="O1995" i="1" s="1"/>
  <c r="M1996" i="1"/>
  <c r="O1996" i="1" s="1"/>
  <c r="M1997" i="1"/>
  <c r="O1997" i="1" s="1"/>
  <c r="M1998" i="1"/>
  <c r="O1998" i="1" s="1"/>
  <c r="M1999" i="1"/>
  <c r="O1999" i="1" s="1"/>
  <c r="M2000" i="1"/>
  <c r="O2000" i="1" s="1"/>
  <c r="M2001" i="1"/>
  <c r="O2001" i="1" s="1"/>
  <c r="M2002" i="1"/>
  <c r="O2002" i="1" s="1"/>
  <c r="M2003" i="1"/>
  <c r="O2003" i="1" s="1"/>
  <c r="M2004" i="1"/>
  <c r="O2004" i="1" s="1"/>
  <c r="M2005" i="1"/>
  <c r="O2005" i="1" s="1"/>
  <c r="M2006" i="1"/>
  <c r="O2006" i="1" s="1"/>
  <c r="M2007" i="1"/>
  <c r="O2007" i="1" s="1"/>
  <c r="M2008" i="1"/>
  <c r="O2008" i="1" s="1"/>
  <c r="M2009" i="1"/>
  <c r="O2009" i="1" s="1"/>
  <c r="M2010" i="1"/>
  <c r="O2010" i="1" s="1"/>
  <c r="M2011" i="1"/>
  <c r="O2011" i="1" s="1"/>
  <c r="M2012" i="1"/>
  <c r="O2012" i="1" s="1"/>
  <c r="M2013" i="1"/>
  <c r="O2013" i="1" s="1"/>
  <c r="M2014" i="1"/>
  <c r="O2014" i="1" s="1"/>
  <c r="M2015" i="1"/>
  <c r="O2015" i="1" s="1"/>
  <c r="M2016" i="1"/>
  <c r="O2016" i="1" s="1"/>
  <c r="M2017" i="1"/>
  <c r="O2017" i="1" s="1"/>
  <c r="M2018" i="1"/>
  <c r="O2018" i="1" s="1"/>
  <c r="M2019" i="1"/>
  <c r="O2019" i="1" s="1"/>
  <c r="M2020" i="1"/>
  <c r="O2020" i="1" s="1"/>
  <c r="M2021" i="1"/>
  <c r="O2021" i="1" s="1"/>
  <c r="M2022" i="1"/>
  <c r="O2022" i="1" s="1"/>
  <c r="M2023" i="1"/>
  <c r="O2023" i="1" s="1"/>
  <c r="M2024" i="1"/>
  <c r="O2024" i="1" s="1"/>
  <c r="M2025" i="1"/>
  <c r="O2025" i="1" s="1"/>
  <c r="M2026" i="1"/>
  <c r="O2026" i="1" s="1"/>
  <c r="M2027" i="1"/>
  <c r="O2027" i="1" s="1"/>
  <c r="M2028" i="1"/>
  <c r="O2028" i="1" s="1"/>
  <c r="M2029" i="1"/>
  <c r="O2029" i="1" s="1"/>
  <c r="M2030" i="1"/>
  <c r="O2030" i="1" s="1"/>
  <c r="M2031" i="1"/>
  <c r="O2031" i="1" s="1"/>
  <c r="M2032" i="1"/>
  <c r="O2032" i="1" s="1"/>
  <c r="M2033" i="1"/>
  <c r="O2033" i="1" s="1"/>
  <c r="M2034" i="1"/>
  <c r="O2034" i="1" s="1"/>
  <c r="M2035" i="1"/>
  <c r="O2035" i="1" s="1"/>
  <c r="M2036" i="1"/>
  <c r="O2036" i="1" s="1"/>
  <c r="M2037" i="1"/>
  <c r="O2037" i="1" s="1"/>
  <c r="M2038" i="1"/>
  <c r="O2038" i="1" s="1"/>
  <c r="M2039" i="1"/>
  <c r="O2039" i="1" s="1"/>
  <c r="M2040" i="1"/>
  <c r="O2040" i="1" s="1"/>
  <c r="M2041" i="1"/>
  <c r="O2041" i="1" s="1"/>
  <c r="M2042" i="1"/>
  <c r="O2042" i="1" s="1"/>
  <c r="M2043" i="1"/>
  <c r="O2043" i="1" s="1"/>
  <c r="M2044" i="1"/>
  <c r="O2044" i="1" s="1"/>
  <c r="M2045" i="1"/>
  <c r="O2045" i="1" s="1"/>
  <c r="M2046" i="1"/>
  <c r="O2046" i="1" s="1"/>
  <c r="M2047" i="1"/>
  <c r="O2047" i="1" s="1"/>
  <c r="M2048" i="1"/>
  <c r="O2048" i="1" s="1"/>
  <c r="M2049" i="1"/>
  <c r="O2049" i="1" s="1"/>
  <c r="M2050" i="1"/>
  <c r="O2050" i="1" s="1"/>
  <c r="M2051" i="1"/>
  <c r="O2051" i="1" s="1"/>
  <c r="M2052" i="1"/>
  <c r="O2052" i="1" s="1"/>
  <c r="M2053" i="1"/>
  <c r="O2053" i="1" s="1"/>
  <c r="M2054" i="1"/>
  <c r="O2054" i="1" s="1"/>
  <c r="M2055" i="1"/>
  <c r="O2055" i="1" s="1"/>
  <c r="M2056" i="1"/>
  <c r="O2056" i="1" s="1"/>
  <c r="M2057" i="1"/>
  <c r="O2057" i="1" s="1"/>
  <c r="M2058" i="1"/>
  <c r="O2058" i="1" s="1"/>
  <c r="M2059" i="1"/>
  <c r="O2059" i="1" s="1"/>
  <c r="M2060" i="1"/>
  <c r="O2060" i="1" s="1"/>
  <c r="M2061" i="1"/>
  <c r="O2061" i="1" s="1"/>
  <c r="M2062" i="1"/>
  <c r="O2062" i="1" s="1"/>
  <c r="M2063" i="1"/>
  <c r="O2063" i="1" s="1"/>
  <c r="M2064" i="1"/>
  <c r="O2064" i="1" s="1"/>
  <c r="M2065" i="1"/>
  <c r="O2065" i="1" s="1"/>
  <c r="M2066" i="1"/>
  <c r="O2066" i="1" s="1"/>
  <c r="M2067" i="1"/>
  <c r="O2067" i="1" s="1"/>
  <c r="M2068" i="1"/>
  <c r="O2068" i="1" s="1"/>
  <c r="M2069" i="1"/>
  <c r="O2069" i="1" s="1"/>
  <c r="M2070" i="1"/>
  <c r="O2070" i="1" s="1"/>
  <c r="M2071" i="1"/>
  <c r="O2071" i="1" s="1"/>
  <c r="M2072" i="1"/>
  <c r="O2072" i="1" s="1"/>
  <c r="M2073" i="1"/>
  <c r="O2073" i="1" s="1"/>
  <c r="M2074" i="1"/>
  <c r="O2074" i="1" s="1"/>
  <c r="M2075" i="1"/>
  <c r="O2075" i="1" s="1"/>
  <c r="M2076" i="1"/>
  <c r="O2076" i="1" s="1"/>
  <c r="M2077" i="1"/>
  <c r="O2077" i="1" s="1"/>
  <c r="M2078" i="1"/>
  <c r="O2078" i="1" s="1"/>
  <c r="M2079" i="1"/>
  <c r="O2079" i="1" s="1"/>
  <c r="M2080" i="1"/>
  <c r="O2080" i="1" s="1"/>
  <c r="M2081" i="1"/>
  <c r="O2081" i="1" s="1"/>
  <c r="M2082" i="1"/>
  <c r="O2082" i="1" s="1"/>
  <c r="M2083" i="1"/>
  <c r="O2083" i="1" s="1"/>
  <c r="M2084" i="1"/>
  <c r="O2084" i="1" s="1"/>
  <c r="M2085" i="1"/>
  <c r="O2085" i="1" s="1"/>
  <c r="M2086" i="1"/>
  <c r="O2086" i="1" s="1"/>
  <c r="M2087" i="1"/>
  <c r="O2087" i="1" s="1"/>
  <c r="M2088" i="1"/>
  <c r="O2088" i="1" s="1"/>
  <c r="M2089" i="1"/>
  <c r="O2089" i="1" s="1"/>
  <c r="M2090" i="1"/>
  <c r="O2090" i="1" s="1"/>
  <c r="M2091" i="1"/>
  <c r="O2091" i="1" s="1"/>
  <c r="M2092" i="1"/>
  <c r="O2092" i="1" s="1"/>
  <c r="M2093" i="1"/>
  <c r="O2093" i="1" s="1"/>
  <c r="M2094" i="1"/>
  <c r="O2094" i="1" s="1"/>
  <c r="M2095" i="1"/>
  <c r="O2095" i="1" s="1"/>
  <c r="M2096" i="1"/>
  <c r="O2096" i="1" s="1"/>
  <c r="M2097" i="1"/>
  <c r="O2097" i="1" s="1"/>
  <c r="M2098" i="1"/>
  <c r="O2098" i="1" s="1"/>
  <c r="M2099" i="1"/>
  <c r="O2099" i="1" s="1"/>
  <c r="M2100" i="1"/>
  <c r="O2100" i="1" s="1"/>
  <c r="M3" i="1"/>
  <c r="O3" i="1" s="1"/>
  <c r="H3" i="1"/>
  <c r="I3" i="1"/>
  <c r="L3" i="1" s="1"/>
  <c r="J3" i="1"/>
  <c r="K3" i="1"/>
  <c r="H4" i="1"/>
  <c r="I4" i="1"/>
  <c r="L4" i="1" s="1"/>
  <c r="J4" i="1"/>
  <c r="K4" i="1"/>
  <c r="H5" i="1"/>
  <c r="I5" i="1"/>
  <c r="L5" i="1" s="1"/>
  <c r="J5" i="1"/>
  <c r="K5" i="1"/>
  <c r="H6" i="1"/>
  <c r="I6" i="1"/>
  <c r="L6" i="1" s="1"/>
  <c r="J6" i="1"/>
  <c r="K6" i="1"/>
  <c r="H7" i="1"/>
  <c r="I7" i="1"/>
  <c r="L7" i="1" s="1"/>
  <c r="J7" i="1"/>
  <c r="K7" i="1"/>
  <c r="H8" i="1"/>
  <c r="I8" i="1"/>
  <c r="L8" i="1" s="1"/>
  <c r="J8" i="1"/>
  <c r="K8" i="1"/>
  <c r="H9" i="1"/>
  <c r="I9" i="1"/>
  <c r="L9" i="1" s="1"/>
  <c r="J9" i="1"/>
  <c r="K9" i="1"/>
  <c r="H10" i="1"/>
  <c r="I10" i="1"/>
  <c r="L10" i="1" s="1"/>
  <c r="J10" i="1"/>
  <c r="K10" i="1"/>
  <c r="H11" i="1"/>
  <c r="I11" i="1"/>
  <c r="L11" i="1" s="1"/>
  <c r="J11" i="1"/>
  <c r="K11" i="1"/>
  <c r="H12" i="1"/>
  <c r="I12" i="1"/>
  <c r="L12" i="1" s="1"/>
  <c r="J12" i="1"/>
  <c r="K12" i="1"/>
  <c r="H13" i="1"/>
  <c r="I13" i="1"/>
  <c r="L13" i="1" s="1"/>
  <c r="J13" i="1"/>
  <c r="K13" i="1"/>
  <c r="H14" i="1"/>
  <c r="I14" i="1"/>
  <c r="L14" i="1" s="1"/>
  <c r="J14" i="1"/>
  <c r="K14" i="1"/>
  <c r="H15" i="1"/>
  <c r="I15" i="1"/>
  <c r="L15" i="1" s="1"/>
  <c r="J15" i="1"/>
  <c r="K15" i="1"/>
  <c r="H16" i="1"/>
  <c r="I16" i="1"/>
  <c r="L16" i="1" s="1"/>
  <c r="J16" i="1"/>
  <c r="K16" i="1"/>
  <c r="H17" i="1"/>
  <c r="I17" i="1"/>
  <c r="L17" i="1" s="1"/>
  <c r="J17" i="1"/>
  <c r="K17" i="1"/>
  <c r="H18" i="1"/>
  <c r="I18" i="1"/>
  <c r="L18" i="1" s="1"/>
  <c r="J18" i="1"/>
  <c r="K18" i="1"/>
  <c r="H19" i="1"/>
  <c r="I19" i="1"/>
  <c r="L19" i="1" s="1"/>
  <c r="J19" i="1"/>
  <c r="K19" i="1"/>
  <c r="H20" i="1"/>
  <c r="I20" i="1"/>
  <c r="L20" i="1" s="1"/>
  <c r="J20" i="1"/>
  <c r="K20" i="1"/>
  <c r="H21" i="1"/>
  <c r="I21" i="1"/>
  <c r="L21" i="1" s="1"/>
  <c r="J21" i="1"/>
  <c r="K21" i="1"/>
  <c r="H22" i="1"/>
  <c r="I22" i="1"/>
  <c r="L22" i="1" s="1"/>
  <c r="J22" i="1"/>
  <c r="K22" i="1"/>
  <c r="H23" i="1"/>
  <c r="I23" i="1"/>
  <c r="L23" i="1" s="1"/>
  <c r="J23" i="1"/>
  <c r="K23" i="1"/>
  <c r="H24" i="1"/>
  <c r="I24" i="1"/>
  <c r="L24" i="1" s="1"/>
  <c r="J24" i="1"/>
  <c r="K24" i="1"/>
  <c r="H25" i="1"/>
  <c r="I25" i="1"/>
  <c r="L25" i="1" s="1"/>
  <c r="J25" i="1"/>
  <c r="K25" i="1"/>
  <c r="H26" i="1"/>
  <c r="I26" i="1"/>
  <c r="L26" i="1" s="1"/>
  <c r="J26" i="1"/>
  <c r="K26" i="1"/>
  <c r="H27" i="1"/>
  <c r="I27" i="1"/>
  <c r="L27" i="1" s="1"/>
  <c r="J27" i="1"/>
  <c r="K27" i="1"/>
  <c r="H28" i="1"/>
  <c r="I28" i="1"/>
  <c r="L28" i="1" s="1"/>
  <c r="J28" i="1"/>
  <c r="K28" i="1"/>
  <c r="H29" i="1"/>
  <c r="I29" i="1"/>
  <c r="L29" i="1" s="1"/>
  <c r="J29" i="1"/>
  <c r="K29" i="1"/>
  <c r="H30" i="1"/>
  <c r="I30" i="1"/>
  <c r="L30" i="1" s="1"/>
  <c r="J30" i="1"/>
  <c r="K30" i="1"/>
  <c r="H31" i="1"/>
  <c r="I31" i="1"/>
  <c r="L31" i="1" s="1"/>
  <c r="J31" i="1"/>
  <c r="K31" i="1"/>
  <c r="H32" i="1"/>
  <c r="I32" i="1"/>
  <c r="L32" i="1" s="1"/>
  <c r="J32" i="1"/>
  <c r="K32" i="1"/>
  <c r="H33" i="1"/>
  <c r="I33" i="1"/>
  <c r="L33" i="1" s="1"/>
  <c r="J33" i="1"/>
  <c r="K33" i="1"/>
  <c r="H34" i="1"/>
  <c r="I34" i="1"/>
  <c r="L34" i="1" s="1"/>
  <c r="J34" i="1"/>
  <c r="K34" i="1"/>
  <c r="H35" i="1"/>
  <c r="I35" i="1"/>
  <c r="L35" i="1" s="1"/>
  <c r="J35" i="1"/>
  <c r="K35" i="1"/>
  <c r="H36" i="1"/>
  <c r="I36" i="1"/>
  <c r="L36" i="1" s="1"/>
  <c r="J36" i="1"/>
  <c r="K36" i="1"/>
  <c r="H37" i="1"/>
  <c r="I37" i="1"/>
  <c r="L37" i="1" s="1"/>
  <c r="J37" i="1"/>
  <c r="K37" i="1"/>
  <c r="H38" i="1"/>
  <c r="I38" i="1"/>
  <c r="L38" i="1" s="1"/>
  <c r="J38" i="1"/>
  <c r="K38" i="1"/>
  <c r="H39" i="1"/>
  <c r="I39" i="1"/>
  <c r="L39" i="1" s="1"/>
  <c r="J39" i="1"/>
  <c r="K39" i="1"/>
  <c r="H40" i="1"/>
  <c r="I40" i="1"/>
  <c r="L40" i="1" s="1"/>
  <c r="J40" i="1"/>
  <c r="K40" i="1"/>
  <c r="H41" i="1"/>
  <c r="I41" i="1"/>
  <c r="L41" i="1" s="1"/>
  <c r="J41" i="1"/>
  <c r="K41" i="1"/>
  <c r="H42" i="1"/>
  <c r="I42" i="1"/>
  <c r="L42" i="1" s="1"/>
  <c r="J42" i="1"/>
  <c r="K42" i="1"/>
  <c r="H43" i="1"/>
  <c r="I43" i="1"/>
  <c r="L43" i="1" s="1"/>
  <c r="J43" i="1"/>
  <c r="K43" i="1"/>
  <c r="H44" i="1"/>
  <c r="I44" i="1"/>
  <c r="L44" i="1" s="1"/>
  <c r="J44" i="1"/>
  <c r="K44" i="1"/>
  <c r="H45" i="1"/>
  <c r="I45" i="1"/>
  <c r="L45" i="1" s="1"/>
  <c r="J45" i="1"/>
  <c r="K45" i="1"/>
  <c r="H46" i="1"/>
  <c r="I46" i="1"/>
  <c r="L46" i="1" s="1"/>
  <c r="J46" i="1"/>
  <c r="K46" i="1"/>
  <c r="H47" i="1"/>
  <c r="I47" i="1"/>
  <c r="L47" i="1" s="1"/>
  <c r="J47" i="1"/>
  <c r="K47" i="1"/>
  <c r="H48" i="1"/>
  <c r="I48" i="1"/>
  <c r="L48" i="1" s="1"/>
  <c r="J48" i="1"/>
  <c r="K48" i="1"/>
  <c r="H49" i="1"/>
  <c r="I49" i="1"/>
  <c r="L49" i="1" s="1"/>
  <c r="J49" i="1"/>
  <c r="K49" i="1"/>
  <c r="H50" i="1"/>
  <c r="I50" i="1"/>
  <c r="L50" i="1" s="1"/>
  <c r="J50" i="1"/>
  <c r="K50" i="1"/>
  <c r="H51" i="1"/>
  <c r="I51" i="1"/>
  <c r="L51" i="1" s="1"/>
  <c r="J51" i="1"/>
  <c r="K51" i="1"/>
  <c r="H52" i="1"/>
  <c r="I52" i="1"/>
  <c r="L52" i="1" s="1"/>
  <c r="J52" i="1"/>
  <c r="K52" i="1"/>
  <c r="H53" i="1"/>
  <c r="I53" i="1"/>
  <c r="L53" i="1" s="1"/>
  <c r="J53" i="1"/>
  <c r="K53" i="1"/>
  <c r="H54" i="1"/>
  <c r="I54" i="1"/>
  <c r="L54" i="1" s="1"/>
  <c r="J54" i="1"/>
  <c r="K54" i="1"/>
  <c r="H55" i="1"/>
  <c r="I55" i="1"/>
  <c r="L55" i="1" s="1"/>
  <c r="J55" i="1"/>
  <c r="K55" i="1"/>
  <c r="H56" i="1"/>
  <c r="I56" i="1"/>
  <c r="L56" i="1" s="1"/>
  <c r="J56" i="1"/>
  <c r="K56" i="1"/>
  <c r="H57" i="1"/>
  <c r="I57" i="1"/>
  <c r="L57" i="1" s="1"/>
  <c r="J57" i="1"/>
  <c r="K57" i="1"/>
  <c r="H58" i="1"/>
  <c r="I58" i="1"/>
  <c r="L58" i="1" s="1"/>
  <c r="J58" i="1"/>
  <c r="K58" i="1"/>
  <c r="H59" i="1"/>
  <c r="I59" i="1"/>
  <c r="L59" i="1" s="1"/>
  <c r="J59" i="1"/>
  <c r="K59" i="1"/>
  <c r="H60" i="1"/>
  <c r="I60" i="1"/>
  <c r="L60" i="1" s="1"/>
  <c r="J60" i="1"/>
  <c r="K60" i="1"/>
  <c r="H61" i="1"/>
  <c r="I61" i="1"/>
  <c r="L61" i="1" s="1"/>
  <c r="J61" i="1"/>
  <c r="K61" i="1"/>
  <c r="H62" i="1"/>
  <c r="I62" i="1"/>
  <c r="L62" i="1" s="1"/>
  <c r="J62" i="1"/>
  <c r="K62" i="1"/>
  <c r="H63" i="1"/>
  <c r="I63" i="1"/>
  <c r="L63" i="1" s="1"/>
  <c r="J63" i="1"/>
  <c r="K63" i="1"/>
  <c r="H64" i="1"/>
  <c r="I64" i="1"/>
  <c r="L64" i="1" s="1"/>
  <c r="J64" i="1"/>
  <c r="K64" i="1"/>
  <c r="H65" i="1"/>
  <c r="I65" i="1"/>
  <c r="L65" i="1" s="1"/>
  <c r="J65" i="1"/>
  <c r="K65" i="1"/>
  <c r="H66" i="1"/>
  <c r="I66" i="1"/>
  <c r="L66" i="1" s="1"/>
  <c r="J66" i="1"/>
  <c r="K66" i="1"/>
  <c r="H67" i="1"/>
  <c r="I67" i="1"/>
  <c r="L67" i="1" s="1"/>
  <c r="J67" i="1"/>
  <c r="K67" i="1"/>
  <c r="H68" i="1"/>
  <c r="I68" i="1"/>
  <c r="L68" i="1" s="1"/>
  <c r="J68" i="1"/>
  <c r="K68" i="1"/>
  <c r="H69" i="1"/>
  <c r="I69" i="1"/>
  <c r="L69" i="1" s="1"/>
  <c r="J69" i="1"/>
  <c r="K69" i="1"/>
  <c r="H70" i="1"/>
  <c r="I70" i="1"/>
  <c r="L70" i="1" s="1"/>
  <c r="J70" i="1"/>
  <c r="K70" i="1"/>
  <c r="H71" i="1"/>
  <c r="I71" i="1"/>
  <c r="L71" i="1" s="1"/>
  <c r="J71" i="1"/>
  <c r="K71" i="1"/>
  <c r="H72" i="1"/>
  <c r="I72" i="1"/>
  <c r="L72" i="1" s="1"/>
  <c r="J72" i="1"/>
  <c r="K72" i="1"/>
  <c r="H73" i="1"/>
  <c r="I73" i="1"/>
  <c r="L73" i="1" s="1"/>
  <c r="J73" i="1"/>
  <c r="K73" i="1"/>
  <c r="H74" i="1"/>
  <c r="I74" i="1"/>
  <c r="L74" i="1" s="1"/>
  <c r="J74" i="1"/>
  <c r="K74" i="1"/>
  <c r="H75" i="1"/>
  <c r="I75" i="1"/>
  <c r="L75" i="1" s="1"/>
  <c r="J75" i="1"/>
  <c r="K75" i="1"/>
  <c r="H76" i="1"/>
  <c r="I76" i="1"/>
  <c r="L76" i="1" s="1"/>
  <c r="J76" i="1"/>
  <c r="K76" i="1"/>
  <c r="H77" i="1"/>
  <c r="I77" i="1"/>
  <c r="L77" i="1" s="1"/>
  <c r="J77" i="1"/>
  <c r="K77" i="1"/>
  <c r="H78" i="1"/>
  <c r="I78" i="1"/>
  <c r="L78" i="1" s="1"/>
  <c r="J78" i="1"/>
  <c r="K78" i="1"/>
  <c r="H79" i="1"/>
  <c r="I79" i="1"/>
  <c r="L79" i="1" s="1"/>
  <c r="J79" i="1"/>
  <c r="K79" i="1"/>
  <c r="H80" i="1"/>
  <c r="I80" i="1"/>
  <c r="L80" i="1" s="1"/>
  <c r="J80" i="1"/>
  <c r="K80" i="1"/>
  <c r="H81" i="1"/>
  <c r="I81" i="1"/>
  <c r="L81" i="1" s="1"/>
  <c r="J81" i="1"/>
  <c r="K81" i="1"/>
  <c r="H82" i="1"/>
  <c r="I82" i="1"/>
  <c r="L82" i="1" s="1"/>
  <c r="J82" i="1"/>
  <c r="K82" i="1"/>
  <c r="H83" i="1"/>
  <c r="I83" i="1"/>
  <c r="L83" i="1" s="1"/>
  <c r="J83" i="1"/>
  <c r="K83" i="1"/>
  <c r="H84" i="1"/>
  <c r="I84" i="1"/>
  <c r="L84" i="1" s="1"/>
  <c r="J84" i="1"/>
  <c r="K84" i="1"/>
  <c r="H85" i="1"/>
  <c r="I85" i="1"/>
  <c r="L85" i="1" s="1"/>
  <c r="J85" i="1"/>
  <c r="K85" i="1"/>
  <c r="H86" i="1"/>
  <c r="I86" i="1"/>
  <c r="L86" i="1" s="1"/>
  <c r="J86" i="1"/>
  <c r="K86" i="1"/>
  <c r="H87" i="1"/>
  <c r="I87" i="1"/>
  <c r="L87" i="1" s="1"/>
  <c r="J87" i="1"/>
  <c r="K87" i="1"/>
  <c r="H88" i="1"/>
  <c r="I88" i="1"/>
  <c r="L88" i="1" s="1"/>
  <c r="J88" i="1"/>
  <c r="K88" i="1"/>
  <c r="H89" i="1"/>
  <c r="I89" i="1"/>
  <c r="L89" i="1" s="1"/>
  <c r="J89" i="1"/>
  <c r="K89" i="1"/>
  <c r="H90" i="1"/>
  <c r="I90" i="1"/>
  <c r="L90" i="1" s="1"/>
  <c r="J90" i="1"/>
  <c r="K90" i="1"/>
  <c r="H91" i="1"/>
  <c r="I91" i="1"/>
  <c r="L91" i="1" s="1"/>
  <c r="J91" i="1"/>
  <c r="K91" i="1"/>
  <c r="H92" i="1"/>
  <c r="I92" i="1"/>
  <c r="L92" i="1" s="1"/>
  <c r="J92" i="1"/>
  <c r="K92" i="1"/>
  <c r="H93" i="1"/>
  <c r="I93" i="1"/>
  <c r="L93" i="1" s="1"/>
  <c r="J93" i="1"/>
  <c r="K93" i="1"/>
  <c r="H94" i="1"/>
  <c r="I94" i="1"/>
  <c r="L94" i="1" s="1"/>
  <c r="J94" i="1"/>
  <c r="K94" i="1"/>
  <c r="H95" i="1"/>
  <c r="I95" i="1"/>
  <c r="L95" i="1" s="1"/>
  <c r="J95" i="1"/>
  <c r="K95" i="1"/>
  <c r="H96" i="1"/>
  <c r="I96" i="1"/>
  <c r="L96" i="1" s="1"/>
  <c r="J96" i="1"/>
  <c r="K96" i="1"/>
  <c r="H97" i="1"/>
  <c r="I97" i="1"/>
  <c r="L97" i="1" s="1"/>
  <c r="J97" i="1"/>
  <c r="K97" i="1"/>
  <c r="H98" i="1"/>
  <c r="I98" i="1"/>
  <c r="L98" i="1" s="1"/>
  <c r="J98" i="1"/>
  <c r="K98" i="1"/>
  <c r="H99" i="1"/>
  <c r="I99" i="1"/>
  <c r="L99" i="1" s="1"/>
  <c r="J99" i="1"/>
  <c r="K99" i="1"/>
  <c r="H100" i="1"/>
  <c r="I100" i="1"/>
  <c r="L100" i="1" s="1"/>
  <c r="J100" i="1"/>
  <c r="K100" i="1"/>
  <c r="H101" i="1"/>
  <c r="I101" i="1"/>
  <c r="L101" i="1" s="1"/>
  <c r="J101" i="1"/>
  <c r="K101" i="1"/>
  <c r="H102" i="1"/>
  <c r="I102" i="1"/>
  <c r="L102" i="1" s="1"/>
  <c r="J102" i="1"/>
  <c r="K102" i="1"/>
  <c r="H103" i="1"/>
  <c r="I103" i="1"/>
  <c r="L103" i="1" s="1"/>
  <c r="J103" i="1"/>
  <c r="K103" i="1"/>
  <c r="H104" i="1"/>
  <c r="I104" i="1"/>
  <c r="L104" i="1" s="1"/>
  <c r="J104" i="1"/>
  <c r="K104" i="1"/>
  <c r="H105" i="1"/>
  <c r="I105" i="1"/>
  <c r="L105" i="1" s="1"/>
  <c r="J105" i="1"/>
  <c r="K105" i="1"/>
  <c r="H106" i="1"/>
  <c r="I106" i="1"/>
  <c r="L106" i="1" s="1"/>
  <c r="J106" i="1"/>
  <c r="K106" i="1"/>
  <c r="H107" i="1"/>
  <c r="I107" i="1"/>
  <c r="L107" i="1" s="1"/>
  <c r="J107" i="1"/>
  <c r="K107" i="1"/>
  <c r="H108" i="1"/>
  <c r="I108" i="1"/>
  <c r="L108" i="1" s="1"/>
  <c r="J108" i="1"/>
  <c r="K108" i="1"/>
  <c r="H109" i="1"/>
  <c r="I109" i="1"/>
  <c r="L109" i="1" s="1"/>
  <c r="J109" i="1"/>
  <c r="K109" i="1"/>
  <c r="H110" i="1"/>
  <c r="I110" i="1"/>
  <c r="L110" i="1" s="1"/>
  <c r="J110" i="1"/>
  <c r="K110" i="1"/>
  <c r="H111" i="1"/>
  <c r="I111" i="1"/>
  <c r="L111" i="1" s="1"/>
  <c r="J111" i="1"/>
  <c r="K111" i="1"/>
  <c r="H112" i="1"/>
  <c r="I112" i="1"/>
  <c r="L112" i="1" s="1"/>
  <c r="J112" i="1"/>
  <c r="K112" i="1"/>
  <c r="H113" i="1"/>
  <c r="I113" i="1"/>
  <c r="L113" i="1" s="1"/>
  <c r="J113" i="1"/>
  <c r="K113" i="1"/>
  <c r="H114" i="1"/>
  <c r="I114" i="1"/>
  <c r="L114" i="1" s="1"/>
  <c r="J114" i="1"/>
  <c r="K114" i="1"/>
  <c r="H115" i="1"/>
  <c r="I115" i="1"/>
  <c r="L115" i="1" s="1"/>
  <c r="J115" i="1"/>
  <c r="K115" i="1"/>
  <c r="H116" i="1"/>
  <c r="I116" i="1"/>
  <c r="L116" i="1" s="1"/>
  <c r="J116" i="1"/>
  <c r="K116" i="1"/>
  <c r="H117" i="1"/>
  <c r="I117" i="1"/>
  <c r="L117" i="1" s="1"/>
  <c r="J117" i="1"/>
  <c r="K117" i="1"/>
  <c r="H118" i="1"/>
  <c r="I118" i="1"/>
  <c r="L118" i="1" s="1"/>
  <c r="J118" i="1"/>
  <c r="K118" i="1"/>
  <c r="H119" i="1"/>
  <c r="I119" i="1"/>
  <c r="L119" i="1" s="1"/>
  <c r="J119" i="1"/>
  <c r="K119" i="1"/>
  <c r="H120" i="1"/>
  <c r="I120" i="1"/>
  <c r="L120" i="1" s="1"/>
  <c r="J120" i="1"/>
  <c r="K120" i="1"/>
  <c r="H121" i="1"/>
  <c r="I121" i="1"/>
  <c r="L121" i="1" s="1"/>
  <c r="J121" i="1"/>
  <c r="K121" i="1"/>
  <c r="H122" i="1"/>
  <c r="I122" i="1"/>
  <c r="L122" i="1" s="1"/>
  <c r="J122" i="1"/>
  <c r="K122" i="1"/>
  <c r="H123" i="1"/>
  <c r="I123" i="1"/>
  <c r="L123" i="1" s="1"/>
  <c r="J123" i="1"/>
  <c r="K123" i="1"/>
  <c r="H124" i="1"/>
  <c r="I124" i="1"/>
  <c r="L124" i="1" s="1"/>
  <c r="J124" i="1"/>
  <c r="K124" i="1"/>
  <c r="H125" i="1"/>
  <c r="I125" i="1"/>
  <c r="L125" i="1" s="1"/>
  <c r="J125" i="1"/>
  <c r="K125" i="1"/>
  <c r="H126" i="1"/>
  <c r="I126" i="1"/>
  <c r="L126" i="1" s="1"/>
  <c r="J126" i="1"/>
  <c r="K126" i="1"/>
  <c r="H127" i="1"/>
  <c r="I127" i="1"/>
  <c r="L127" i="1" s="1"/>
  <c r="J127" i="1"/>
  <c r="K127" i="1"/>
  <c r="H128" i="1"/>
  <c r="I128" i="1"/>
  <c r="L128" i="1" s="1"/>
  <c r="J128" i="1"/>
  <c r="K128" i="1"/>
  <c r="H129" i="1"/>
  <c r="I129" i="1"/>
  <c r="L129" i="1" s="1"/>
  <c r="J129" i="1"/>
  <c r="K129" i="1"/>
  <c r="H130" i="1"/>
  <c r="I130" i="1"/>
  <c r="L130" i="1" s="1"/>
  <c r="J130" i="1"/>
  <c r="K130" i="1"/>
  <c r="H131" i="1"/>
  <c r="I131" i="1"/>
  <c r="L131" i="1" s="1"/>
  <c r="J131" i="1"/>
  <c r="K131" i="1"/>
  <c r="H132" i="1"/>
  <c r="I132" i="1"/>
  <c r="L132" i="1" s="1"/>
  <c r="J132" i="1"/>
  <c r="K132" i="1"/>
  <c r="H133" i="1"/>
  <c r="I133" i="1"/>
  <c r="L133" i="1" s="1"/>
  <c r="J133" i="1"/>
  <c r="K133" i="1"/>
  <c r="H134" i="1"/>
  <c r="I134" i="1"/>
  <c r="L134" i="1" s="1"/>
  <c r="J134" i="1"/>
  <c r="K134" i="1"/>
  <c r="H135" i="1"/>
  <c r="I135" i="1"/>
  <c r="L135" i="1" s="1"/>
  <c r="J135" i="1"/>
  <c r="K135" i="1"/>
  <c r="H136" i="1"/>
  <c r="I136" i="1"/>
  <c r="L136" i="1" s="1"/>
  <c r="J136" i="1"/>
  <c r="K136" i="1"/>
  <c r="H137" i="1"/>
  <c r="I137" i="1"/>
  <c r="L137" i="1" s="1"/>
  <c r="J137" i="1"/>
  <c r="K137" i="1"/>
  <c r="H138" i="1"/>
  <c r="I138" i="1"/>
  <c r="L138" i="1" s="1"/>
  <c r="J138" i="1"/>
  <c r="K138" i="1"/>
  <c r="H139" i="1"/>
  <c r="I139" i="1"/>
  <c r="L139" i="1" s="1"/>
  <c r="J139" i="1"/>
  <c r="K139" i="1"/>
  <c r="H140" i="1"/>
  <c r="I140" i="1"/>
  <c r="L140" i="1" s="1"/>
  <c r="J140" i="1"/>
  <c r="K140" i="1"/>
  <c r="H141" i="1"/>
  <c r="I141" i="1"/>
  <c r="L141" i="1" s="1"/>
  <c r="J141" i="1"/>
  <c r="K141" i="1"/>
  <c r="H142" i="1"/>
  <c r="I142" i="1"/>
  <c r="L142" i="1" s="1"/>
  <c r="J142" i="1"/>
  <c r="K142" i="1"/>
  <c r="H143" i="1"/>
  <c r="I143" i="1"/>
  <c r="L143" i="1" s="1"/>
  <c r="J143" i="1"/>
  <c r="K143" i="1"/>
  <c r="H144" i="1"/>
  <c r="I144" i="1"/>
  <c r="L144" i="1" s="1"/>
  <c r="J144" i="1"/>
  <c r="K144" i="1"/>
  <c r="H145" i="1"/>
  <c r="I145" i="1"/>
  <c r="L145" i="1" s="1"/>
  <c r="J145" i="1"/>
  <c r="K145" i="1"/>
  <c r="H146" i="1"/>
  <c r="I146" i="1"/>
  <c r="L146" i="1" s="1"/>
  <c r="J146" i="1"/>
  <c r="K146" i="1"/>
  <c r="H147" i="1"/>
  <c r="I147" i="1"/>
  <c r="L147" i="1" s="1"/>
  <c r="J147" i="1"/>
  <c r="K147" i="1"/>
  <c r="H148" i="1"/>
  <c r="I148" i="1"/>
  <c r="L148" i="1" s="1"/>
  <c r="J148" i="1"/>
  <c r="K148" i="1"/>
  <c r="H149" i="1"/>
  <c r="I149" i="1"/>
  <c r="L149" i="1" s="1"/>
  <c r="J149" i="1"/>
  <c r="K149" i="1"/>
  <c r="H150" i="1"/>
  <c r="I150" i="1"/>
  <c r="L150" i="1" s="1"/>
  <c r="J150" i="1"/>
  <c r="K150" i="1"/>
  <c r="H151" i="1"/>
  <c r="I151" i="1"/>
  <c r="L151" i="1" s="1"/>
  <c r="J151" i="1"/>
  <c r="K151" i="1"/>
  <c r="H152" i="1"/>
  <c r="I152" i="1"/>
  <c r="L152" i="1" s="1"/>
  <c r="J152" i="1"/>
  <c r="K152" i="1"/>
  <c r="H153" i="1"/>
  <c r="I153" i="1"/>
  <c r="L153" i="1" s="1"/>
  <c r="J153" i="1"/>
  <c r="K153" i="1"/>
  <c r="H154" i="1"/>
  <c r="I154" i="1"/>
  <c r="L154" i="1" s="1"/>
  <c r="J154" i="1"/>
  <c r="K154" i="1"/>
  <c r="H155" i="1"/>
  <c r="I155" i="1"/>
  <c r="L155" i="1" s="1"/>
  <c r="J155" i="1"/>
  <c r="K155" i="1"/>
  <c r="H156" i="1"/>
  <c r="I156" i="1"/>
  <c r="L156" i="1" s="1"/>
  <c r="J156" i="1"/>
  <c r="K156" i="1"/>
  <c r="H157" i="1"/>
  <c r="I157" i="1"/>
  <c r="L157" i="1" s="1"/>
  <c r="J157" i="1"/>
  <c r="K157" i="1"/>
  <c r="H158" i="1"/>
  <c r="I158" i="1"/>
  <c r="L158" i="1" s="1"/>
  <c r="J158" i="1"/>
  <c r="K158" i="1"/>
  <c r="H159" i="1"/>
  <c r="I159" i="1"/>
  <c r="L159" i="1" s="1"/>
  <c r="J159" i="1"/>
  <c r="K159" i="1"/>
  <c r="H160" i="1"/>
  <c r="I160" i="1"/>
  <c r="L160" i="1" s="1"/>
  <c r="J160" i="1"/>
  <c r="K160" i="1"/>
  <c r="H161" i="1"/>
  <c r="I161" i="1"/>
  <c r="L161" i="1" s="1"/>
  <c r="J161" i="1"/>
  <c r="K161" i="1"/>
  <c r="H162" i="1"/>
  <c r="I162" i="1"/>
  <c r="L162" i="1" s="1"/>
  <c r="J162" i="1"/>
  <c r="K162" i="1"/>
  <c r="H163" i="1"/>
  <c r="I163" i="1"/>
  <c r="L163" i="1" s="1"/>
  <c r="J163" i="1"/>
  <c r="K163" i="1"/>
  <c r="H164" i="1"/>
  <c r="I164" i="1"/>
  <c r="L164" i="1" s="1"/>
  <c r="J164" i="1"/>
  <c r="K164" i="1"/>
  <c r="H165" i="1"/>
  <c r="I165" i="1"/>
  <c r="L165" i="1" s="1"/>
  <c r="J165" i="1"/>
  <c r="K165" i="1"/>
  <c r="H166" i="1"/>
  <c r="I166" i="1"/>
  <c r="L166" i="1" s="1"/>
  <c r="J166" i="1"/>
  <c r="K166" i="1"/>
  <c r="H167" i="1"/>
  <c r="I167" i="1"/>
  <c r="L167" i="1" s="1"/>
  <c r="J167" i="1"/>
  <c r="K167" i="1"/>
  <c r="H168" i="1"/>
  <c r="I168" i="1"/>
  <c r="L168" i="1" s="1"/>
  <c r="J168" i="1"/>
  <c r="K168" i="1"/>
  <c r="H169" i="1"/>
  <c r="I169" i="1"/>
  <c r="L169" i="1" s="1"/>
  <c r="J169" i="1"/>
  <c r="K169" i="1"/>
  <c r="H170" i="1"/>
  <c r="I170" i="1"/>
  <c r="L170" i="1" s="1"/>
  <c r="J170" i="1"/>
  <c r="K170" i="1"/>
  <c r="H171" i="1"/>
  <c r="I171" i="1"/>
  <c r="L171" i="1" s="1"/>
  <c r="J171" i="1"/>
  <c r="K171" i="1"/>
  <c r="H172" i="1"/>
  <c r="I172" i="1"/>
  <c r="L172" i="1" s="1"/>
  <c r="J172" i="1"/>
  <c r="K172" i="1"/>
  <c r="H173" i="1"/>
  <c r="I173" i="1"/>
  <c r="L173" i="1" s="1"/>
  <c r="J173" i="1"/>
  <c r="K173" i="1"/>
  <c r="H174" i="1"/>
  <c r="I174" i="1"/>
  <c r="L174" i="1" s="1"/>
  <c r="J174" i="1"/>
  <c r="K174" i="1"/>
  <c r="H175" i="1"/>
  <c r="I175" i="1"/>
  <c r="L175" i="1" s="1"/>
  <c r="J175" i="1"/>
  <c r="K175" i="1"/>
  <c r="H176" i="1"/>
  <c r="I176" i="1"/>
  <c r="L176" i="1" s="1"/>
  <c r="J176" i="1"/>
  <c r="K176" i="1"/>
  <c r="H177" i="1"/>
  <c r="I177" i="1"/>
  <c r="L177" i="1" s="1"/>
  <c r="J177" i="1"/>
  <c r="K177" i="1"/>
  <c r="H178" i="1"/>
  <c r="I178" i="1"/>
  <c r="L178" i="1" s="1"/>
  <c r="J178" i="1"/>
  <c r="K178" i="1"/>
  <c r="H179" i="1"/>
  <c r="I179" i="1"/>
  <c r="L179" i="1" s="1"/>
  <c r="J179" i="1"/>
  <c r="K179" i="1"/>
  <c r="H180" i="1"/>
  <c r="I180" i="1"/>
  <c r="L180" i="1" s="1"/>
  <c r="J180" i="1"/>
  <c r="K180" i="1"/>
  <c r="H181" i="1"/>
  <c r="I181" i="1"/>
  <c r="L181" i="1" s="1"/>
  <c r="J181" i="1"/>
  <c r="K181" i="1"/>
  <c r="H182" i="1"/>
  <c r="I182" i="1"/>
  <c r="L182" i="1" s="1"/>
  <c r="J182" i="1"/>
  <c r="K182" i="1"/>
  <c r="H183" i="1"/>
  <c r="I183" i="1"/>
  <c r="L183" i="1" s="1"/>
  <c r="J183" i="1"/>
  <c r="K183" i="1"/>
  <c r="H184" i="1"/>
  <c r="I184" i="1"/>
  <c r="L184" i="1" s="1"/>
  <c r="J184" i="1"/>
  <c r="K184" i="1"/>
  <c r="H185" i="1"/>
  <c r="I185" i="1"/>
  <c r="L185" i="1" s="1"/>
  <c r="J185" i="1"/>
  <c r="K185" i="1"/>
  <c r="H186" i="1"/>
  <c r="I186" i="1"/>
  <c r="L186" i="1" s="1"/>
  <c r="J186" i="1"/>
  <c r="K186" i="1"/>
  <c r="H187" i="1"/>
  <c r="I187" i="1"/>
  <c r="L187" i="1" s="1"/>
  <c r="J187" i="1"/>
  <c r="K187" i="1"/>
  <c r="H188" i="1"/>
  <c r="I188" i="1"/>
  <c r="L188" i="1" s="1"/>
  <c r="J188" i="1"/>
  <c r="K188" i="1"/>
  <c r="H189" i="1"/>
  <c r="I189" i="1"/>
  <c r="L189" i="1" s="1"/>
  <c r="J189" i="1"/>
  <c r="K189" i="1"/>
  <c r="H190" i="1"/>
  <c r="I190" i="1"/>
  <c r="L190" i="1" s="1"/>
  <c r="J190" i="1"/>
  <c r="K190" i="1"/>
  <c r="H191" i="1"/>
  <c r="I191" i="1"/>
  <c r="L191" i="1" s="1"/>
  <c r="J191" i="1"/>
  <c r="K191" i="1"/>
  <c r="H192" i="1"/>
  <c r="I192" i="1"/>
  <c r="L192" i="1" s="1"/>
  <c r="J192" i="1"/>
  <c r="K192" i="1"/>
  <c r="H193" i="1"/>
  <c r="I193" i="1"/>
  <c r="L193" i="1" s="1"/>
  <c r="J193" i="1"/>
  <c r="K193" i="1"/>
  <c r="H194" i="1"/>
  <c r="I194" i="1"/>
  <c r="L194" i="1" s="1"/>
  <c r="J194" i="1"/>
  <c r="K194" i="1"/>
  <c r="H195" i="1"/>
  <c r="I195" i="1"/>
  <c r="L195" i="1" s="1"/>
  <c r="J195" i="1"/>
  <c r="K195" i="1"/>
  <c r="H196" i="1"/>
  <c r="I196" i="1"/>
  <c r="L196" i="1" s="1"/>
  <c r="J196" i="1"/>
  <c r="K196" i="1"/>
  <c r="H197" i="1"/>
  <c r="I197" i="1"/>
  <c r="L197" i="1" s="1"/>
  <c r="J197" i="1"/>
  <c r="K197" i="1"/>
  <c r="H198" i="1"/>
  <c r="I198" i="1"/>
  <c r="L198" i="1" s="1"/>
  <c r="J198" i="1"/>
  <c r="K198" i="1"/>
  <c r="H199" i="1"/>
  <c r="I199" i="1"/>
  <c r="L199" i="1" s="1"/>
  <c r="J199" i="1"/>
  <c r="K199" i="1"/>
  <c r="H200" i="1"/>
  <c r="I200" i="1"/>
  <c r="L200" i="1" s="1"/>
  <c r="J200" i="1"/>
  <c r="K200" i="1"/>
  <c r="H201" i="1"/>
  <c r="I201" i="1"/>
  <c r="L201" i="1" s="1"/>
  <c r="J201" i="1"/>
  <c r="K201" i="1"/>
  <c r="H202" i="1"/>
  <c r="I202" i="1"/>
  <c r="L202" i="1" s="1"/>
  <c r="J202" i="1"/>
  <c r="K202" i="1"/>
  <c r="H203" i="1"/>
  <c r="I203" i="1"/>
  <c r="L203" i="1" s="1"/>
  <c r="J203" i="1"/>
  <c r="K203" i="1"/>
  <c r="H204" i="1"/>
  <c r="I204" i="1"/>
  <c r="L204" i="1" s="1"/>
  <c r="J204" i="1"/>
  <c r="K204" i="1"/>
  <c r="H205" i="1"/>
  <c r="I205" i="1"/>
  <c r="L205" i="1" s="1"/>
  <c r="J205" i="1"/>
  <c r="K205" i="1"/>
  <c r="H206" i="1"/>
  <c r="I206" i="1"/>
  <c r="L206" i="1" s="1"/>
  <c r="J206" i="1"/>
  <c r="K206" i="1"/>
  <c r="H207" i="1"/>
  <c r="I207" i="1"/>
  <c r="L207" i="1" s="1"/>
  <c r="J207" i="1"/>
  <c r="K207" i="1"/>
  <c r="H208" i="1"/>
  <c r="I208" i="1"/>
  <c r="L208" i="1" s="1"/>
  <c r="J208" i="1"/>
  <c r="K208" i="1"/>
  <c r="H209" i="1"/>
  <c r="I209" i="1"/>
  <c r="L209" i="1" s="1"/>
  <c r="J209" i="1"/>
  <c r="K209" i="1"/>
  <c r="H210" i="1"/>
  <c r="I210" i="1"/>
  <c r="L210" i="1" s="1"/>
  <c r="J210" i="1"/>
  <c r="K210" i="1"/>
  <c r="H211" i="1"/>
  <c r="I211" i="1"/>
  <c r="L211" i="1" s="1"/>
  <c r="J211" i="1"/>
  <c r="K211" i="1"/>
  <c r="H212" i="1"/>
  <c r="I212" i="1"/>
  <c r="L212" i="1" s="1"/>
  <c r="J212" i="1"/>
  <c r="K212" i="1"/>
  <c r="H213" i="1"/>
  <c r="I213" i="1"/>
  <c r="L213" i="1" s="1"/>
  <c r="J213" i="1"/>
  <c r="K213" i="1"/>
  <c r="H214" i="1"/>
  <c r="I214" i="1"/>
  <c r="L214" i="1" s="1"/>
  <c r="J214" i="1"/>
  <c r="K214" i="1"/>
  <c r="H215" i="1"/>
  <c r="I215" i="1"/>
  <c r="L215" i="1" s="1"/>
  <c r="J215" i="1"/>
  <c r="K215" i="1"/>
  <c r="H216" i="1"/>
  <c r="I216" i="1"/>
  <c r="L216" i="1" s="1"/>
  <c r="J216" i="1"/>
  <c r="K216" i="1"/>
  <c r="H217" i="1"/>
  <c r="I217" i="1"/>
  <c r="L217" i="1" s="1"/>
  <c r="J217" i="1"/>
  <c r="K217" i="1"/>
  <c r="H218" i="1"/>
  <c r="I218" i="1"/>
  <c r="L218" i="1" s="1"/>
  <c r="J218" i="1"/>
  <c r="K218" i="1"/>
  <c r="H219" i="1"/>
  <c r="I219" i="1"/>
  <c r="L219" i="1" s="1"/>
  <c r="J219" i="1"/>
  <c r="K219" i="1"/>
  <c r="H220" i="1"/>
  <c r="I220" i="1"/>
  <c r="L220" i="1" s="1"/>
  <c r="J220" i="1"/>
  <c r="K220" i="1"/>
  <c r="H221" i="1"/>
  <c r="I221" i="1"/>
  <c r="L221" i="1" s="1"/>
  <c r="J221" i="1"/>
  <c r="K221" i="1"/>
  <c r="H222" i="1"/>
  <c r="I222" i="1"/>
  <c r="L222" i="1" s="1"/>
  <c r="J222" i="1"/>
  <c r="K222" i="1"/>
  <c r="H223" i="1"/>
  <c r="I223" i="1"/>
  <c r="L223" i="1" s="1"/>
  <c r="J223" i="1"/>
  <c r="K223" i="1"/>
  <c r="H224" i="1"/>
  <c r="I224" i="1"/>
  <c r="L224" i="1" s="1"/>
  <c r="J224" i="1"/>
  <c r="K224" i="1"/>
  <c r="H225" i="1"/>
  <c r="I225" i="1"/>
  <c r="L225" i="1" s="1"/>
  <c r="J225" i="1"/>
  <c r="K225" i="1"/>
  <c r="H226" i="1"/>
  <c r="I226" i="1"/>
  <c r="L226" i="1" s="1"/>
  <c r="J226" i="1"/>
  <c r="K226" i="1"/>
  <c r="H227" i="1"/>
  <c r="I227" i="1"/>
  <c r="L227" i="1" s="1"/>
  <c r="J227" i="1"/>
  <c r="K227" i="1"/>
  <c r="H228" i="1"/>
  <c r="I228" i="1"/>
  <c r="L228" i="1" s="1"/>
  <c r="J228" i="1"/>
  <c r="K228" i="1"/>
  <c r="H229" i="1"/>
  <c r="I229" i="1"/>
  <c r="L229" i="1" s="1"/>
  <c r="J229" i="1"/>
  <c r="K229" i="1"/>
  <c r="H230" i="1"/>
  <c r="I230" i="1"/>
  <c r="L230" i="1" s="1"/>
  <c r="J230" i="1"/>
  <c r="K230" i="1"/>
  <c r="H231" i="1"/>
  <c r="I231" i="1"/>
  <c r="L231" i="1" s="1"/>
  <c r="J231" i="1"/>
  <c r="K231" i="1"/>
  <c r="H232" i="1"/>
  <c r="I232" i="1"/>
  <c r="L232" i="1" s="1"/>
  <c r="J232" i="1"/>
  <c r="K232" i="1"/>
  <c r="H233" i="1"/>
  <c r="I233" i="1"/>
  <c r="L233" i="1" s="1"/>
  <c r="J233" i="1"/>
  <c r="K233" i="1"/>
  <c r="H234" i="1"/>
  <c r="I234" i="1"/>
  <c r="L234" i="1" s="1"/>
  <c r="J234" i="1"/>
  <c r="K234" i="1"/>
  <c r="H235" i="1"/>
  <c r="I235" i="1"/>
  <c r="L235" i="1" s="1"/>
  <c r="J235" i="1"/>
  <c r="K235" i="1"/>
  <c r="H236" i="1"/>
  <c r="I236" i="1"/>
  <c r="L236" i="1" s="1"/>
  <c r="J236" i="1"/>
  <c r="K236" i="1"/>
  <c r="H237" i="1"/>
  <c r="I237" i="1"/>
  <c r="L237" i="1" s="1"/>
  <c r="J237" i="1"/>
  <c r="K237" i="1"/>
  <c r="H238" i="1"/>
  <c r="I238" i="1"/>
  <c r="L238" i="1" s="1"/>
  <c r="J238" i="1"/>
  <c r="K238" i="1"/>
  <c r="H239" i="1"/>
  <c r="I239" i="1"/>
  <c r="L239" i="1" s="1"/>
  <c r="J239" i="1"/>
  <c r="K239" i="1"/>
  <c r="H240" i="1"/>
  <c r="I240" i="1"/>
  <c r="L240" i="1" s="1"/>
  <c r="J240" i="1"/>
  <c r="K240" i="1"/>
  <c r="H241" i="1"/>
  <c r="I241" i="1"/>
  <c r="L241" i="1" s="1"/>
  <c r="J241" i="1"/>
  <c r="K241" i="1"/>
  <c r="H242" i="1"/>
  <c r="I242" i="1"/>
  <c r="L242" i="1" s="1"/>
  <c r="J242" i="1"/>
  <c r="K242" i="1"/>
  <c r="H243" i="1"/>
  <c r="I243" i="1"/>
  <c r="L243" i="1" s="1"/>
  <c r="J243" i="1"/>
  <c r="K243" i="1"/>
  <c r="H244" i="1"/>
  <c r="I244" i="1"/>
  <c r="L244" i="1" s="1"/>
  <c r="J244" i="1"/>
  <c r="K244" i="1"/>
  <c r="H245" i="1"/>
  <c r="I245" i="1"/>
  <c r="L245" i="1" s="1"/>
  <c r="J245" i="1"/>
  <c r="K245" i="1"/>
  <c r="H246" i="1"/>
  <c r="I246" i="1"/>
  <c r="L246" i="1" s="1"/>
  <c r="J246" i="1"/>
  <c r="K246" i="1"/>
  <c r="H247" i="1"/>
  <c r="I247" i="1"/>
  <c r="L247" i="1" s="1"/>
  <c r="J247" i="1"/>
  <c r="K247" i="1"/>
  <c r="H248" i="1"/>
  <c r="I248" i="1"/>
  <c r="L248" i="1" s="1"/>
  <c r="J248" i="1"/>
  <c r="K248" i="1"/>
  <c r="H249" i="1"/>
  <c r="I249" i="1"/>
  <c r="L249" i="1" s="1"/>
  <c r="J249" i="1"/>
  <c r="K249" i="1"/>
  <c r="H250" i="1"/>
  <c r="I250" i="1"/>
  <c r="L250" i="1" s="1"/>
  <c r="J250" i="1"/>
  <c r="K250" i="1"/>
  <c r="H251" i="1"/>
  <c r="I251" i="1"/>
  <c r="L251" i="1" s="1"/>
  <c r="J251" i="1"/>
  <c r="K251" i="1"/>
  <c r="H252" i="1"/>
  <c r="I252" i="1"/>
  <c r="L252" i="1" s="1"/>
  <c r="J252" i="1"/>
  <c r="K252" i="1"/>
  <c r="H253" i="1"/>
  <c r="I253" i="1"/>
  <c r="L253" i="1" s="1"/>
  <c r="J253" i="1"/>
  <c r="K253" i="1"/>
  <c r="H254" i="1"/>
  <c r="I254" i="1"/>
  <c r="L254" i="1" s="1"/>
  <c r="J254" i="1"/>
  <c r="K254" i="1"/>
  <c r="H255" i="1"/>
  <c r="I255" i="1"/>
  <c r="L255" i="1" s="1"/>
  <c r="J255" i="1"/>
  <c r="K255" i="1"/>
  <c r="H256" i="1"/>
  <c r="I256" i="1"/>
  <c r="L256" i="1" s="1"/>
  <c r="J256" i="1"/>
  <c r="K256" i="1"/>
  <c r="H257" i="1"/>
  <c r="I257" i="1"/>
  <c r="L257" i="1" s="1"/>
  <c r="J257" i="1"/>
  <c r="K257" i="1"/>
  <c r="H258" i="1"/>
  <c r="I258" i="1"/>
  <c r="L258" i="1" s="1"/>
  <c r="J258" i="1"/>
  <c r="K258" i="1"/>
  <c r="H259" i="1"/>
  <c r="I259" i="1"/>
  <c r="L259" i="1" s="1"/>
  <c r="J259" i="1"/>
  <c r="K259" i="1"/>
  <c r="H260" i="1"/>
  <c r="I260" i="1"/>
  <c r="L260" i="1" s="1"/>
  <c r="J260" i="1"/>
  <c r="K260" i="1"/>
  <c r="H261" i="1"/>
  <c r="I261" i="1"/>
  <c r="L261" i="1" s="1"/>
  <c r="J261" i="1"/>
  <c r="K261" i="1"/>
  <c r="H262" i="1"/>
  <c r="I262" i="1"/>
  <c r="L262" i="1" s="1"/>
  <c r="J262" i="1"/>
  <c r="K262" i="1"/>
  <c r="H263" i="1"/>
  <c r="I263" i="1"/>
  <c r="L263" i="1" s="1"/>
  <c r="J263" i="1"/>
  <c r="K263" i="1"/>
  <c r="H264" i="1"/>
  <c r="I264" i="1"/>
  <c r="L264" i="1" s="1"/>
  <c r="J264" i="1"/>
  <c r="K264" i="1"/>
  <c r="H265" i="1"/>
  <c r="I265" i="1"/>
  <c r="L265" i="1" s="1"/>
  <c r="J265" i="1"/>
  <c r="K265" i="1"/>
  <c r="H266" i="1"/>
  <c r="I266" i="1"/>
  <c r="L266" i="1" s="1"/>
  <c r="J266" i="1"/>
  <c r="K266" i="1"/>
  <c r="H267" i="1"/>
  <c r="I267" i="1"/>
  <c r="L267" i="1" s="1"/>
  <c r="J267" i="1"/>
  <c r="K267" i="1"/>
  <c r="H268" i="1"/>
  <c r="I268" i="1"/>
  <c r="L268" i="1" s="1"/>
  <c r="J268" i="1"/>
  <c r="K268" i="1"/>
  <c r="H269" i="1"/>
  <c r="I269" i="1"/>
  <c r="L269" i="1" s="1"/>
  <c r="J269" i="1"/>
  <c r="K269" i="1"/>
  <c r="H270" i="1"/>
  <c r="I270" i="1"/>
  <c r="L270" i="1" s="1"/>
  <c r="J270" i="1"/>
  <c r="K270" i="1"/>
  <c r="H271" i="1"/>
  <c r="I271" i="1"/>
  <c r="L271" i="1" s="1"/>
  <c r="J271" i="1"/>
  <c r="K271" i="1"/>
  <c r="H272" i="1"/>
  <c r="I272" i="1"/>
  <c r="L272" i="1" s="1"/>
  <c r="J272" i="1"/>
  <c r="K272" i="1"/>
  <c r="H273" i="1"/>
  <c r="I273" i="1"/>
  <c r="L273" i="1" s="1"/>
  <c r="J273" i="1"/>
  <c r="K273" i="1"/>
  <c r="H274" i="1"/>
  <c r="I274" i="1"/>
  <c r="L274" i="1" s="1"/>
  <c r="J274" i="1"/>
  <c r="K274" i="1"/>
  <c r="H275" i="1"/>
  <c r="I275" i="1"/>
  <c r="L275" i="1" s="1"/>
  <c r="J275" i="1"/>
  <c r="K275" i="1"/>
  <c r="H276" i="1"/>
  <c r="I276" i="1"/>
  <c r="L276" i="1" s="1"/>
  <c r="J276" i="1"/>
  <c r="K276" i="1"/>
  <c r="H277" i="1"/>
  <c r="I277" i="1"/>
  <c r="L277" i="1" s="1"/>
  <c r="J277" i="1"/>
  <c r="K277" i="1"/>
  <c r="H278" i="1"/>
  <c r="I278" i="1"/>
  <c r="L278" i="1" s="1"/>
  <c r="J278" i="1"/>
  <c r="K278" i="1"/>
  <c r="H279" i="1"/>
  <c r="I279" i="1"/>
  <c r="L279" i="1" s="1"/>
  <c r="J279" i="1"/>
  <c r="K279" i="1"/>
  <c r="H280" i="1"/>
  <c r="I280" i="1"/>
  <c r="L280" i="1" s="1"/>
  <c r="J280" i="1"/>
  <c r="K280" i="1"/>
  <c r="H281" i="1"/>
  <c r="I281" i="1"/>
  <c r="L281" i="1" s="1"/>
  <c r="J281" i="1"/>
  <c r="K281" i="1"/>
  <c r="H282" i="1"/>
  <c r="I282" i="1"/>
  <c r="L282" i="1" s="1"/>
  <c r="J282" i="1"/>
  <c r="K282" i="1"/>
  <c r="H283" i="1"/>
  <c r="I283" i="1"/>
  <c r="L283" i="1" s="1"/>
  <c r="J283" i="1"/>
  <c r="K283" i="1"/>
  <c r="H284" i="1"/>
  <c r="I284" i="1"/>
  <c r="L284" i="1" s="1"/>
  <c r="J284" i="1"/>
  <c r="K284" i="1"/>
  <c r="H285" i="1"/>
  <c r="I285" i="1"/>
  <c r="L285" i="1" s="1"/>
  <c r="J285" i="1"/>
  <c r="K285" i="1"/>
  <c r="H286" i="1"/>
  <c r="I286" i="1"/>
  <c r="L286" i="1" s="1"/>
  <c r="J286" i="1"/>
  <c r="K286" i="1"/>
  <c r="H287" i="1"/>
  <c r="I287" i="1"/>
  <c r="L287" i="1" s="1"/>
  <c r="J287" i="1"/>
  <c r="K287" i="1"/>
  <c r="H288" i="1"/>
  <c r="I288" i="1"/>
  <c r="L288" i="1" s="1"/>
  <c r="J288" i="1"/>
  <c r="K288" i="1"/>
  <c r="H289" i="1"/>
  <c r="I289" i="1"/>
  <c r="L289" i="1" s="1"/>
  <c r="J289" i="1"/>
  <c r="K289" i="1"/>
  <c r="H290" i="1"/>
  <c r="I290" i="1"/>
  <c r="L290" i="1" s="1"/>
  <c r="J290" i="1"/>
  <c r="K290" i="1"/>
  <c r="H291" i="1"/>
  <c r="I291" i="1"/>
  <c r="L291" i="1" s="1"/>
  <c r="J291" i="1"/>
  <c r="K291" i="1"/>
  <c r="H292" i="1"/>
  <c r="I292" i="1"/>
  <c r="L292" i="1" s="1"/>
  <c r="J292" i="1"/>
  <c r="K292" i="1"/>
  <c r="H293" i="1"/>
  <c r="I293" i="1"/>
  <c r="L293" i="1" s="1"/>
  <c r="J293" i="1"/>
  <c r="K293" i="1"/>
  <c r="H294" i="1"/>
  <c r="I294" i="1"/>
  <c r="L294" i="1" s="1"/>
  <c r="J294" i="1"/>
  <c r="K294" i="1"/>
  <c r="H295" i="1"/>
  <c r="I295" i="1"/>
  <c r="L295" i="1" s="1"/>
  <c r="J295" i="1"/>
  <c r="K295" i="1"/>
  <c r="H296" i="1"/>
  <c r="I296" i="1"/>
  <c r="L296" i="1" s="1"/>
  <c r="J296" i="1"/>
  <c r="K296" i="1"/>
  <c r="H297" i="1"/>
  <c r="I297" i="1"/>
  <c r="L297" i="1" s="1"/>
  <c r="J297" i="1"/>
  <c r="K297" i="1"/>
  <c r="H298" i="1"/>
  <c r="I298" i="1"/>
  <c r="L298" i="1" s="1"/>
  <c r="J298" i="1"/>
  <c r="K298" i="1"/>
  <c r="H299" i="1"/>
  <c r="I299" i="1"/>
  <c r="L299" i="1" s="1"/>
  <c r="J299" i="1"/>
  <c r="K299" i="1"/>
  <c r="H300" i="1"/>
  <c r="I300" i="1"/>
  <c r="L300" i="1" s="1"/>
  <c r="J300" i="1"/>
  <c r="K300" i="1"/>
  <c r="H301" i="1"/>
  <c r="I301" i="1"/>
  <c r="L301" i="1" s="1"/>
  <c r="J301" i="1"/>
  <c r="K301" i="1"/>
  <c r="H302" i="1"/>
  <c r="I302" i="1"/>
  <c r="L302" i="1" s="1"/>
  <c r="J302" i="1"/>
  <c r="K302" i="1"/>
  <c r="H303" i="1"/>
  <c r="I303" i="1"/>
  <c r="L303" i="1" s="1"/>
  <c r="J303" i="1"/>
  <c r="K303" i="1"/>
  <c r="H304" i="1"/>
  <c r="I304" i="1"/>
  <c r="L304" i="1" s="1"/>
  <c r="J304" i="1"/>
  <c r="K304" i="1"/>
  <c r="H305" i="1"/>
  <c r="I305" i="1"/>
  <c r="L305" i="1" s="1"/>
  <c r="J305" i="1"/>
  <c r="K305" i="1"/>
  <c r="H306" i="1"/>
  <c r="I306" i="1"/>
  <c r="L306" i="1" s="1"/>
  <c r="J306" i="1"/>
  <c r="K306" i="1"/>
  <c r="H307" i="1"/>
  <c r="I307" i="1"/>
  <c r="L307" i="1" s="1"/>
  <c r="J307" i="1"/>
  <c r="K307" i="1"/>
  <c r="H308" i="1"/>
  <c r="I308" i="1"/>
  <c r="L308" i="1" s="1"/>
  <c r="J308" i="1"/>
  <c r="K308" i="1"/>
  <c r="H309" i="1"/>
  <c r="I309" i="1"/>
  <c r="L309" i="1" s="1"/>
  <c r="J309" i="1"/>
  <c r="K309" i="1"/>
  <c r="H310" i="1"/>
  <c r="I310" i="1"/>
  <c r="L310" i="1" s="1"/>
  <c r="J310" i="1"/>
  <c r="K310" i="1"/>
  <c r="H311" i="1"/>
  <c r="I311" i="1"/>
  <c r="L311" i="1" s="1"/>
  <c r="J311" i="1"/>
  <c r="K311" i="1"/>
  <c r="H312" i="1"/>
  <c r="I312" i="1"/>
  <c r="L312" i="1" s="1"/>
  <c r="J312" i="1"/>
  <c r="K312" i="1"/>
  <c r="H313" i="1"/>
  <c r="I313" i="1"/>
  <c r="L313" i="1" s="1"/>
  <c r="J313" i="1"/>
  <c r="K313" i="1"/>
  <c r="H314" i="1"/>
  <c r="I314" i="1"/>
  <c r="L314" i="1" s="1"/>
  <c r="J314" i="1"/>
  <c r="K314" i="1"/>
  <c r="H315" i="1"/>
  <c r="I315" i="1"/>
  <c r="L315" i="1" s="1"/>
  <c r="J315" i="1"/>
  <c r="K315" i="1"/>
  <c r="H316" i="1"/>
  <c r="I316" i="1"/>
  <c r="L316" i="1" s="1"/>
  <c r="J316" i="1"/>
  <c r="K316" i="1"/>
  <c r="H317" i="1"/>
  <c r="I317" i="1"/>
  <c r="L317" i="1" s="1"/>
  <c r="J317" i="1"/>
  <c r="K317" i="1"/>
  <c r="H318" i="1"/>
  <c r="I318" i="1"/>
  <c r="L318" i="1" s="1"/>
  <c r="J318" i="1"/>
  <c r="K318" i="1"/>
  <c r="H319" i="1"/>
  <c r="I319" i="1"/>
  <c r="L319" i="1" s="1"/>
  <c r="J319" i="1"/>
  <c r="K319" i="1"/>
  <c r="H320" i="1"/>
  <c r="I320" i="1"/>
  <c r="L320" i="1" s="1"/>
  <c r="J320" i="1"/>
  <c r="K320" i="1"/>
  <c r="H321" i="1"/>
  <c r="I321" i="1"/>
  <c r="L321" i="1" s="1"/>
  <c r="J321" i="1"/>
  <c r="K321" i="1"/>
  <c r="H322" i="1"/>
  <c r="I322" i="1"/>
  <c r="L322" i="1" s="1"/>
  <c r="J322" i="1"/>
  <c r="K322" i="1"/>
  <c r="H323" i="1"/>
  <c r="I323" i="1"/>
  <c r="L323" i="1" s="1"/>
  <c r="J323" i="1"/>
  <c r="K323" i="1"/>
  <c r="H324" i="1"/>
  <c r="I324" i="1"/>
  <c r="L324" i="1" s="1"/>
  <c r="J324" i="1"/>
  <c r="K324" i="1"/>
  <c r="H325" i="1"/>
  <c r="I325" i="1"/>
  <c r="L325" i="1" s="1"/>
  <c r="J325" i="1"/>
  <c r="K325" i="1"/>
  <c r="H326" i="1"/>
  <c r="I326" i="1"/>
  <c r="L326" i="1" s="1"/>
  <c r="J326" i="1"/>
  <c r="K326" i="1"/>
  <c r="H327" i="1"/>
  <c r="I327" i="1"/>
  <c r="L327" i="1" s="1"/>
  <c r="J327" i="1"/>
  <c r="K327" i="1"/>
  <c r="H328" i="1"/>
  <c r="I328" i="1"/>
  <c r="L328" i="1" s="1"/>
  <c r="J328" i="1"/>
  <c r="K328" i="1"/>
  <c r="H329" i="1"/>
  <c r="I329" i="1"/>
  <c r="L329" i="1" s="1"/>
  <c r="J329" i="1"/>
  <c r="K329" i="1"/>
  <c r="H330" i="1"/>
  <c r="I330" i="1"/>
  <c r="L330" i="1" s="1"/>
  <c r="J330" i="1"/>
  <c r="K330" i="1"/>
  <c r="H331" i="1"/>
  <c r="I331" i="1"/>
  <c r="L331" i="1" s="1"/>
  <c r="J331" i="1"/>
  <c r="K331" i="1"/>
  <c r="H332" i="1"/>
  <c r="I332" i="1"/>
  <c r="L332" i="1" s="1"/>
  <c r="J332" i="1"/>
  <c r="K332" i="1"/>
  <c r="H333" i="1"/>
  <c r="I333" i="1"/>
  <c r="L333" i="1" s="1"/>
  <c r="J333" i="1"/>
  <c r="K333" i="1"/>
  <c r="H334" i="1"/>
  <c r="I334" i="1"/>
  <c r="L334" i="1" s="1"/>
  <c r="J334" i="1"/>
  <c r="K334" i="1"/>
  <c r="H335" i="1"/>
  <c r="I335" i="1"/>
  <c r="L335" i="1" s="1"/>
  <c r="J335" i="1"/>
  <c r="K335" i="1"/>
  <c r="H336" i="1"/>
  <c r="I336" i="1"/>
  <c r="L336" i="1" s="1"/>
  <c r="J336" i="1"/>
  <c r="K336" i="1"/>
  <c r="H337" i="1"/>
  <c r="I337" i="1"/>
  <c r="L337" i="1" s="1"/>
  <c r="J337" i="1"/>
  <c r="K337" i="1"/>
  <c r="H338" i="1"/>
  <c r="I338" i="1"/>
  <c r="L338" i="1" s="1"/>
  <c r="J338" i="1"/>
  <c r="K338" i="1"/>
  <c r="H339" i="1"/>
  <c r="I339" i="1"/>
  <c r="L339" i="1" s="1"/>
  <c r="J339" i="1"/>
  <c r="K339" i="1"/>
  <c r="H340" i="1"/>
  <c r="I340" i="1"/>
  <c r="L340" i="1" s="1"/>
  <c r="J340" i="1"/>
  <c r="K340" i="1"/>
  <c r="H341" i="1"/>
  <c r="I341" i="1"/>
  <c r="L341" i="1" s="1"/>
  <c r="J341" i="1"/>
  <c r="K341" i="1"/>
  <c r="H342" i="1"/>
  <c r="I342" i="1"/>
  <c r="L342" i="1" s="1"/>
  <c r="J342" i="1"/>
  <c r="K342" i="1"/>
  <c r="H343" i="1"/>
  <c r="I343" i="1"/>
  <c r="L343" i="1" s="1"/>
  <c r="J343" i="1"/>
  <c r="K343" i="1"/>
  <c r="H344" i="1"/>
  <c r="I344" i="1"/>
  <c r="L344" i="1" s="1"/>
  <c r="J344" i="1"/>
  <c r="K344" i="1"/>
  <c r="H345" i="1"/>
  <c r="I345" i="1"/>
  <c r="L345" i="1" s="1"/>
  <c r="J345" i="1"/>
  <c r="K345" i="1"/>
  <c r="H346" i="1"/>
  <c r="I346" i="1"/>
  <c r="L346" i="1" s="1"/>
  <c r="J346" i="1"/>
  <c r="K346" i="1"/>
  <c r="H347" i="1"/>
  <c r="I347" i="1"/>
  <c r="L347" i="1" s="1"/>
  <c r="J347" i="1"/>
  <c r="K347" i="1"/>
  <c r="H348" i="1"/>
  <c r="I348" i="1"/>
  <c r="L348" i="1" s="1"/>
  <c r="J348" i="1"/>
  <c r="K348" i="1"/>
  <c r="H349" i="1"/>
  <c r="I349" i="1"/>
  <c r="L349" i="1" s="1"/>
  <c r="J349" i="1"/>
  <c r="K349" i="1"/>
  <c r="H350" i="1"/>
  <c r="I350" i="1"/>
  <c r="L350" i="1" s="1"/>
  <c r="J350" i="1"/>
  <c r="K350" i="1"/>
  <c r="H351" i="1"/>
  <c r="I351" i="1"/>
  <c r="L351" i="1" s="1"/>
  <c r="J351" i="1"/>
  <c r="K351" i="1"/>
  <c r="H352" i="1"/>
  <c r="I352" i="1"/>
  <c r="L352" i="1" s="1"/>
  <c r="J352" i="1"/>
  <c r="K352" i="1"/>
  <c r="H353" i="1"/>
  <c r="I353" i="1"/>
  <c r="L353" i="1" s="1"/>
  <c r="J353" i="1"/>
  <c r="K353" i="1"/>
  <c r="H354" i="1"/>
  <c r="I354" i="1"/>
  <c r="L354" i="1" s="1"/>
  <c r="J354" i="1"/>
  <c r="K354" i="1"/>
  <c r="H355" i="1"/>
  <c r="I355" i="1"/>
  <c r="L355" i="1" s="1"/>
  <c r="J355" i="1"/>
  <c r="K355" i="1"/>
  <c r="H356" i="1"/>
  <c r="I356" i="1"/>
  <c r="L356" i="1" s="1"/>
  <c r="J356" i="1"/>
  <c r="K356" i="1"/>
  <c r="H357" i="1"/>
  <c r="I357" i="1"/>
  <c r="L357" i="1" s="1"/>
  <c r="J357" i="1"/>
  <c r="K357" i="1"/>
  <c r="H358" i="1"/>
  <c r="I358" i="1"/>
  <c r="L358" i="1" s="1"/>
  <c r="J358" i="1"/>
  <c r="K358" i="1"/>
  <c r="H359" i="1"/>
  <c r="I359" i="1"/>
  <c r="L359" i="1" s="1"/>
  <c r="J359" i="1"/>
  <c r="K359" i="1"/>
  <c r="H360" i="1"/>
  <c r="I360" i="1"/>
  <c r="L360" i="1" s="1"/>
  <c r="J360" i="1"/>
  <c r="K360" i="1"/>
  <c r="H361" i="1"/>
  <c r="I361" i="1"/>
  <c r="L361" i="1" s="1"/>
  <c r="J361" i="1"/>
  <c r="K361" i="1"/>
  <c r="H362" i="1"/>
  <c r="I362" i="1"/>
  <c r="L362" i="1" s="1"/>
  <c r="J362" i="1"/>
  <c r="K362" i="1"/>
  <c r="H363" i="1"/>
  <c r="I363" i="1"/>
  <c r="L363" i="1" s="1"/>
  <c r="J363" i="1"/>
  <c r="K363" i="1"/>
  <c r="H364" i="1"/>
  <c r="I364" i="1"/>
  <c r="L364" i="1" s="1"/>
  <c r="J364" i="1"/>
  <c r="K364" i="1"/>
  <c r="H365" i="1"/>
  <c r="I365" i="1"/>
  <c r="L365" i="1" s="1"/>
  <c r="J365" i="1"/>
  <c r="K365" i="1"/>
  <c r="H366" i="1"/>
  <c r="I366" i="1"/>
  <c r="L366" i="1" s="1"/>
  <c r="J366" i="1"/>
  <c r="K366" i="1"/>
  <c r="H367" i="1"/>
  <c r="I367" i="1"/>
  <c r="L367" i="1" s="1"/>
  <c r="J367" i="1"/>
  <c r="K367" i="1"/>
  <c r="H368" i="1"/>
  <c r="I368" i="1"/>
  <c r="L368" i="1" s="1"/>
  <c r="J368" i="1"/>
  <c r="K368" i="1"/>
  <c r="H369" i="1"/>
  <c r="I369" i="1"/>
  <c r="L369" i="1" s="1"/>
  <c r="J369" i="1"/>
  <c r="K369" i="1"/>
  <c r="H370" i="1"/>
  <c r="I370" i="1"/>
  <c r="L370" i="1" s="1"/>
  <c r="J370" i="1"/>
  <c r="K370" i="1"/>
  <c r="H371" i="1"/>
  <c r="I371" i="1"/>
  <c r="L371" i="1" s="1"/>
  <c r="J371" i="1"/>
  <c r="K371" i="1"/>
  <c r="H372" i="1"/>
  <c r="I372" i="1"/>
  <c r="L372" i="1" s="1"/>
  <c r="J372" i="1"/>
  <c r="K372" i="1"/>
  <c r="H373" i="1"/>
  <c r="I373" i="1"/>
  <c r="L373" i="1" s="1"/>
  <c r="J373" i="1"/>
  <c r="K373" i="1"/>
  <c r="H374" i="1"/>
  <c r="I374" i="1"/>
  <c r="L374" i="1" s="1"/>
  <c r="J374" i="1"/>
  <c r="K374" i="1"/>
  <c r="H375" i="1"/>
  <c r="I375" i="1"/>
  <c r="L375" i="1" s="1"/>
  <c r="J375" i="1"/>
  <c r="K375" i="1"/>
  <c r="H376" i="1"/>
  <c r="I376" i="1"/>
  <c r="L376" i="1" s="1"/>
  <c r="J376" i="1"/>
  <c r="K376" i="1"/>
  <c r="H377" i="1"/>
  <c r="I377" i="1"/>
  <c r="L377" i="1" s="1"/>
  <c r="J377" i="1"/>
  <c r="K377" i="1"/>
  <c r="H378" i="1"/>
  <c r="I378" i="1"/>
  <c r="L378" i="1" s="1"/>
  <c r="J378" i="1"/>
  <c r="K378" i="1"/>
  <c r="H379" i="1"/>
  <c r="I379" i="1"/>
  <c r="L379" i="1" s="1"/>
  <c r="J379" i="1"/>
  <c r="K379" i="1"/>
  <c r="H380" i="1"/>
  <c r="I380" i="1"/>
  <c r="L380" i="1" s="1"/>
  <c r="J380" i="1"/>
  <c r="K380" i="1"/>
  <c r="H381" i="1"/>
  <c r="I381" i="1"/>
  <c r="L381" i="1" s="1"/>
  <c r="J381" i="1"/>
  <c r="K381" i="1"/>
  <c r="H382" i="1"/>
  <c r="I382" i="1"/>
  <c r="L382" i="1" s="1"/>
  <c r="J382" i="1"/>
  <c r="K382" i="1"/>
  <c r="H383" i="1"/>
  <c r="I383" i="1"/>
  <c r="L383" i="1" s="1"/>
  <c r="J383" i="1"/>
  <c r="K383" i="1"/>
  <c r="H384" i="1"/>
  <c r="I384" i="1"/>
  <c r="L384" i="1" s="1"/>
  <c r="J384" i="1"/>
  <c r="K384" i="1"/>
  <c r="H385" i="1"/>
  <c r="I385" i="1"/>
  <c r="L385" i="1" s="1"/>
  <c r="J385" i="1"/>
  <c r="K385" i="1"/>
  <c r="H386" i="1"/>
  <c r="I386" i="1"/>
  <c r="L386" i="1" s="1"/>
  <c r="J386" i="1"/>
  <c r="K386" i="1"/>
  <c r="H387" i="1"/>
  <c r="I387" i="1"/>
  <c r="L387" i="1" s="1"/>
  <c r="J387" i="1"/>
  <c r="K387" i="1"/>
  <c r="H388" i="1"/>
  <c r="I388" i="1"/>
  <c r="L388" i="1" s="1"/>
  <c r="J388" i="1"/>
  <c r="K388" i="1"/>
  <c r="H389" i="1"/>
  <c r="I389" i="1"/>
  <c r="L389" i="1" s="1"/>
  <c r="J389" i="1"/>
  <c r="K389" i="1"/>
  <c r="H390" i="1"/>
  <c r="I390" i="1"/>
  <c r="L390" i="1" s="1"/>
  <c r="J390" i="1"/>
  <c r="K390" i="1"/>
  <c r="H391" i="1"/>
  <c r="I391" i="1"/>
  <c r="L391" i="1" s="1"/>
  <c r="J391" i="1"/>
  <c r="K391" i="1"/>
  <c r="H392" i="1"/>
  <c r="I392" i="1"/>
  <c r="L392" i="1" s="1"/>
  <c r="J392" i="1"/>
  <c r="K392" i="1"/>
  <c r="H393" i="1"/>
  <c r="I393" i="1"/>
  <c r="L393" i="1" s="1"/>
  <c r="J393" i="1"/>
  <c r="K393" i="1"/>
  <c r="H394" i="1"/>
  <c r="I394" i="1"/>
  <c r="L394" i="1" s="1"/>
  <c r="J394" i="1"/>
  <c r="K394" i="1"/>
  <c r="H395" i="1"/>
  <c r="I395" i="1"/>
  <c r="L395" i="1" s="1"/>
  <c r="J395" i="1"/>
  <c r="K395" i="1"/>
  <c r="H396" i="1"/>
  <c r="I396" i="1"/>
  <c r="L396" i="1" s="1"/>
  <c r="J396" i="1"/>
  <c r="K396" i="1"/>
  <c r="H397" i="1"/>
  <c r="I397" i="1"/>
  <c r="L397" i="1" s="1"/>
  <c r="J397" i="1"/>
  <c r="K397" i="1"/>
  <c r="H398" i="1"/>
  <c r="I398" i="1"/>
  <c r="L398" i="1" s="1"/>
  <c r="J398" i="1"/>
  <c r="K398" i="1"/>
  <c r="H399" i="1"/>
  <c r="I399" i="1"/>
  <c r="L399" i="1" s="1"/>
  <c r="J399" i="1"/>
  <c r="K399" i="1"/>
  <c r="H400" i="1"/>
  <c r="I400" i="1"/>
  <c r="L400" i="1" s="1"/>
  <c r="J400" i="1"/>
  <c r="K400" i="1"/>
  <c r="H401" i="1"/>
  <c r="I401" i="1"/>
  <c r="L401" i="1" s="1"/>
  <c r="J401" i="1"/>
  <c r="K401" i="1"/>
  <c r="H402" i="1"/>
  <c r="I402" i="1"/>
  <c r="L402" i="1" s="1"/>
  <c r="J402" i="1"/>
  <c r="K402" i="1"/>
  <c r="H403" i="1"/>
  <c r="I403" i="1"/>
  <c r="L403" i="1" s="1"/>
  <c r="J403" i="1"/>
  <c r="K403" i="1"/>
  <c r="H404" i="1"/>
  <c r="I404" i="1"/>
  <c r="L404" i="1" s="1"/>
  <c r="J404" i="1"/>
  <c r="K404" i="1"/>
  <c r="H405" i="1"/>
  <c r="I405" i="1"/>
  <c r="L405" i="1" s="1"/>
  <c r="J405" i="1"/>
  <c r="K405" i="1"/>
  <c r="H406" i="1"/>
  <c r="I406" i="1"/>
  <c r="L406" i="1" s="1"/>
  <c r="J406" i="1"/>
  <c r="K406" i="1"/>
  <c r="H407" i="1"/>
  <c r="I407" i="1"/>
  <c r="L407" i="1" s="1"/>
  <c r="J407" i="1"/>
  <c r="K407" i="1"/>
  <c r="H408" i="1"/>
  <c r="I408" i="1"/>
  <c r="L408" i="1" s="1"/>
  <c r="J408" i="1"/>
  <c r="K408" i="1"/>
  <c r="H409" i="1"/>
  <c r="I409" i="1"/>
  <c r="L409" i="1" s="1"/>
  <c r="J409" i="1"/>
  <c r="K409" i="1"/>
  <c r="H410" i="1"/>
  <c r="I410" i="1"/>
  <c r="L410" i="1" s="1"/>
  <c r="J410" i="1"/>
  <c r="K410" i="1"/>
  <c r="H411" i="1"/>
  <c r="I411" i="1"/>
  <c r="L411" i="1" s="1"/>
  <c r="J411" i="1"/>
  <c r="K411" i="1"/>
  <c r="H412" i="1"/>
  <c r="I412" i="1"/>
  <c r="L412" i="1" s="1"/>
  <c r="J412" i="1"/>
  <c r="K412" i="1"/>
  <c r="H413" i="1"/>
  <c r="I413" i="1"/>
  <c r="L413" i="1" s="1"/>
  <c r="J413" i="1"/>
  <c r="K413" i="1"/>
  <c r="H414" i="1"/>
  <c r="I414" i="1"/>
  <c r="L414" i="1" s="1"/>
  <c r="J414" i="1"/>
  <c r="K414" i="1"/>
  <c r="H415" i="1"/>
  <c r="I415" i="1"/>
  <c r="L415" i="1" s="1"/>
  <c r="J415" i="1"/>
  <c r="K415" i="1"/>
  <c r="H416" i="1"/>
  <c r="I416" i="1"/>
  <c r="L416" i="1" s="1"/>
  <c r="J416" i="1"/>
  <c r="K416" i="1"/>
  <c r="H417" i="1"/>
  <c r="I417" i="1"/>
  <c r="L417" i="1" s="1"/>
  <c r="J417" i="1"/>
  <c r="K417" i="1"/>
  <c r="H418" i="1"/>
  <c r="I418" i="1"/>
  <c r="L418" i="1" s="1"/>
  <c r="J418" i="1"/>
  <c r="K418" i="1"/>
  <c r="H419" i="1"/>
  <c r="I419" i="1"/>
  <c r="L419" i="1" s="1"/>
  <c r="J419" i="1"/>
  <c r="K419" i="1"/>
  <c r="H420" i="1"/>
  <c r="I420" i="1"/>
  <c r="L420" i="1" s="1"/>
  <c r="J420" i="1"/>
  <c r="K420" i="1"/>
  <c r="H421" i="1"/>
  <c r="I421" i="1"/>
  <c r="L421" i="1" s="1"/>
  <c r="J421" i="1"/>
  <c r="K421" i="1"/>
  <c r="H422" i="1"/>
  <c r="I422" i="1"/>
  <c r="L422" i="1" s="1"/>
  <c r="J422" i="1"/>
  <c r="K422" i="1"/>
  <c r="H423" i="1"/>
  <c r="I423" i="1"/>
  <c r="L423" i="1" s="1"/>
  <c r="J423" i="1"/>
  <c r="K423" i="1"/>
  <c r="H424" i="1"/>
  <c r="I424" i="1"/>
  <c r="L424" i="1" s="1"/>
  <c r="J424" i="1"/>
  <c r="K424" i="1"/>
  <c r="H425" i="1"/>
  <c r="I425" i="1"/>
  <c r="L425" i="1" s="1"/>
  <c r="J425" i="1"/>
  <c r="K425" i="1"/>
  <c r="H426" i="1"/>
  <c r="I426" i="1"/>
  <c r="L426" i="1" s="1"/>
  <c r="J426" i="1"/>
  <c r="K426" i="1"/>
  <c r="H427" i="1"/>
  <c r="I427" i="1"/>
  <c r="L427" i="1" s="1"/>
  <c r="J427" i="1"/>
  <c r="K427" i="1"/>
  <c r="H428" i="1"/>
  <c r="I428" i="1"/>
  <c r="L428" i="1" s="1"/>
  <c r="J428" i="1"/>
  <c r="K428" i="1"/>
  <c r="H429" i="1"/>
  <c r="I429" i="1"/>
  <c r="L429" i="1" s="1"/>
  <c r="J429" i="1"/>
  <c r="K429" i="1"/>
  <c r="H430" i="1"/>
  <c r="I430" i="1"/>
  <c r="L430" i="1" s="1"/>
  <c r="J430" i="1"/>
  <c r="K430" i="1"/>
  <c r="H431" i="1"/>
  <c r="I431" i="1"/>
  <c r="L431" i="1" s="1"/>
  <c r="J431" i="1"/>
  <c r="K431" i="1"/>
  <c r="H432" i="1"/>
  <c r="I432" i="1"/>
  <c r="L432" i="1" s="1"/>
  <c r="J432" i="1"/>
  <c r="K432" i="1"/>
  <c r="H433" i="1"/>
  <c r="I433" i="1"/>
  <c r="L433" i="1" s="1"/>
  <c r="J433" i="1"/>
  <c r="K433" i="1"/>
  <c r="H434" i="1"/>
  <c r="I434" i="1"/>
  <c r="L434" i="1" s="1"/>
  <c r="J434" i="1"/>
  <c r="K434" i="1"/>
  <c r="H435" i="1"/>
  <c r="I435" i="1"/>
  <c r="L435" i="1" s="1"/>
  <c r="J435" i="1"/>
  <c r="K435" i="1"/>
  <c r="H436" i="1"/>
  <c r="I436" i="1"/>
  <c r="L436" i="1" s="1"/>
  <c r="J436" i="1"/>
  <c r="K436" i="1"/>
  <c r="H437" i="1"/>
  <c r="I437" i="1"/>
  <c r="L437" i="1" s="1"/>
  <c r="J437" i="1"/>
  <c r="K437" i="1"/>
  <c r="H438" i="1"/>
  <c r="I438" i="1"/>
  <c r="L438" i="1" s="1"/>
  <c r="J438" i="1"/>
  <c r="K438" i="1"/>
  <c r="H439" i="1"/>
  <c r="I439" i="1"/>
  <c r="L439" i="1" s="1"/>
  <c r="J439" i="1"/>
  <c r="K439" i="1"/>
  <c r="H440" i="1"/>
  <c r="I440" i="1"/>
  <c r="L440" i="1" s="1"/>
  <c r="J440" i="1"/>
  <c r="K440" i="1"/>
  <c r="H441" i="1"/>
  <c r="I441" i="1"/>
  <c r="L441" i="1" s="1"/>
  <c r="J441" i="1"/>
  <c r="K441" i="1"/>
  <c r="H442" i="1"/>
  <c r="I442" i="1"/>
  <c r="L442" i="1" s="1"/>
  <c r="J442" i="1"/>
  <c r="K442" i="1"/>
  <c r="H443" i="1"/>
  <c r="I443" i="1"/>
  <c r="L443" i="1" s="1"/>
  <c r="J443" i="1"/>
  <c r="K443" i="1"/>
  <c r="H444" i="1"/>
  <c r="I444" i="1"/>
  <c r="L444" i="1" s="1"/>
  <c r="J444" i="1"/>
  <c r="K444" i="1"/>
  <c r="H445" i="1"/>
  <c r="I445" i="1"/>
  <c r="L445" i="1" s="1"/>
  <c r="J445" i="1"/>
  <c r="K445" i="1"/>
  <c r="H446" i="1"/>
  <c r="I446" i="1"/>
  <c r="L446" i="1" s="1"/>
  <c r="J446" i="1"/>
  <c r="K446" i="1"/>
  <c r="H447" i="1"/>
  <c r="I447" i="1"/>
  <c r="L447" i="1" s="1"/>
  <c r="J447" i="1"/>
  <c r="K447" i="1"/>
  <c r="H448" i="1"/>
  <c r="I448" i="1"/>
  <c r="L448" i="1" s="1"/>
  <c r="J448" i="1"/>
  <c r="K448" i="1"/>
  <c r="H449" i="1"/>
  <c r="I449" i="1"/>
  <c r="L449" i="1" s="1"/>
  <c r="J449" i="1"/>
  <c r="K449" i="1"/>
  <c r="H450" i="1"/>
  <c r="I450" i="1"/>
  <c r="L450" i="1" s="1"/>
  <c r="J450" i="1"/>
  <c r="K450" i="1"/>
  <c r="H451" i="1"/>
  <c r="I451" i="1"/>
  <c r="L451" i="1" s="1"/>
  <c r="J451" i="1"/>
  <c r="K451" i="1"/>
  <c r="H452" i="1"/>
  <c r="I452" i="1"/>
  <c r="L452" i="1" s="1"/>
  <c r="J452" i="1"/>
  <c r="K452" i="1"/>
  <c r="H453" i="1"/>
  <c r="I453" i="1"/>
  <c r="L453" i="1" s="1"/>
  <c r="J453" i="1"/>
  <c r="K453" i="1"/>
  <c r="H454" i="1"/>
  <c r="I454" i="1"/>
  <c r="L454" i="1" s="1"/>
  <c r="J454" i="1"/>
  <c r="K454" i="1"/>
  <c r="H455" i="1"/>
  <c r="I455" i="1"/>
  <c r="L455" i="1" s="1"/>
  <c r="J455" i="1"/>
  <c r="K455" i="1"/>
  <c r="H456" i="1"/>
  <c r="I456" i="1"/>
  <c r="L456" i="1" s="1"/>
  <c r="J456" i="1"/>
  <c r="K456" i="1"/>
  <c r="H457" i="1"/>
  <c r="I457" i="1"/>
  <c r="L457" i="1" s="1"/>
  <c r="J457" i="1"/>
  <c r="K457" i="1"/>
  <c r="H458" i="1"/>
  <c r="I458" i="1"/>
  <c r="L458" i="1" s="1"/>
  <c r="J458" i="1"/>
  <c r="K458" i="1"/>
  <c r="H459" i="1"/>
  <c r="I459" i="1"/>
  <c r="L459" i="1" s="1"/>
  <c r="J459" i="1"/>
  <c r="K459" i="1"/>
  <c r="H460" i="1"/>
  <c r="I460" i="1"/>
  <c r="L460" i="1" s="1"/>
  <c r="J460" i="1"/>
  <c r="K460" i="1"/>
  <c r="H461" i="1"/>
  <c r="I461" i="1"/>
  <c r="L461" i="1" s="1"/>
  <c r="J461" i="1"/>
  <c r="K461" i="1"/>
  <c r="H462" i="1"/>
  <c r="I462" i="1"/>
  <c r="L462" i="1" s="1"/>
  <c r="J462" i="1"/>
  <c r="K462" i="1"/>
  <c r="H463" i="1"/>
  <c r="I463" i="1"/>
  <c r="L463" i="1" s="1"/>
  <c r="J463" i="1"/>
  <c r="K463" i="1"/>
  <c r="H464" i="1"/>
  <c r="I464" i="1"/>
  <c r="L464" i="1" s="1"/>
  <c r="J464" i="1"/>
  <c r="K464" i="1"/>
  <c r="H465" i="1"/>
  <c r="I465" i="1"/>
  <c r="L465" i="1" s="1"/>
  <c r="J465" i="1"/>
  <c r="K465" i="1"/>
  <c r="H466" i="1"/>
  <c r="I466" i="1"/>
  <c r="L466" i="1" s="1"/>
  <c r="J466" i="1"/>
  <c r="K466" i="1"/>
  <c r="H467" i="1"/>
  <c r="I467" i="1"/>
  <c r="L467" i="1" s="1"/>
  <c r="J467" i="1"/>
  <c r="K467" i="1"/>
  <c r="H468" i="1"/>
  <c r="I468" i="1"/>
  <c r="L468" i="1" s="1"/>
  <c r="J468" i="1"/>
  <c r="K468" i="1"/>
  <c r="H469" i="1"/>
  <c r="I469" i="1"/>
  <c r="L469" i="1" s="1"/>
  <c r="J469" i="1"/>
  <c r="K469" i="1"/>
  <c r="H470" i="1"/>
  <c r="I470" i="1"/>
  <c r="L470" i="1" s="1"/>
  <c r="J470" i="1"/>
  <c r="K470" i="1"/>
  <c r="H471" i="1"/>
  <c r="I471" i="1"/>
  <c r="L471" i="1" s="1"/>
  <c r="J471" i="1"/>
  <c r="K471" i="1"/>
  <c r="H472" i="1"/>
  <c r="I472" i="1"/>
  <c r="L472" i="1" s="1"/>
  <c r="J472" i="1"/>
  <c r="K472" i="1"/>
  <c r="H473" i="1"/>
  <c r="I473" i="1"/>
  <c r="L473" i="1" s="1"/>
  <c r="J473" i="1"/>
  <c r="K473" i="1"/>
  <c r="H474" i="1"/>
  <c r="I474" i="1"/>
  <c r="L474" i="1" s="1"/>
  <c r="J474" i="1"/>
  <c r="K474" i="1"/>
  <c r="H475" i="1"/>
  <c r="I475" i="1"/>
  <c r="L475" i="1" s="1"/>
  <c r="J475" i="1"/>
  <c r="K475" i="1"/>
  <c r="H476" i="1"/>
  <c r="I476" i="1"/>
  <c r="L476" i="1" s="1"/>
  <c r="J476" i="1"/>
  <c r="K476" i="1"/>
  <c r="H477" i="1"/>
  <c r="I477" i="1"/>
  <c r="L477" i="1" s="1"/>
  <c r="J477" i="1"/>
  <c r="K477" i="1"/>
  <c r="H478" i="1"/>
  <c r="I478" i="1"/>
  <c r="L478" i="1" s="1"/>
  <c r="J478" i="1"/>
  <c r="K478" i="1"/>
  <c r="H479" i="1"/>
  <c r="I479" i="1"/>
  <c r="L479" i="1" s="1"/>
  <c r="J479" i="1"/>
  <c r="K479" i="1"/>
  <c r="H480" i="1"/>
  <c r="I480" i="1"/>
  <c r="L480" i="1" s="1"/>
  <c r="J480" i="1"/>
  <c r="K480" i="1"/>
  <c r="H481" i="1"/>
  <c r="I481" i="1"/>
  <c r="L481" i="1" s="1"/>
  <c r="J481" i="1"/>
  <c r="K481" i="1"/>
  <c r="H482" i="1"/>
  <c r="I482" i="1"/>
  <c r="L482" i="1" s="1"/>
  <c r="J482" i="1"/>
  <c r="K482" i="1"/>
  <c r="H483" i="1"/>
  <c r="I483" i="1"/>
  <c r="L483" i="1" s="1"/>
  <c r="J483" i="1"/>
  <c r="K483" i="1"/>
  <c r="H484" i="1"/>
  <c r="I484" i="1"/>
  <c r="L484" i="1" s="1"/>
  <c r="J484" i="1"/>
  <c r="K484" i="1"/>
  <c r="H485" i="1"/>
  <c r="I485" i="1"/>
  <c r="L485" i="1" s="1"/>
  <c r="J485" i="1"/>
  <c r="K485" i="1"/>
  <c r="H486" i="1"/>
  <c r="I486" i="1"/>
  <c r="L486" i="1" s="1"/>
  <c r="J486" i="1"/>
  <c r="K486" i="1"/>
  <c r="H487" i="1"/>
  <c r="I487" i="1"/>
  <c r="L487" i="1" s="1"/>
  <c r="J487" i="1"/>
  <c r="K487" i="1"/>
  <c r="H488" i="1"/>
  <c r="I488" i="1"/>
  <c r="L488" i="1" s="1"/>
  <c r="J488" i="1"/>
  <c r="K488" i="1"/>
  <c r="H489" i="1"/>
  <c r="I489" i="1"/>
  <c r="L489" i="1" s="1"/>
  <c r="J489" i="1"/>
  <c r="K489" i="1"/>
  <c r="H490" i="1"/>
  <c r="I490" i="1"/>
  <c r="L490" i="1" s="1"/>
  <c r="J490" i="1"/>
  <c r="K490" i="1"/>
  <c r="H491" i="1"/>
  <c r="I491" i="1"/>
  <c r="L491" i="1" s="1"/>
  <c r="J491" i="1"/>
  <c r="K491" i="1"/>
  <c r="H492" i="1"/>
  <c r="I492" i="1"/>
  <c r="L492" i="1" s="1"/>
  <c r="J492" i="1"/>
  <c r="K492" i="1"/>
  <c r="H493" i="1"/>
  <c r="I493" i="1"/>
  <c r="L493" i="1" s="1"/>
  <c r="J493" i="1"/>
  <c r="K493" i="1"/>
  <c r="H494" i="1"/>
  <c r="I494" i="1"/>
  <c r="L494" i="1" s="1"/>
  <c r="J494" i="1"/>
  <c r="K494" i="1"/>
  <c r="H495" i="1"/>
  <c r="I495" i="1"/>
  <c r="L495" i="1" s="1"/>
  <c r="J495" i="1"/>
  <c r="K495" i="1"/>
  <c r="H496" i="1"/>
  <c r="I496" i="1"/>
  <c r="L496" i="1" s="1"/>
  <c r="J496" i="1"/>
  <c r="K496" i="1"/>
  <c r="H497" i="1"/>
  <c r="I497" i="1"/>
  <c r="L497" i="1" s="1"/>
  <c r="J497" i="1"/>
  <c r="K497" i="1"/>
  <c r="H498" i="1"/>
  <c r="I498" i="1"/>
  <c r="L498" i="1" s="1"/>
  <c r="J498" i="1"/>
  <c r="K498" i="1"/>
  <c r="H499" i="1"/>
  <c r="I499" i="1"/>
  <c r="L499" i="1" s="1"/>
  <c r="J499" i="1"/>
  <c r="K499" i="1"/>
  <c r="H500" i="1"/>
  <c r="I500" i="1"/>
  <c r="L500" i="1" s="1"/>
  <c r="J500" i="1"/>
  <c r="K500" i="1"/>
  <c r="H501" i="1"/>
  <c r="I501" i="1"/>
  <c r="L501" i="1" s="1"/>
  <c r="J501" i="1"/>
  <c r="K501" i="1"/>
  <c r="H502" i="1"/>
  <c r="I502" i="1"/>
  <c r="L502" i="1" s="1"/>
  <c r="J502" i="1"/>
  <c r="K502" i="1"/>
  <c r="H503" i="1"/>
  <c r="I503" i="1"/>
  <c r="L503" i="1" s="1"/>
  <c r="J503" i="1"/>
  <c r="K503" i="1"/>
  <c r="H504" i="1"/>
  <c r="I504" i="1"/>
  <c r="L504" i="1" s="1"/>
  <c r="J504" i="1"/>
  <c r="K504" i="1"/>
  <c r="H505" i="1"/>
  <c r="I505" i="1"/>
  <c r="L505" i="1" s="1"/>
  <c r="J505" i="1"/>
  <c r="K505" i="1"/>
  <c r="H506" i="1"/>
  <c r="I506" i="1"/>
  <c r="L506" i="1" s="1"/>
  <c r="J506" i="1"/>
  <c r="K506" i="1"/>
  <c r="H507" i="1"/>
  <c r="I507" i="1"/>
  <c r="L507" i="1" s="1"/>
  <c r="J507" i="1"/>
  <c r="K507" i="1"/>
  <c r="H508" i="1"/>
  <c r="I508" i="1"/>
  <c r="L508" i="1" s="1"/>
  <c r="J508" i="1"/>
  <c r="K508" i="1"/>
  <c r="H509" i="1"/>
  <c r="I509" i="1"/>
  <c r="L509" i="1" s="1"/>
  <c r="J509" i="1"/>
  <c r="K509" i="1"/>
  <c r="H510" i="1"/>
  <c r="I510" i="1"/>
  <c r="L510" i="1" s="1"/>
  <c r="J510" i="1"/>
  <c r="K510" i="1"/>
  <c r="H511" i="1"/>
  <c r="I511" i="1"/>
  <c r="L511" i="1" s="1"/>
  <c r="J511" i="1"/>
  <c r="K511" i="1"/>
  <c r="H512" i="1"/>
  <c r="I512" i="1"/>
  <c r="L512" i="1" s="1"/>
  <c r="J512" i="1"/>
  <c r="K512" i="1"/>
  <c r="H513" i="1"/>
  <c r="I513" i="1"/>
  <c r="L513" i="1" s="1"/>
  <c r="J513" i="1"/>
  <c r="K513" i="1"/>
  <c r="H514" i="1"/>
  <c r="I514" i="1"/>
  <c r="L514" i="1" s="1"/>
  <c r="J514" i="1"/>
  <c r="K514" i="1"/>
  <c r="H515" i="1"/>
  <c r="I515" i="1"/>
  <c r="L515" i="1" s="1"/>
  <c r="J515" i="1"/>
  <c r="K515" i="1"/>
  <c r="H516" i="1"/>
  <c r="I516" i="1"/>
  <c r="L516" i="1" s="1"/>
  <c r="J516" i="1"/>
  <c r="K516" i="1"/>
  <c r="H517" i="1"/>
  <c r="I517" i="1"/>
  <c r="L517" i="1" s="1"/>
  <c r="J517" i="1"/>
  <c r="K517" i="1"/>
  <c r="H518" i="1"/>
  <c r="I518" i="1"/>
  <c r="L518" i="1" s="1"/>
  <c r="J518" i="1"/>
  <c r="K518" i="1"/>
  <c r="H519" i="1"/>
  <c r="I519" i="1"/>
  <c r="L519" i="1" s="1"/>
  <c r="J519" i="1"/>
  <c r="K519" i="1"/>
  <c r="H520" i="1"/>
  <c r="I520" i="1"/>
  <c r="L520" i="1" s="1"/>
  <c r="J520" i="1"/>
  <c r="K520" i="1"/>
  <c r="H521" i="1"/>
  <c r="I521" i="1"/>
  <c r="L521" i="1" s="1"/>
  <c r="J521" i="1"/>
  <c r="K521" i="1"/>
  <c r="H522" i="1"/>
  <c r="I522" i="1"/>
  <c r="L522" i="1" s="1"/>
  <c r="J522" i="1"/>
  <c r="K522" i="1"/>
  <c r="H523" i="1"/>
  <c r="I523" i="1"/>
  <c r="L523" i="1" s="1"/>
  <c r="J523" i="1"/>
  <c r="K523" i="1"/>
  <c r="H524" i="1"/>
  <c r="I524" i="1"/>
  <c r="L524" i="1" s="1"/>
  <c r="J524" i="1"/>
  <c r="K524" i="1"/>
  <c r="H525" i="1"/>
  <c r="I525" i="1"/>
  <c r="L525" i="1" s="1"/>
  <c r="J525" i="1"/>
  <c r="K525" i="1"/>
  <c r="H526" i="1"/>
  <c r="I526" i="1"/>
  <c r="L526" i="1" s="1"/>
  <c r="J526" i="1"/>
  <c r="K526" i="1"/>
  <c r="H527" i="1"/>
  <c r="I527" i="1"/>
  <c r="L527" i="1" s="1"/>
  <c r="J527" i="1"/>
  <c r="K527" i="1"/>
  <c r="H528" i="1"/>
  <c r="I528" i="1"/>
  <c r="L528" i="1" s="1"/>
  <c r="J528" i="1"/>
  <c r="K528" i="1"/>
  <c r="H529" i="1"/>
  <c r="I529" i="1"/>
  <c r="L529" i="1" s="1"/>
  <c r="J529" i="1"/>
  <c r="K529" i="1"/>
  <c r="H530" i="1"/>
  <c r="I530" i="1"/>
  <c r="L530" i="1" s="1"/>
  <c r="J530" i="1"/>
  <c r="K530" i="1"/>
  <c r="H531" i="1"/>
  <c r="I531" i="1"/>
  <c r="L531" i="1" s="1"/>
  <c r="J531" i="1"/>
  <c r="K531" i="1"/>
  <c r="H532" i="1"/>
  <c r="I532" i="1"/>
  <c r="L532" i="1" s="1"/>
  <c r="J532" i="1"/>
  <c r="K532" i="1"/>
  <c r="H533" i="1"/>
  <c r="I533" i="1"/>
  <c r="L533" i="1" s="1"/>
  <c r="J533" i="1"/>
  <c r="K533" i="1"/>
  <c r="H534" i="1"/>
  <c r="I534" i="1"/>
  <c r="L534" i="1" s="1"/>
  <c r="J534" i="1"/>
  <c r="K534" i="1"/>
  <c r="H535" i="1"/>
  <c r="I535" i="1"/>
  <c r="L535" i="1" s="1"/>
  <c r="J535" i="1"/>
  <c r="K535" i="1"/>
  <c r="H536" i="1"/>
  <c r="I536" i="1"/>
  <c r="L536" i="1" s="1"/>
  <c r="J536" i="1"/>
  <c r="K536" i="1"/>
  <c r="H537" i="1"/>
  <c r="I537" i="1"/>
  <c r="L537" i="1" s="1"/>
  <c r="J537" i="1"/>
  <c r="K537" i="1"/>
  <c r="H538" i="1"/>
  <c r="I538" i="1"/>
  <c r="L538" i="1" s="1"/>
  <c r="J538" i="1"/>
  <c r="K538" i="1"/>
  <c r="H539" i="1"/>
  <c r="I539" i="1"/>
  <c r="L539" i="1" s="1"/>
  <c r="J539" i="1"/>
  <c r="K539" i="1"/>
  <c r="H540" i="1"/>
  <c r="I540" i="1"/>
  <c r="L540" i="1" s="1"/>
  <c r="J540" i="1"/>
  <c r="K540" i="1"/>
  <c r="H541" i="1"/>
  <c r="I541" i="1"/>
  <c r="L541" i="1" s="1"/>
  <c r="J541" i="1"/>
  <c r="K541" i="1"/>
  <c r="H542" i="1"/>
  <c r="I542" i="1"/>
  <c r="L542" i="1" s="1"/>
  <c r="J542" i="1"/>
  <c r="K542" i="1"/>
  <c r="H543" i="1"/>
  <c r="I543" i="1"/>
  <c r="L543" i="1" s="1"/>
  <c r="J543" i="1"/>
  <c r="K543" i="1"/>
  <c r="H544" i="1"/>
  <c r="I544" i="1"/>
  <c r="L544" i="1" s="1"/>
  <c r="J544" i="1"/>
  <c r="K544" i="1"/>
  <c r="H545" i="1"/>
  <c r="I545" i="1"/>
  <c r="L545" i="1" s="1"/>
  <c r="J545" i="1"/>
  <c r="K545" i="1"/>
  <c r="H546" i="1"/>
  <c r="I546" i="1"/>
  <c r="L546" i="1" s="1"/>
  <c r="J546" i="1"/>
  <c r="K546" i="1"/>
  <c r="H547" i="1"/>
  <c r="I547" i="1"/>
  <c r="L547" i="1" s="1"/>
  <c r="J547" i="1"/>
  <c r="K547" i="1"/>
  <c r="H548" i="1"/>
  <c r="I548" i="1"/>
  <c r="L548" i="1" s="1"/>
  <c r="J548" i="1"/>
  <c r="K548" i="1"/>
  <c r="H549" i="1"/>
  <c r="I549" i="1"/>
  <c r="L549" i="1" s="1"/>
  <c r="J549" i="1"/>
  <c r="K549" i="1"/>
  <c r="H550" i="1"/>
  <c r="I550" i="1"/>
  <c r="L550" i="1" s="1"/>
  <c r="J550" i="1"/>
  <c r="K550" i="1"/>
  <c r="H551" i="1"/>
  <c r="I551" i="1"/>
  <c r="L551" i="1" s="1"/>
  <c r="J551" i="1"/>
  <c r="K551" i="1"/>
  <c r="H552" i="1"/>
  <c r="I552" i="1"/>
  <c r="L552" i="1" s="1"/>
  <c r="J552" i="1"/>
  <c r="K552" i="1"/>
  <c r="H553" i="1"/>
  <c r="I553" i="1"/>
  <c r="L553" i="1" s="1"/>
  <c r="J553" i="1"/>
  <c r="K553" i="1"/>
  <c r="H554" i="1"/>
  <c r="I554" i="1"/>
  <c r="L554" i="1" s="1"/>
  <c r="J554" i="1"/>
  <c r="K554" i="1"/>
  <c r="H555" i="1"/>
  <c r="I555" i="1"/>
  <c r="L555" i="1" s="1"/>
  <c r="J555" i="1"/>
  <c r="K555" i="1"/>
  <c r="H556" i="1"/>
  <c r="I556" i="1"/>
  <c r="L556" i="1" s="1"/>
  <c r="J556" i="1"/>
  <c r="K556" i="1"/>
  <c r="H557" i="1"/>
  <c r="I557" i="1"/>
  <c r="L557" i="1" s="1"/>
  <c r="J557" i="1"/>
  <c r="K557" i="1"/>
  <c r="H558" i="1"/>
  <c r="I558" i="1"/>
  <c r="L558" i="1" s="1"/>
  <c r="J558" i="1"/>
  <c r="K558" i="1"/>
  <c r="H559" i="1"/>
  <c r="I559" i="1"/>
  <c r="L559" i="1" s="1"/>
  <c r="J559" i="1"/>
  <c r="K559" i="1"/>
  <c r="H560" i="1"/>
  <c r="I560" i="1"/>
  <c r="L560" i="1" s="1"/>
  <c r="J560" i="1"/>
  <c r="K560" i="1"/>
  <c r="H561" i="1"/>
  <c r="I561" i="1"/>
  <c r="L561" i="1" s="1"/>
  <c r="J561" i="1"/>
  <c r="K561" i="1"/>
  <c r="H562" i="1"/>
  <c r="I562" i="1"/>
  <c r="L562" i="1" s="1"/>
  <c r="J562" i="1"/>
  <c r="K562" i="1"/>
  <c r="H563" i="1"/>
  <c r="I563" i="1"/>
  <c r="L563" i="1" s="1"/>
  <c r="J563" i="1"/>
  <c r="K563" i="1"/>
  <c r="H564" i="1"/>
  <c r="I564" i="1"/>
  <c r="L564" i="1" s="1"/>
  <c r="J564" i="1"/>
  <c r="K564" i="1"/>
  <c r="H565" i="1"/>
  <c r="I565" i="1"/>
  <c r="L565" i="1" s="1"/>
  <c r="J565" i="1"/>
  <c r="K565" i="1"/>
  <c r="H566" i="1"/>
  <c r="I566" i="1"/>
  <c r="L566" i="1" s="1"/>
  <c r="J566" i="1"/>
  <c r="K566" i="1"/>
  <c r="H567" i="1"/>
  <c r="I567" i="1"/>
  <c r="L567" i="1" s="1"/>
  <c r="J567" i="1"/>
  <c r="K567" i="1"/>
  <c r="H568" i="1"/>
  <c r="I568" i="1"/>
  <c r="L568" i="1" s="1"/>
  <c r="J568" i="1"/>
  <c r="K568" i="1"/>
  <c r="H569" i="1"/>
  <c r="I569" i="1"/>
  <c r="L569" i="1" s="1"/>
  <c r="J569" i="1"/>
  <c r="K569" i="1"/>
  <c r="H570" i="1"/>
  <c r="I570" i="1"/>
  <c r="L570" i="1" s="1"/>
  <c r="J570" i="1"/>
  <c r="K570" i="1"/>
  <c r="H571" i="1"/>
  <c r="I571" i="1"/>
  <c r="L571" i="1" s="1"/>
  <c r="J571" i="1"/>
  <c r="K571" i="1"/>
  <c r="H572" i="1"/>
  <c r="I572" i="1"/>
  <c r="L572" i="1" s="1"/>
  <c r="J572" i="1"/>
  <c r="K572" i="1"/>
  <c r="H573" i="1"/>
  <c r="I573" i="1"/>
  <c r="L573" i="1" s="1"/>
  <c r="J573" i="1"/>
  <c r="K573" i="1"/>
  <c r="H574" i="1"/>
  <c r="I574" i="1"/>
  <c r="L574" i="1" s="1"/>
  <c r="J574" i="1"/>
  <c r="K574" i="1"/>
  <c r="H575" i="1"/>
  <c r="I575" i="1"/>
  <c r="L575" i="1" s="1"/>
  <c r="J575" i="1"/>
  <c r="K575" i="1"/>
  <c r="H576" i="1"/>
  <c r="I576" i="1"/>
  <c r="L576" i="1" s="1"/>
  <c r="J576" i="1"/>
  <c r="K576" i="1"/>
  <c r="H577" i="1"/>
  <c r="I577" i="1"/>
  <c r="L577" i="1" s="1"/>
  <c r="J577" i="1"/>
  <c r="K577" i="1"/>
  <c r="H578" i="1"/>
  <c r="I578" i="1"/>
  <c r="L578" i="1" s="1"/>
  <c r="J578" i="1"/>
  <c r="K578" i="1"/>
  <c r="H579" i="1"/>
  <c r="I579" i="1"/>
  <c r="L579" i="1" s="1"/>
  <c r="J579" i="1"/>
  <c r="K579" i="1"/>
  <c r="H580" i="1"/>
  <c r="I580" i="1"/>
  <c r="L580" i="1" s="1"/>
  <c r="J580" i="1"/>
  <c r="K580" i="1"/>
  <c r="H581" i="1"/>
  <c r="I581" i="1"/>
  <c r="L581" i="1" s="1"/>
  <c r="J581" i="1"/>
  <c r="K581" i="1"/>
  <c r="H582" i="1"/>
  <c r="I582" i="1"/>
  <c r="L582" i="1" s="1"/>
  <c r="J582" i="1"/>
  <c r="K582" i="1"/>
  <c r="H583" i="1"/>
  <c r="I583" i="1"/>
  <c r="L583" i="1" s="1"/>
  <c r="J583" i="1"/>
  <c r="K583" i="1"/>
  <c r="H584" i="1"/>
  <c r="I584" i="1"/>
  <c r="L584" i="1" s="1"/>
  <c r="J584" i="1"/>
  <c r="K584" i="1"/>
  <c r="H585" i="1"/>
  <c r="I585" i="1"/>
  <c r="L585" i="1" s="1"/>
  <c r="J585" i="1"/>
  <c r="K585" i="1"/>
  <c r="H586" i="1"/>
  <c r="I586" i="1"/>
  <c r="L586" i="1" s="1"/>
  <c r="J586" i="1"/>
  <c r="K586" i="1"/>
  <c r="H587" i="1"/>
  <c r="I587" i="1"/>
  <c r="L587" i="1" s="1"/>
  <c r="J587" i="1"/>
  <c r="K587" i="1"/>
  <c r="H588" i="1"/>
  <c r="I588" i="1"/>
  <c r="L588" i="1" s="1"/>
  <c r="J588" i="1"/>
  <c r="K588" i="1"/>
  <c r="H589" i="1"/>
  <c r="I589" i="1"/>
  <c r="L589" i="1" s="1"/>
  <c r="J589" i="1"/>
  <c r="K589" i="1"/>
  <c r="H590" i="1"/>
  <c r="I590" i="1"/>
  <c r="L590" i="1" s="1"/>
  <c r="J590" i="1"/>
  <c r="K590" i="1"/>
  <c r="H591" i="1"/>
  <c r="I591" i="1"/>
  <c r="L591" i="1" s="1"/>
  <c r="J591" i="1"/>
  <c r="K591" i="1"/>
  <c r="H592" i="1"/>
  <c r="I592" i="1"/>
  <c r="L592" i="1" s="1"/>
  <c r="J592" i="1"/>
  <c r="K592" i="1"/>
  <c r="H593" i="1"/>
  <c r="I593" i="1"/>
  <c r="L593" i="1" s="1"/>
  <c r="J593" i="1"/>
  <c r="K593" i="1"/>
  <c r="H594" i="1"/>
  <c r="I594" i="1"/>
  <c r="L594" i="1" s="1"/>
  <c r="J594" i="1"/>
  <c r="K594" i="1"/>
  <c r="H595" i="1"/>
  <c r="I595" i="1"/>
  <c r="L595" i="1" s="1"/>
  <c r="J595" i="1"/>
  <c r="K595" i="1"/>
  <c r="H596" i="1"/>
  <c r="I596" i="1"/>
  <c r="L596" i="1" s="1"/>
  <c r="J596" i="1"/>
  <c r="K596" i="1"/>
  <c r="H597" i="1"/>
  <c r="I597" i="1"/>
  <c r="L597" i="1" s="1"/>
  <c r="J597" i="1"/>
  <c r="K597" i="1"/>
  <c r="H598" i="1"/>
  <c r="I598" i="1"/>
  <c r="L598" i="1" s="1"/>
  <c r="J598" i="1"/>
  <c r="K598" i="1"/>
  <c r="H599" i="1"/>
  <c r="I599" i="1"/>
  <c r="L599" i="1" s="1"/>
  <c r="J599" i="1"/>
  <c r="K599" i="1"/>
  <c r="H600" i="1"/>
  <c r="I600" i="1"/>
  <c r="L600" i="1" s="1"/>
  <c r="J600" i="1"/>
  <c r="K600" i="1"/>
  <c r="H601" i="1"/>
  <c r="I601" i="1"/>
  <c r="L601" i="1" s="1"/>
  <c r="J601" i="1"/>
  <c r="K601" i="1"/>
  <c r="H602" i="1"/>
  <c r="I602" i="1"/>
  <c r="L602" i="1" s="1"/>
  <c r="J602" i="1"/>
  <c r="K602" i="1"/>
  <c r="H603" i="1"/>
  <c r="I603" i="1"/>
  <c r="L603" i="1" s="1"/>
  <c r="J603" i="1"/>
  <c r="K603" i="1"/>
  <c r="H604" i="1"/>
  <c r="I604" i="1"/>
  <c r="L604" i="1" s="1"/>
  <c r="J604" i="1"/>
  <c r="K604" i="1"/>
  <c r="H605" i="1"/>
  <c r="I605" i="1"/>
  <c r="L605" i="1" s="1"/>
  <c r="J605" i="1"/>
  <c r="K605" i="1"/>
  <c r="H606" i="1"/>
  <c r="I606" i="1"/>
  <c r="L606" i="1" s="1"/>
  <c r="J606" i="1"/>
  <c r="K606" i="1"/>
  <c r="H607" i="1"/>
  <c r="I607" i="1"/>
  <c r="L607" i="1" s="1"/>
  <c r="J607" i="1"/>
  <c r="K607" i="1"/>
  <c r="H608" i="1"/>
  <c r="I608" i="1"/>
  <c r="L608" i="1" s="1"/>
  <c r="J608" i="1"/>
  <c r="K608" i="1"/>
  <c r="H609" i="1"/>
  <c r="I609" i="1"/>
  <c r="L609" i="1" s="1"/>
  <c r="J609" i="1"/>
  <c r="K609" i="1"/>
  <c r="H610" i="1"/>
  <c r="I610" i="1"/>
  <c r="L610" i="1" s="1"/>
  <c r="J610" i="1"/>
  <c r="K610" i="1"/>
  <c r="H611" i="1"/>
  <c r="I611" i="1"/>
  <c r="L611" i="1" s="1"/>
  <c r="J611" i="1"/>
  <c r="K611" i="1"/>
  <c r="H612" i="1"/>
  <c r="I612" i="1"/>
  <c r="L612" i="1" s="1"/>
  <c r="J612" i="1"/>
  <c r="K612" i="1"/>
  <c r="H613" i="1"/>
  <c r="I613" i="1"/>
  <c r="L613" i="1" s="1"/>
  <c r="J613" i="1"/>
  <c r="K613" i="1"/>
  <c r="H614" i="1"/>
  <c r="I614" i="1"/>
  <c r="L614" i="1" s="1"/>
  <c r="J614" i="1"/>
  <c r="K614" i="1"/>
  <c r="H615" i="1"/>
  <c r="I615" i="1"/>
  <c r="L615" i="1" s="1"/>
  <c r="J615" i="1"/>
  <c r="K615" i="1"/>
  <c r="H616" i="1"/>
  <c r="I616" i="1"/>
  <c r="L616" i="1" s="1"/>
  <c r="J616" i="1"/>
  <c r="K616" i="1"/>
  <c r="H617" i="1"/>
  <c r="I617" i="1"/>
  <c r="L617" i="1" s="1"/>
  <c r="J617" i="1"/>
  <c r="K617" i="1"/>
  <c r="H618" i="1"/>
  <c r="I618" i="1"/>
  <c r="L618" i="1" s="1"/>
  <c r="J618" i="1"/>
  <c r="K618" i="1"/>
  <c r="H619" i="1"/>
  <c r="I619" i="1"/>
  <c r="L619" i="1" s="1"/>
  <c r="J619" i="1"/>
  <c r="K619" i="1"/>
  <c r="H620" i="1"/>
  <c r="I620" i="1"/>
  <c r="L620" i="1" s="1"/>
  <c r="J620" i="1"/>
  <c r="K620" i="1"/>
  <c r="H621" i="1"/>
  <c r="I621" i="1"/>
  <c r="L621" i="1" s="1"/>
  <c r="J621" i="1"/>
  <c r="K621" i="1"/>
  <c r="H622" i="1"/>
  <c r="I622" i="1"/>
  <c r="L622" i="1" s="1"/>
  <c r="J622" i="1"/>
  <c r="K622" i="1"/>
  <c r="H623" i="1"/>
  <c r="I623" i="1"/>
  <c r="L623" i="1" s="1"/>
  <c r="J623" i="1"/>
  <c r="K623" i="1"/>
  <c r="H624" i="1"/>
  <c r="I624" i="1"/>
  <c r="L624" i="1" s="1"/>
  <c r="J624" i="1"/>
  <c r="K624" i="1"/>
  <c r="H625" i="1"/>
  <c r="I625" i="1"/>
  <c r="L625" i="1" s="1"/>
  <c r="J625" i="1"/>
  <c r="K625" i="1"/>
  <c r="H626" i="1"/>
  <c r="I626" i="1"/>
  <c r="L626" i="1" s="1"/>
  <c r="J626" i="1"/>
  <c r="K626" i="1"/>
  <c r="H627" i="1"/>
  <c r="I627" i="1"/>
  <c r="L627" i="1" s="1"/>
  <c r="J627" i="1"/>
  <c r="K627" i="1"/>
  <c r="H628" i="1"/>
  <c r="I628" i="1"/>
  <c r="L628" i="1" s="1"/>
  <c r="J628" i="1"/>
  <c r="K628" i="1"/>
  <c r="H629" i="1"/>
  <c r="I629" i="1"/>
  <c r="L629" i="1" s="1"/>
  <c r="J629" i="1"/>
  <c r="K629" i="1"/>
  <c r="H630" i="1"/>
  <c r="I630" i="1"/>
  <c r="L630" i="1" s="1"/>
  <c r="J630" i="1"/>
  <c r="K630" i="1"/>
  <c r="H631" i="1"/>
  <c r="I631" i="1"/>
  <c r="L631" i="1" s="1"/>
  <c r="J631" i="1"/>
  <c r="K631" i="1"/>
  <c r="H632" i="1"/>
  <c r="I632" i="1"/>
  <c r="L632" i="1" s="1"/>
  <c r="J632" i="1"/>
  <c r="K632" i="1"/>
  <c r="H633" i="1"/>
  <c r="I633" i="1"/>
  <c r="L633" i="1" s="1"/>
  <c r="J633" i="1"/>
  <c r="K633" i="1"/>
  <c r="H634" i="1"/>
  <c r="I634" i="1"/>
  <c r="L634" i="1" s="1"/>
  <c r="J634" i="1"/>
  <c r="K634" i="1"/>
  <c r="H635" i="1"/>
  <c r="I635" i="1"/>
  <c r="L635" i="1" s="1"/>
  <c r="J635" i="1"/>
  <c r="K635" i="1"/>
  <c r="H636" i="1"/>
  <c r="I636" i="1"/>
  <c r="L636" i="1" s="1"/>
  <c r="J636" i="1"/>
  <c r="K636" i="1"/>
  <c r="H637" i="1"/>
  <c r="I637" i="1"/>
  <c r="L637" i="1" s="1"/>
  <c r="J637" i="1"/>
  <c r="K637" i="1"/>
  <c r="H638" i="1"/>
  <c r="I638" i="1"/>
  <c r="L638" i="1" s="1"/>
  <c r="J638" i="1"/>
  <c r="K638" i="1"/>
  <c r="H639" i="1"/>
  <c r="I639" i="1"/>
  <c r="L639" i="1" s="1"/>
  <c r="J639" i="1"/>
  <c r="K639" i="1"/>
  <c r="H640" i="1"/>
  <c r="I640" i="1"/>
  <c r="L640" i="1" s="1"/>
  <c r="J640" i="1"/>
  <c r="K640" i="1"/>
  <c r="H641" i="1"/>
  <c r="I641" i="1"/>
  <c r="L641" i="1" s="1"/>
  <c r="J641" i="1"/>
  <c r="K641" i="1"/>
  <c r="H642" i="1"/>
  <c r="I642" i="1"/>
  <c r="L642" i="1" s="1"/>
  <c r="J642" i="1"/>
  <c r="K642" i="1"/>
  <c r="H643" i="1"/>
  <c r="I643" i="1"/>
  <c r="L643" i="1" s="1"/>
  <c r="J643" i="1"/>
  <c r="K643" i="1"/>
  <c r="H644" i="1"/>
  <c r="I644" i="1"/>
  <c r="L644" i="1" s="1"/>
  <c r="J644" i="1"/>
  <c r="K644" i="1"/>
  <c r="H645" i="1"/>
  <c r="I645" i="1"/>
  <c r="L645" i="1" s="1"/>
  <c r="J645" i="1"/>
  <c r="K645" i="1"/>
  <c r="H646" i="1"/>
  <c r="I646" i="1"/>
  <c r="L646" i="1" s="1"/>
  <c r="J646" i="1"/>
  <c r="K646" i="1"/>
  <c r="H647" i="1"/>
  <c r="I647" i="1"/>
  <c r="L647" i="1" s="1"/>
  <c r="J647" i="1"/>
  <c r="K647" i="1"/>
  <c r="H648" i="1"/>
  <c r="I648" i="1"/>
  <c r="L648" i="1" s="1"/>
  <c r="J648" i="1"/>
  <c r="K648" i="1"/>
  <c r="H649" i="1"/>
  <c r="I649" i="1"/>
  <c r="L649" i="1" s="1"/>
  <c r="J649" i="1"/>
  <c r="K649" i="1"/>
  <c r="H650" i="1"/>
  <c r="I650" i="1"/>
  <c r="L650" i="1" s="1"/>
  <c r="J650" i="1"/>
  <c r="K650" i="1"/>
  <c r="H651" i="1"/>
  <c r="I651" i="1"/>
  <c r="L651" i="1" s="1"/>
  <c r="J651" i="1"/>
  <c r="K651" i="1"/>
  <c r="H652" i="1"/>
  <c r="I652" i="1"/>
  <c r="L652" i="1" s="1"/>
  <c r="J652" i="1"/>
  <c r="K652" i="1"/>
  <c r="H653" i="1"/>
  <c r="I653" i="1"/>
  <c r="L653" i="1" s="1"/>
  <c r="J653" i="1"/>
  <c r="K653" i="1"/>
  <c r="H654" i="1"/>
  <c r="I654" i="1"/>
  <c r="L654" i="1" s="1"/>
  <c r="J654" i="1"/>
  <c r="K654" i="1"/>
  <c r="H655" i="1"/>
  <c r="I655" i="1"/>
  <c r="L655" i="1" s="1"/>
  <c r="J655" i="1"/>
  <c r="K655" i="1"/>
  <c r="H656" i="1"/>
  <c r="I656" i="1"/>
  <c r="L656" i="1" s="1"/>
  <c r="J656" i="1"/>
  <c r="K656" i="1"/>
  <c r="H657" i="1"/>
  <c r="I657" i="1"/>
  <c r="L657" i="1" s="1"/>
  <c r="J657" i="1"/>
  <c r="K657" i="1"/>
  <c r="H658" i="1"/>
  <c r="I658" i="1"/>
  <c r="L658" i="1" s="1"/>
  <c r="J658" i="1"/>
  <c r="K658" i="1"/>
  <c r="H659" i="1"/>
  <c r="I659" i="1"/>
  <c r="L659" i="1" s="1"/>
  <c r="J659" i="1"/>
  <c r="K659" i="1"/>
  <c r="H660" i="1"/>
  <c r="I660" i="1"/>
  <c r="L660" i="1" s="1"/>
  <c r="J660" i="1"/>
  <c r="K660" i="1"/>
  <c r="H661" i="1"/>
  <c r="I661" i="1"/>
  <c r="L661" i="1" s="1"/>
  <c r="J661" i="1"/>
  <c r="K661" i="1"/>
  <c r="H662" i="1"/>
  <c r="I662" i="1"/>
  <c r="L662" i="1" s="1"/>
  <c r="J662" i="1"/>
  <c r="K662" i="1"/>
  <c r="H663" i="1"/>
  <c r="I663" i="1"/>
  <c r="L663" i="1" s="1"/>
  <c r="J663" i="1"/>
  <c r="K663" i="1"/>
  <c r="H664" i="1"/>
  <c r="I664" i="1"/>
  <c r="L664" i="1" s="1"/>
  <c r="J664" i="1"/>
  <c r="K664" i="1"/>
  <c r="H665" i="1"/>
  <c r="I665" i="1"/>
  <c r="L665" i="1" s="1"/>
  <c r="J665" i="1"/>
  <c r="K665" i="1"/>
  <c r="H666" i="1"/>
  <c r="I666" i="1"/>
  <c r="L666" i="1" s="1"/>
  <c r="J666" i="1"/>
  <c r="K666" i="1"/>
  <c r="H667" i="1"/>
  <c r="I667" i="1"/>
  <c r="L667" i="1" s="1"/>
  <c r="J667" i="1"/>
  <c r="K667" i="1"/>
  <c r="H668" i="1"/>
  <c r="I668" i="1"/>
  <c r="L668" i="1" s="1"/>
  <c r="J668" i="1"/>
  <c r="K668" i="1"/>
  <c r="H669" i="1"/>
  <c r="I669" i="1"/>
  <c r="L669" i="1" s="1"/>
  <c r="J669" i="1"/>
  <c r="K669" i="1"/>
  <c r="H670" i="1"/>
  <c r="I670" i="1"/>
  <c r="L670" i="1" s="1"/>
  <c r="J670" i="1"/>
  <c r="K670" i="1"/>
  <c r="H671" i="1"/>
  <c r="I671" i="1"/>
  <c r="L671" i="1" s="1"/>
  <c r="J671" i="1"/>
  <c r="K671" i="1"/>
  <c r="H672" i="1"/>
  <c r="I672" i="1"/>
  <c r="L672" i="1" s="1"/>
  <c r="J672" i="1"/>
  <c r="K672" i="1"/>
  <c r="H673" i="1"/>
  <c r="I673" i="1"/>
  <c r="L673" i="1" s="1"/>
  <c r="J673" i="1"/>
  <c r="K673" i="1"/>
  <c r="H674" i="1"/>
  <c r="I674" i="1"/>
  <c r="L674" i="1" s="1"/>
  <c r="J674" i="1"/>
  <c r="K674" i="1"/>
  <c r="H675" i="1"/>
  <c r="I675" i="1"/>
  <c r="L675" i="1" s="1"/>
  <c r="J675" i="1"/>
  <c r="K675" i="1"/>
  <c r="H676" i="1"/>
  <c r="I676" i="1"/>
  <c r="L676" i="1" s="1"/>
  <c r="J676" i="1"/>
  <c r="K676" i="1"/>
  <c r="H677" i="1"/>
  <c r="I677" i="1"/>
  <c r="L677" i="1" s="1"/>
  <c r="J677" i="1"/>
  <c r="K677" i="1"/>
  <c r="H678" i="1"/>
  <c r="I678" i="1"/>
  <c r="L678" i="1" s="1"/>
  <c r="J678" i="1"/>
  <c r="K678" i="1"/>
  <c r="H679" i="1"/>
  <c r="I679" i="1"/>
  <c r="L679" i="1" s="1"/>
  <c r="J679" i="1"/>
  <c r="K679" i="1"/>
  <c r="H680" i="1"/>
  <c r="I680" i="1"/>
  <c r="L680" i="1" s="1"/>
  <c r="J680" i="1"/>
  <c r="K680" i="1"/>
  <c r="H681" i="1"/>
  <c r="I681" i="1"/>
  <c r="L681" i="1" s="1"/>
  <c r="J681" i="1"/>
  <c r="K681" i="1"/>
  <c r="H682" i="1"/>
  <c r="I682" i="1"/>
  <c r="L682" i="1" s="1"/>
  <c r="J682" i="1"/>
  <c r="K682" i="1"/>
  <c r="H683" i="1"/>
  <c r="I683" i="1"/>
  <c r="L683" i="1" s="1"/>
  <c r="J683" i="1"/>
  <c r="K683" i="1"/>
  <c r="H684" i="1"/>
  <c r="I684" i="1"/>
  <c r="L684" i="1" s="1"/>
  <c r="J684" i="1"/>
  <c r="K684" i="1"/>
  <c r="H685" i="1"/>
  <c r="I685" i="1"/>
  <c r="L685" i="1" s="1"/>
  <c r="J685" i="1"/>
  <c r="K685" i="1"/>
  <c r="H686" i="1"/>
  <c r="I686" i="1"/>
  <c r="L686" i="1" s="1"/>
  <c r="J686" i="1"/>
  <c r="K686" i="1"/>
  <c r="H687" i="1"/>
  <c r="I687" i="1"/>
  <c r="L687" i="1" s="1"/>
  <c r="J687" i="1"/>
  <c r="K687" i="1"/>
  <c r="H688" i="1"/>
  <c r="I688" i="1"/>
  <c r="L688" i="1" s="1"/>
  <c r="J688" i="1"/>
  <c r="K688" i="1"/>
  <c r="H689" i="1"/>
  <c r="I689" i="1"/>
  <c r="L689" i="1" s="1"/>
  <c r="J689" i="1"/>
  <c r="K689" i="1"/>
  <c r="H690" i="1"/>
  <c r="I690" i="1"/>
  <c r="L690" i="1" s="1"/>
  <c r="J690" i="1"/>
  <c r="K690" i="1"/>
  <c r="H691" i="1"/>
  <c r="I691" i="1"/>
  <c r="L691" i="1" s="1"/>
  <c r="J691" i="1"/>
  <c r="K691" i="1"/>
  <c r="H692" i="1"/>
  <c r="I692" i="1"/>
  <c r="L692" i="1" s="1"/>
  <c r="J692" i="1"/>
  <c r="K692" i="1"/>
  <c r="H693" i="1"/>
  <c r="I693" i="1"/>
  <c r="L693" i="1" s="1"/>
  <c r="J693" i="1"/>
  <c r="K693" i="1"/>
  <c r="H694" i="1"/>
  <c r="I694" i="1"/>
  <c r="L694" i="1" s="1"/>
  <c r="J694" i="1"/>
  <c r="K694" i="1"/>
  <c r="H695" i="1"/>
  <c r="I695" i="1"/>
  <c r="L695" i="1" s="1"/>
  <c r="J695" i="1"/>
  <c r="K695" i="1"/>
  <c r="H696" i="1"/>
  <c r="I696" i="1"/>
  <c r="L696" i="1" s="1"/>
  <c r="J696" i="1"/>
  <c r="K696" i="1"/>
  <c r="H697" i="1"/>
  <c r="I697" i="1"/>
  <c r="L697" i="1" s="1"/>
  <c r="J697" i="1"/>
  <c r="K697" i="1"/>
  <c r="H698" i="1"/>
  <c r="I698" i="1"/>
  <c r="L698" i="1" s="1"/>
  <c r="J698" i="1"/>
  <c r="K698" i="1"/>
  <c r="H699" i="1"/>
  <c r="I699" i="1"/>
  <c r="L699" i="1" s="1"/>
  <c r="J699" i="1"/>
  <c r="K699" i="1"/>
  <c r="H700" i="1"/>
  <c r="I700" i="1"/>
  <c r="L700" i="1" s="1"/>
  <c r="J700" i="1"/>
  <c r="K700" i="1"/>
  <c r="H701" i="1"/>
  <c r="I701" i="1"/>
  <c r="L701" i="1" s="1"/>
  <c r="J701" i="1"/>
  <c r="K701" i="1"/>
  <c r="H702" i="1"/>
  <c r="I702" i="1"/>
  <c r="L702" i="1" s="1"/>
  <c r="J702" i="1"/>
  <c r="K702" i="1"/>
  <c r="H703" i="1"/>
  <c r="I703" i="1"/>
  <c r="L703" i="1" s="1"/>
  <c r="J703" i="1"/>
  <c r="K703" i="1"/>
  <c r="H704" i="1"/>
  <c r="I704" i="1"/>
  <c r="L704" i="1" s="1"/>
  <c r="J704" i="1"/>
  <c r="K704" i="1"/>
  <c r="H705" i="1"/>
  <c r="I705" i="1"/>
  <c r="L705" i="1" s="1"/>
  <c r="J705" i="1"/>
  <c r="K705" i="1"/>
  <c r="H706" i="1"/>
  <c r="I706" i="1"/>
  <c r="L706" i="1" s="1"/>
  <c r="J706" i="1"/>
  <c r="K706" i="1"/>
  <c r="H707" i="1"/>
  <c r="I707" i="1"/>
  <c r="L707" i="1" s="1"/>
  <c r="J707" i="1"/>
  <c r="K707" i="1"/>
  <c r="H708" i="1"/>
  <c r="I708" i="1"/>
  <c r="L708" i="1" s="1"/>
  <c r="J708" i="1"/>
  <c r="K708" i="1"/>
  <c r="H709" i="1"/>
  <c r="I709" i="1"/>
  <c r="L709" i="1" s="1"/>
  <c r="J709" i="1"/>
  <c r="K709" i="1"/>
  <c r="H710" i="1"/>
  <c r="I710" i="1"/>
  <c r="L710" i="1" s="1"/>
  <c r="J710" i="1"/>
  <c r="K710" i="1"/>
  <c r="H711" i="1"/>
  <c r="I711" i="1"/>
  <c r="L711" i="1" s="1"/>
  <c r="J711" i="1"/>
  <c r="K711" i="1"/>
  <c r="H712" i="1"/>
  <c r="I712" i="1"/>
  <c r="L712" i="1" s="1"/>
  <c r="J712" i="1"/>
  <c r="K712" i="1"/>
  <c r="H713" i="1"/>
  <c r="I713" i="1"/>
  <c r="L713" i="1" s="1"/>
  <c r="J713" i="1"/>
  <c r="K713" i="1"/>
  <c r="H714" i="1"/>
  <c r="I714" i="1"/>
  <c r="L714" i="1" s="1"/>
  <c r="J714" i="1"/>
  <c r="K714" i="1"/>
  <c r="H715" i="1"/>
  <c r="I715" i="1"/>
  <c r="L715" i="1" s="1"/>
  <c r="J715" i="1"/>
  <c r="K715" i="1"/>
  <c r="H716" i="1"/>
  <c r="I716" i="1"/>
  <c r="L716" i="1" s="1"/>
  <c r="J716" i="1"/>
  <c r="K716" i="1"/>
  <c r="H717" i="1"/>
  <c r="I717" i="1"/>
  <c r="L717" i="1" s="1"/>
  <c r="J717" i="1"/>
  <c r="K717" i="1"/>
  <c r="H718" i="1"/>
  <c r="I718" i="1"/>
  <c r="L718" i="1" s="1"/>
  <c r="J718" i="1"/>
  <c r="K718" i="1"/>
  <c r="H719" i="1"/>
  <c r="I719" i="1"/>
  <c r="L719" i="1" s="1"/>
  <c r="J719" i="1"/>
  <c r="K719" i="1"/>
  <c r="H720" i="1"/>
  <c r="I720" i="1"/>
  <c r="L720" i="1" s="1"/>
  <c r="J720" i="1"/>
  <c r="K720" i="1"/>
  <c r="H721" i="1"/>
  <c r="I721" i="1"/>
  <c r="L721" i="1" s="1"/>
  <c r="J721" i="1"/>
  <c r="K721" i="1"/>
  <c r="H722" i="1"/>
  <c r="I722" i="1"/>
  <c r="L722" i="1" s="1"/>
  <c r="J722" i="1"/>
  <c r="K722" i="1"/>
  <c r="H723" i="1"/>
  <c r="I723" i="1"/>
  <c r="L723" i="1" s="1"/>
  <c r="J723" i="1"/>
  <c r="K723" i="1"/>
  <c r="H724" i="1"/>
  <c r="I724" i="1"/>
  <c r="L724" i="1" s="1"/>
  <c r="J724" i="1"/>
  <c r="K724" i="1"/>
  <c r="H725" i="1"/>
  <c r="I725" i="1"/>
  <c r="L725" i="1" s="1"/>
  <c r="J725" i="1"/>
  <c r="K725" i="1"/>
  <c r="H726" i="1"/>
  <c r="I726" i="1"/>
  <c r="L726" i="1" s="1"/>
  <c r="J726" i="1"/>
  <c r="K726" i="1"/>
  <c r="H727" i="1"/>
  <c r="I727" i="1"/>
  <c r="L727" i="1" s="1"/>
  <c r="J727" i="1"/>
  <c r="K727" i="1"/>
  <c r="H728" i="1"/>
  <c r="I728" i="1"/>
  <c r="L728" i="1" s="1"/>
  <c r="J728" i="1"/>
  <c r="K728" i="1"/>
  <c r="H729" i="1"/>
  <c r="I729" i="1"/>
  <c r="L729" i="1" s="1"/>
  <c r="J729" i="1"/>
  <c r="K729" i="1"/>
  <c r="H730" i="1"/>
  <c r="I730" i="1"/>
  <c r="L730" i="1" s="1"/>
  <c r="J730" i="1"/>
  <c r="K730" i="1"/>
  <c r="H731" i="1"/>
  <c r="I731" i="1"/>
  <c r="L731" i="1" s="1"/>
  <c r="J731" i="1"/>
  <c r="K731" i="1"/>
  <c r="H732" i="1"/>
  <c r="I732" i="1"/>
  <c r="L732" i="1" s="1"/>
  <c r="J732" i="1"/>
  <c r="K732" i="1"/>
  <c r="H733" i="1"/>
  <c r="I733" i="1"/>
  <c r="L733" i="1" s="1"/>
  <c r="J733" i="1"/>
  <c r="K733" i="1"/>
  <c r="H734" i="1"/>
  <c r="I734" i="1"/>
  <c r="L734" i="1" s="1"/>
  <c r="J734" i="1"/>
  <c r="K734" i="1"/>
  <c r="H735" i="1"/>
  <c r="I735" i="1"/>
  <c r="L735" i="1" s="1"/>
  <c r="J735" i="1"/>
  <c r="K735" i="1"/>
  <c r="H736" i="1"/>
  <c r="I736" i="1"/>
  <c r="L736" i="1" s="1"/>
  <c r="J736" i="1"/>
  <c r="K736" i="1"/>
  <c r="H737" i="1"/>
  <c r="I737" i="1"/>
  <c r="L737" i="1" s="1"/>
  <c r="J737" i="1"/>
  <c r="K737" i="1"/>
  <c r="H738" i="1"/>
  <c r="I738" i="1"/>
  <c r="L738" i="1" s="1"/>
  <c r="J738" i="1"/>
  <c r="K738" i="1"/>
  <c r="H739" i="1"/>
  <c r="I739" i="1"/>
  <c r="L739" i="1" s="1"/>
  <c r="J739" i="1"/>
  <c r="K739" i="1"/>
  <c r="H740" i="1"/>
  <c r="I740" i="1"/>
  <c r="L740" i="1" s="1"/>
  <c r="J740" i="1"/>
  <c r="K740" i="1"/>
  <c r="H741" i="1"/>
  <c r="I741" i="1"/>
  <c r="L741" i="1" s="1"/>
  <c r="J741" i="1"/>
  <c r="K741" i="1"/>
  <c r="H742" i="1"/>
  <c r="I742" i="1"/>
  <c r="L742" i="1" s="1"/>
  <c r="J742" i="1"/>
  <c r="K742" i="1"/>
  <c r="H743" i="1"/>
  <c r="I743" i="1"/>
  <c r="L743" i="1" s="1"/>
  <c r="J743" i="1"/>
  <c r="K743" i="1"/>
  <c r="H744" i="1"/>
  <c r="I744" i="1"/>
  <c r="L744" i="1" s="1"/>
  <c r="J744" i="1"/>
  <c r="K744" i="1"/>
  <c r="H745" i="1"/>
  <c r="I745" i="1"/>
  <c r="L745" i="1" s="1"/>
  <c r="J745" i="1"/>
  <c r="K745" i="1"/>
  <c r="H746" i="1"/>
  <c r="I746" i="1"/>
  <c r="L746" i="1" s="1"/>
  <c r="J746" i="1"/>
  <c r="K746" i="1"/>
  <c r="H747" i="1"/>
  <c r="I747" i="1"/>
  <c r="L747" i="1" s="1"/>
  <c r="J747" i="1"/>
  <c r="K747" i="1"/>
  <c r="H748" i="1"/>
  <c r="I748" i="1"/>
  <c r="L748" i="1" s="1"/>
  <c r="J748" i="1"/>
  <c r="K748" i="1"/>
  <c r="H749" i="1"/>
  <c r="I749" i="1"/>
  <c r="L749" i="1" s="1"/>
  <c r="J749" i="1"/>
  <c r="K749" i="1"/>
  <c r="H750" i="1"/>
  <c r="I750" i="1"/>
  <c r="L750" i="1" s="1"/>
  <c r="J750" i="1"/>
  <c r="K750" i="1"/>
  <c r="H751" i="1"/>
  <c r="I751" i="1"/>
  <c r="L751" i="1" s="1"/>
  <c r="J751" i="1"/>
  <c r="K751" i="1"/>
  <c r="H752" i="1"/>
  <c r="I752" i="1"/>
  <c r="L752" i="1" s="1"/>
  <c r="J752" i="1"/>
  <c r="K752" i="1"/>
  <c r="H753" i="1"/>
  <c r="I753" i="1"/>
  <c r="L753" i="1" s="1"/>
  <c r="J753" i="1"/>
  <c r="K753" i="1"/>
  <c r="H754" i="1"/>
  <c r="I754" i="1"/>
  <c r="L754" i="1" s="1"/>
  <c r="J754" i="1"/>
  <c r="K754" i="1"/>
  <c r="H755" i="1"/>
  <c r="I755" i="1"/>
  <c r="L755" i="1" s="1"/>
  <c r="J755" i="1"/>
  <c r="K755" i="1"/>
  <c r="H756" i="1"/>
  <c r="I756" i="1"/>
  <c r="L756" i="1" s="1"/>
  <c r="J756" i="1"/>
  <c r="K756" i="1"/>
  <c r="H757" i="1"/>
  <c r="I757" i="1"/>
  <c r="L757" i="1" s="1"/>
  <c r="J757" i="1"/>
  <c r="K757" i="1"/>
  <c r="H758" i="1"/>
  <c r="I758" i="1"/>
  <c r="L758" i="1" s="1"/>
  <c r="J758" i="1"/>
  <c r="K758" i="1"/>
  <c r="H759" i="1"/>
  <c r="I759" i="1"/>
  <c r="L759" i="1" s="1"/>
  <c r="J759" i="1"/>
  <c r="K759" i="1"/>
  <c r="H760" i="1"/>
  <c r="I760" i="1"/>
  <c r="L760" i="1" s="1"/>
  <c r="J760" i="1"/>
  <c r="K760" i="1"/>
  <c r="H761" i="1"/>
  <c r="I761" i="1"/>
  <c r="L761" i="1" s="1"/>
  <c r="J761" i="1"/>
  <c r="K761" i="1"/>
  <c r="H762" i="1"/>
  <c r="I762" i="1"/>
  <c r="L762" i="1" s="1"/>
  <c r="J762" i="1"/>
  <c r="K762" i="1"/>
  <c r="H763" i="1"/>
  <c r="I763" i="1"/>
  <c r="L763" i="1" s="1"/>
  <c r="J763" i="1"/>
  <c r="K763" i="1"/>
  <c r="H764" i="1"/>
  <c r="I764" i="1"/>
  <c r="L764" i="1" s="1"/>
  <c r="J764" i="1"/>
  <c r="K764" i="1"/>
  <c r="H765" i="1"/>
  <c r="I765" i="1"/>
  <c r="L765" i="1" s="1"/>
  <c r="J765" i="1"/>
  <c r="K765" i="1"/>
  <c r="H766" i="1"/>
  <c r="I766" i="1"/>
  <c r="L766" i="1" s="1"/>
  <c r="J766" i="1"/>
  <c r="K766" i="1"/>
  <c r="H767" i="1"/>
  <c r="I767" i="1"/>
  <c r="L767" i="1" s="1"/>
  <c r="J767" i="1"/>
  <c r="K767" i="1"/>
  <c r="H768" i="1"/>
  <c r="I768" i="1"/>
  <c r="L768" i="1" s="1"/>
  <c r="J768" i="1"/>
  <c r="K768" i="1"/>
  <c r="H769" i="1"/>
  <c r="I769" i="1"/>
  <c r="L769" i="1" s="1"/>
  <c r="J769" i="1"/>
  <c r="K769" i="1"/>
  <c r="H770" i="1"/>
  <c r="I770" i="1"/>
  <c r="L770" i="1" s="1"/>
  <c r="J770" i="1"/>
  <c r="K770" i="1"/>
  <c r="H771" i="1"/>
  <c r="I771" i="1"/>
  <c r="L771" i="1" s="1"/>
  <c r="J771" i="1"/>
  <c r="K771" i="1"/>
  <c r="H772" i="1"/>
  <c r="I772" i="1"/>
  <c r="L772" i="1" s="1"/>
  <c r="J772" i="1"/>
  <c r="K772" i="1"/>
  <c r="H773" i="1"/>
  <c r="I773" i="1"/>
  <c r="L773" i="1" s="1"/>
  <c r="J773" i="1"/>
  <c r="K773" i="1"/>
  <c r="H774" i="1"/>
  <c r="I774" i="1"/>
  <c r="L774" i="1" s="1"/>
  <c r="J774" i="1"/>
  <c r="K774" i="1"/>
  <c r="H775" i="1"/>
  <c r="I775" i="1"/>
  <c r="L775" i="1" s="1"/>
  <c r="J775" i="1"/>
  <c r="K775" i="1"/>
  <c r="H776" i="1"/>
  <c r="I776" i="1"/>
  <c r="L776" i="1" s="1"/>
  <c r="J776" i="1"/>
  <c r="K776" i="1"/>
  <c r="H777" i="1"/>
  <c r="I777" i="1"/>
  <c r="L777" i="1" s="1"/>
  <c r="J777" i="1"/>
  <c r="K777" i="1"/>
  <c r="H778" i="1"/>
  <c r="I778" i="1"/>
  <c r="L778" i="1" s="1"/>
  <c r="J778" i="1"/>
  <c r="K778" i="1"/>
  <c r="H779" i="1"/>
  <c r="I779" i="1"/>
  <c r="L779" i="1" s="1"/>
  <c r="J779" i="1"/>
  <c r="K779" i="1"/>
  <c r="H780" i="1"/>
  <c r="I780" i="1"/>
  <c r="L780" i="1" s="1"/>
  <c r="J780" i="1"/>
  <c r="K780" i="1"/>
  <c r="H781" i="1"/>
  <c r="I781" i="1"/>
  <c r="L781" i="1" s="1"/>
  <c r="J781" i="1"/>
  <c r="K781" i="1"/>
  <c r="H782" i="1"/>
  <c r="I782" i="1"/>
  <c r="L782" i="1" s="1"/>
  <c r="J782" i="1"/>
  <c r="K782" i="1"/>
  <c r="H783" i="1"/>
  <c r="I783" i="1"/>
  <c r="L783" i="1" s="1"/>
  <c r="J783" i="1"/>
  <c r="K783" i="1"/>
  <c r="H784" i="1"/>
  <c r="I784" i="1"/>
  <c r="L784" i="1" s="1"/>
  <c r="J784" i="1"/>
  <c r="K784" i="1"/>
  <c r="H785" i="1"/>
  <c r="I785" i="1"/>
  <c r="L785" i="1" s="1"/>
  <c r="J785" i="1"/>
  <c r="K785" i="1"/>
  <c r="H786" i="1"/>
  <c r="I786" i="1"/>
  <c r="L786" i="1" s="1"/>
  <c r="J786" i="1"/>
  <c r="K786" i="1"/>
  <c r="H787" i="1"/>
  <c r="I787" i="1"/>
  <c r="L787" i="1" s="1"/>
  <c r="J787" i="1"/>
  <c r="K787" i="1"/>
  <c r="H788" i="1"/>
  <c r="I788" i="1"/>
  <c r="L788" i="1" s="1"/>
  <c r="J788" i="1"/>
  <c r="K788" i="1"/>
  <c r="H789" i="1"/>
  <c r="I789" i="1"/>
  <c r="L789" i="1" s="1"/>
  <c r="J789" i="1"/>
  <c r="K789" i="1"/>
  <c r="H790" i="1"/>
  <c r="I790" i="1"/>
  <c r="L790" i="1" s="1"/>
  <c r="J790" i="1"/>
  <c r="K790" i="1"/>
  <c r="H791" i="1"/>
  <c r="I791" i="1"/>
  <c r="L791" i="1" s="1"/>
  <c r="J791" i="1"/>
  <c r="K791" i="1"/>
  <c r="H792" i="1"/>
  <c r="I792" i="1"/>
  <c r="L792" i="1" s="1"/>
  <c r="J792" i="1"/>
  <c r="K792" i="1"/>
  <c r="H793" i="1"/>
  <c r="I793" i="1"/>
  <c r="L793" i="1" s="1"/>
  <c r="J793" i="1"/>
  <c r="K793" i="1"/>
  <c r="H794" i="1"/>
  <c r="I794" i="1"/>
  <c r="L794" i="1" s="1"/>
  <c r="J794" i="1"/>
  <c r="K794" i="1"/>
  <c r="H795" i="1"/>
  <c r="I795" i="1"/>
  <c r="L795" i="1" s="1"/>
  <c r="J795" i="1"/>
  <c r="K795" i="1"/>
  <c r="H796" i="1"/>
  <c r="I796" i="1"/>
  <c r="L796" i="1" s="1"/>
  <c r="J796" i="1"/>
  <c r="K796" i="1"/>
  <c r="H797" i="1"/>
  <c r="I797" i="1"/>
  <c r="L797" i="1" s="1"/>
  <c r="J797" i="1"/>
  <c r="K797" i="1"/>
  <c r="H798" i="1"/>
  <c r="I798" i="1"/>
  <c r="L798" i="1" s="1"/>
  <c r="J798" i="1"/>
  <c r="K798" i="1"/>
  <c r="H799" i="1"/>
  <c r="I799" i="1"/>
  <c r="L799" i="1" s="1"/>
  <c r="J799" i="1"/>
  <c r="K799" i="1"/>
  <c r="H800" i="1"/>
  <c r="I800" i="1"/>
  <c r="L800" i="1" s="1"/>
  <c r="J800" i="1"/>
  <c r="K800" i="1"/>
  <c r="H801" i="1"/>
  <c r="I801" i="1"/>
  <c r="L801" i="1" s="1"/>
  <c r="J801" i="1"/>
  <c r="K801" i="1"/>
  <c r="H802" i="1"/>
  <c r="I802" i="1"/>
  <c r="L802" i="1" s="1"/>
  <c r="J802" i="1"/>
  <c r="K802" i="1"/>
  <c r="H803" i="1"/>
  <c r="I803" i="1"/>
  <c r="L803" i="1" s="1"/>
  <c r="J803" i="1"/>
  <c r="K803" i="1"/>
  <c r="H804" i="1"/>
  <c r="I804" i="1"/>
  <c r="L804" i="1" s="1"/>
  <c r="J804" i="1"/>
  <c r="K804" i="1"/>
  <c r="H805" i="1"/>
  <c r="I805" i="1"/>
  <c r="L805" i="1" s="1"/>
  <c r="J805" i="1"/>
  <c r="K805" i="1"/>
  <c r="H806" i="1"/>
  <c r="I806" i="1"/>
  <c r="L806" i="1" s="1"/>
  <c r="J806" i="1"/>
  <c r="K806" i="1"/>
  <c r="H807" i="1"/>
  <c r="I807" i="1"/>
  <c r="L807" i="1" s="1"/>
  <c r="J807" i="1"/>
  <c r="K807" i="1"/>
  <c r="H808" i="1"/>
  <c r="I808" i="1"/>
  <c r="L808" i="1" s="1"/>
  <c r="J808" i="1"/>
  <c r="K808" i="1"/>
  <c r="H809" i="1"/>
  <c r="I809" i="1"/>
  <c r="L809" i="1" s="1"/>
  <c r="J809" i="1"/>
  <c r="K809" i="1"/>
  <c r="H810" i="1"/>
  <c r="I810" i="1"/>
  <c r="L810" i="1" s="1"/>
  <c r="J810" i="1"/>
  <c r="K810" i="1"/>
  <c r="H811" i="1"/>
  <c r="I811" i="1"/>
  <c r="L811" i="1" s="1"/>
  <c r="J811" i="1"/>
  <c r="K811" i="1"/>
  <c r="H812" i="1"/>
  <c r="I812" i="1"/>
  <c r="L812" i="1" s="1"/>
  <c r="J812" i="1"/>
  <c r="K812" i="1"/>
  <c r="H813" i="1"/>
  <c r="I813" i="1"/>
  <c r="L813" i="1" s="1"/>
  <c r="J813" i="1"/>
  <c r="K813" i="1"/>
  <c r="H814" i="1"/>
  <c r="I814" i="1"/>
  <c r="L814" i="1" s="1"/>
  <c r="J814" i="1"/>
  <c r="K814" i="1"/>
  <c r="H815" i="1"/>
  <c r="I815" i="1"/>
  <c r="L815" i="1" s="1"/>
  <c r="J815" i="1"/>
  <c r="K815" i="1"/>
  <c r="H816" i="1"/>
  <c r="I816" i="1"/>
  <c r="L816" i="1" s="1"/>
  <c r="J816" i="1"/>
  <c r="K816" i="1"/>
  <c r="H817" i="1"/>
  <c r="I817" i="1"/>
  <c r="L817" i="1" s="1"/>
  <c r="J817" i="1"/>
  <c r="K817" i="1"/>
  <c r="H818" i="1"/>
  <c r="I818" i="1"/>
  <c r="L818" i="1" s="1"/>
  <c r="J818" i="1"/>
  <c r="K818" i="1"/>
  <c r="H819" i="1"/>
  <c r="I819" i="1"/>
  <c r="L819" i="1" s="1"/>
  <c r="J819" i="1"/>
  <c r="K819" i="1"/>
  <c r="H820" i="1"/>
  <c r="I820" i="1"/>
  <c r="L820" i="1" s="1"/>
  <c r="J820" i="1"/>
  <c r="K820" i="1"/>
  <c r="H821" i="1"/>
  <c r="I821" i="1"/>
  <c r="L821" i="1" s="1"/>
  <c r="J821" i="1"/>
  <c r="K821" i="1"/>
  <c r="H822" i="1"/>
  <c r="I822" i="1"/>
  <c r="L822" i="1" s="1"/>
  <c r="J822" i="1"/>
  <c r="K822" i="1"/>
  <c r="H823" i="1"/>
  <c r="I823" i="1"/>
  <c r="L823" i="1" s="1"/>
  <c r="J823" i="1"/>
  <c r="K823" i="1"/>
  <c r="H824" i="1"/>
  <c r="I824" i="1"/>
  <c r="L824" i="1" s="1"/>
  <c r="J824" i="1"/>
  <c r="K824" i="1"/>
  <c r="H825" i="1"/>
  <c r="I825" i="1"/>
  <c r="L825" i="1" s="1"/>
  <c r="J825" i="1"/>
  <c r="K825" i="1"/>
  <c r="H826" i="1"/>
  <c r="I826" i="1"/>
  <c r="L826" i="1" s="1"/>
  <c r="J826" i="1"/>
  <c r="K826" i="1"/>
  <c r="H827" i="1"/>
  <c r="I827" i="1"/>
  <c r="L827" i="1" s="1"/>
  <c r="J827" i="1"/>
  <c r="K827" i="1"/>
  <c r="H828" i="1"/>
  <c r="I828" i="1"/>
  <c r="L828" i="1" s="1"/>
  <c r="J828" i="1"/>
  <c r="K828" i="1"/>
  <c r="H829" i="1"/>
  <c r="I829" i="1"/>
  <c r="L829" i="1" s="1"/>
  <c r="J829" i="1"/>
  <c r="K829" i="1"/>
  <c r="H830" i="1"/>
  <c r="I830" i="1"/>
  <c r="L830" i="1" s="1"/>
  <c r="J830" i="1"/>
  <c r="K830" i="1"/>
  <c r="H831" i="1"/>
  <c r="I831" i="1"/>
  <c r="L831" i="1" s="1"/>
  <c r="J831" i="1"/>
  <c r="K831" i="1"/>
  <c r="H832" i="1"/>
  <c r="I832" i="1"/>
  <c r="L832" i="1" s="1"/>
  <c r="J832" i="1"/>
  <c r="K832" i="1"/>
  <c r="H833" i="1"/>
  <c r="I833" i="1"/>
  <c r="L833" i="1" s="1"/>
  <c r="J833" i="1"/>
  <c r="K833" i="1"/>
  <c r="H834" i="1"/>
  <c r="I834" i="1"/>
  <c r="L834" i="1" s="1"/>
  <c r="J834" i="1"/>
  <c r="K834" i="1"/>
  <c r="H835" i="1"/>
  <c r="I835" i="1"/>
  <c r="L835" i="1" s="1"/>
  <c r="J835" i="1"/>
  <c r="K835" i="1"/>
  <c r="H836" i="1"/>
  <c r="I836" i="1"/>
  <c r="L836" i="1" s="1"/>
  <c r="J836" i="1"/>
  <c r="K836" i="1"/>
  <c r="H837" i="1"/>
  <c r="I837" i="1"/>
  <c r="L837" i="1" s="1"/>
  <c r="J837" i="1"/>
  <c r="K837" i="1"/>
  <c r="H838" i="1"/>
  <c r="I838" i="1"/>
  <c r="L838" i="1" s="1"/>
  <c r="J838" i="1"/>
  <c r="K838" i="1"/>
  <c r="H839" i="1"/>
  <c r="I839" i="1"/>
  <c r="L839" i="1" s="1"/>
  <c r="J839" i="1"/>
  <c r="K839" i="1"/>
  <c r="H840" i="1"/>
  <c r="I840" i="1"/>
  <c r="L840" i="1" s="1"/>
  <c r="J840" i="1"/>
  <c r="K840" i="1"/>
  <c r="H841" i="1"/>
  <c r="I841" i="1"/>
  <c r="L841" i="1" s="1"/>
  <c r="J841" i="1"/>
  <c r="K841" i="1"/>
  <c r="H842" i="1"/>
  <c r="I842" i="1"/>
  <c r="L842" i="1" s="1"/>
  <c r="J842" i="1"/>
  <c r="K842" i="1"/>
  <c r="H843" i="1"/>
  <c r="I843" i="1"/>
  <c r="L843" i="1" s="1"/>
  <c r="J843" i="1"/>
  <c r="K843" i="1"/>
  <c r="H844" i="1"/>
  <c r="I844" i="1"/>
  <c r="L844" i="1" s="1"/>
  <c r="J844" i="1"/>
  <c r="K844" i="1"/>
  <c r="H845" i="1"/>
  <c r="I845" i="1"/>
  <c r="L845" i="1" s="1"/>
  <c r="J845" i="1"/>
  <c r="K845" i="1"/>
  <c r="H846" i="1"/>
  <c r="I846" i="1"/>
  <c r="L846" i="1" s="1"/>
  <c r="J846" i="1"/>
  <c r="K846" i="1"/>
  <c r="H847" i="1"/>
  <c r="I847" i="1"/>
  <c r="L847" i="1" s="1"/>
  <c r="J847" i="1"/>
  <c r="K847" i="1"/>
  <c r="H848" i="1"/>
  <c r="I848" i="1"/>
  <c r="L848" i="1" s="1"/>
  <c r="J848" i="1"/>
  <c r="K848" i="1"/>
  <c r="H849" i="1"/>
  <c r="I849" i="1"/>
  <c r="L849" i="1" s="1"/>
  <c r="J849" i="1"/>
  <c r="K849" i="1"/>
  <c r="H850" i="1"/>
  <c r="I850" i="1"/>
  <c r="L850" i="1" s="1"/>
  <c r="J850" i="1"/>
  <c r="K850" i="1"/>
  <c r="H851" i="1"/>
  <c r="I851" i="1"/>
  <c r="L851" i="1" s="1"/>
  <c r="J851" i="1"/>
  <c r="K851" i="1"/>
  <c r="H852" i="1"/>
  <c r="I852" i="1"/>
  <c r="L852" i="1" s="1"/>
  <c r="J852" i="1"/>
  <c r="K852" i="1"/>
  <c r="H853" i="1"/>
  <c r="I853" i="1"/>
  <c r="L853" i="1" s="1"/>
  <c r="J853" i="1"/>
  <c r="K853" i="1"/>
  <c r="H854" i="1"/>
  <c r="I854" i="1"/>
  <c r="L854" i="1" s="1"/>
  <c r="J854" i="1"/>
  <c r="K854" i="1"/>
  <c r="H855" i="1"/>
  <c r="I855" i="1"/>
  <c r="L855" i="1" s="1"/>
  <c r="J855" i="1"/>
  <c r="K855" i="1"/>
  <c r="H856" i="1"/>
  <c r="I856" i="1"/>
  <c r="L856" i="1" s="1"/>
  <c r="J856" i="1"/>
  <c r="K856" i="1"/>
  <c r="H857" i="1"/>
  <c r="I857" i="1"/>
  <c r="L857" i="1" s="1"/>
  <c r="J857" i="1"/>
  <c r="K857" i="1"/>
  <c r="H858" i="1"/>
  <c r="I858" i="1"/>
  <c r="L858" i="1" s="1"/>
  <c r="J858" i="1"/>
  <c r="K858" i="1"/>
  <c r="H859" i="1"/>
  <c r="I859" i="1"/>
  <c r="L859" i="1" s="1"/>
  <c r="J859" i="1"/>
  <c r="K859" i="1"/>
  <c r="H860" i="1"/>
  <c r="I860" i="1"/>
  <c r="L860" i="1" s="1"/>
  <c r="J860" i="1"/>
  <c r="K860" i="1"/>
  <c r="H861" i="1"/>
  <c r="I861" i="1"/>
  <c r="L861" i="1" s="1"/>
  <c r="J861" i="1"/>
  <c r="K861" i="1"/>
  <c r="H862" i="1"/>
  <c r="I862" i="1"/>
  <c r="L862" i="1" s="1"/>
  <c r="J862" i="1"/>
  <c r="K862" i="1"/>
  <c r="H863" i="1"/>
  <c r="I863" i="1"/>
  <c r="L863" i="1" s="1"/>
  <c r="J863" i="1"/>
  <c r="K863" i="1"/>
  <c r="H864" i="1"/>
  <c r="I864" i="1"/>
  <c r="L864" i="1" s="1"/>
  <c r="J864" i="1"/>
  <c r="K864" i="1"/>
  <c r="H865" i="1"/>
  <c r="I865" i="1"/>
  <c r="L865" i="1" s="1"/>
  <c r="J865" i="1"/>
  <c r="K865" i="1"/>
  <c r="H866" i="1"/>
  <c r="I866" i="1"/>
  <c r="L866" i="1" s="1"/>
  <c r="J866" i="1"/>
  <c r="K866" i="1"/>
  <c r="H867" i="1"/>
  <c r="I867" i="1"/>
  <c r="L867" i="1" s="1"/>
  <c r="J867" i="1"/>
  <c r="K867" i="1"/>
  <c r="H868" i="1"/>
  <c r="I868" i="1"/>
  <c r="L868" i="1" s="1"/>
  <c r="J868" i="1"/>
  <c r="K868" i="1"/>
  <c r="H869" i="1"/>
  <c r="I869" i="1"/>
  <c r="L869" i="1" s="1"/>
  <c r="J869" i="1"/>
  <c r="K869" i="1"/>
  <c r="H870" i="1"/>
  <c r="I870" i="1"/>
  <c r="L870" i="1" s="1"/>
  <c r="J870" i="1"/>
  <c r="K870" i="1"/>
  <c r="H871" i="1"/>
  <c r="I871" i="1"/>
  <c r="L871" i="1" s="1"/>
  <c r="J871" i="1"/>
  <c r="K871" i="1"/>
  <c r="H872" i="1"/>
  <c r="I872" i="1"/>
  <c r="L872" i="1" s="1"/>
  <c r="J872" i="1"/>
  <c r="K872" i="1"/>
  <c r="H873" i="1"/>
  <c r="I873" i="1"/>
  <c r="L873" i="1" s="1"/>
  <c r="J873" i="1"/>
  <c r="K873" i="1"/>
  <c r="H874" i="1"/>
  <c r="I874" i="1"/>
  <c r="L874" i="1" s="1"/>
  <c r="J874" i="1"/>
  <c r="K874" i="1"/>
  <c r="H875" i="1"/>
  <c r="I875" i="1"/>
  <c r="L875" i="1" s="1"/>
  <c r="J875" i="1"/>
  <c r="K875" i="1"/>
  <c r="H876" i="1"/>
  <c r="I876" i="1"/>
  <c r="L876" i="1" s="1"/>
  <c r="J876" i="1"/>
  <c r="K876" i="1"/>
  <c r="H877" i="1"/>
  <c r="I877" i="1"/>
  <c r="L877" i="1" s="1"/>
  <c r="J877" i="1"/>
  <c r="K877" i="1"/>
  <c r="H878" i="1"/>
  <c r="I878" i="1"/>
  <c r="L878" i="1" s="1"/>
  <c r="J878" i="1"/>
  <c r="K878" i="1"/>
  <c r="H879" i="1"/>
  <c r="I879" i="1"/>
  <c r="L879" i="1" s="1"/>
  <c r="J879" i="1"/>
  <c r="K879" i="1"/>
  <c r="H880" i="1"/>
  <c r="I880" i="1"/>
  <c r="L880" i="1" s="1"/>
  <c r="J880" i="1"/>
  <c r="K880" i="1"/>
  <c r="H881" i="1"/>
  <c r="I881" i="1"/>
  <c r="L881" i="1" s="1"/>
  <c r="J881" i="1"/>
  <c r="K881" i="1"/>
  <c r="H882" i="1"/>
  <c r="I882" i="1"/>
  <c r="L882" i="1" s="1"/>
  <c r="J882" i="1"/>
  <c r="K882" i="1"/>
  <c r="H883" i="1"/>
  <c r="I883" i="1"/>
  <c r="L883" i="1" s="1"/>
  <c r="J883" i="1"/>
  <c r="K883" i="1"/>
  <c r="H884" i="1"/>
  <c r="I884" i="1"/>
  <c r="L884" i="1" s="1"/>
  <c r="J884" i="1"/>
  <c r="K884" i="1"/>
  <c r="H885" i="1"/>
  <c r="I885" i="1"/>
  <c r="L885" i="1" s="1"/>
  <c r="J885" i="1"/>
  <c r="K885" i="1"/>
  <c r="H886" i="1"/>
  <c r="I886" i="1"/>
  <c r="L886" i="1" s="1"/>
  <c r="J886" i="1"/>
  <c r="K886" i="1"/>
  <c r="H887" i="1"/>
  <c r="I887" i="1"/>
  <c r="L887" i="1" s="1"/>
  <c r="J887" i="1"/>
  <c r="K887" i="1"/>
  <c r="H888" i="1"/>
  <c r="I888" i="1"/>
  <c r="L888" i="1" s="1"/>
  <c r="J888" i="1"/>
  <c r="K888" i="1"/>
  <c r="H889" i="1"/>
  <c r="I889" i="1"/>
  <c r="L889" i="1" s="1"/>
  <c r="J889" i="1"/>
  <c r="K889" i="1"/>
  <c r="H890" i="1"/>
  <c r="I890" i="1"/>
  <c r="L890" i="1" s="1"/>
  <c r="J890" i="1"/>
  <c r="K890" i="1"/>
  <c r="H891" i="1"/>
  <c r="I891" i="1"/>
  <c r="L891" i="1" s="1"/>
  <c r="J891" i="1"/>
  <c r="K891" i="1"/>
  <c r="H892" i="1"/>
  <c r="I892" i="1"/>
  <c r="L892" i="1" s="1"/>
  <c r="J892" i="1"/>
  <c r="K892" i="1"/>
  <c r="H893" i="1"/>
  <c r="I893" i="1"/>
  <c r="L893" i="1" s="1"/>
  <c r="J893" i="1"/>
  <c r="K893" i="1"/>
  <c r="H894" i="1"/>
  <c r="I894" i="1"/>
  <c r="L894" i="1" s="1"/>
  <c r="J894" i="1"/>
  <c r="K894" i="1"/>
  <c r="H895" i="1"/>
  <c r="I895" i="1"/>
  <c r="L895" i="1" s="1"/>
  <c r="J895" i="1"/>
  <c r="K895" i="1"/>
  <c r="H896" i="1"/>
  <c r="I896" i="1"/>
  <c r="L896" i="1" s="1"/>
  <c r="J896" i="1"/>
  <c r="K896" i="1"/>
  <c r="H897" i="1"/>
  <c r="I897" i="1"/>
  <c r="L897" i="1" s="1"/>
  <c r="J897" i="1"/>
  <c r="K897" i="1"/>
  <c r="H898" i="1"/>
  <c r="I898" i="1"/>
  <c r="L898" i="1" s="1"/>
  <c r="J898" i="1"/>
  <c r="K898" i="1"/>
  <c r="H899" i="1"/>
  <c r="I899" i="1"/>
  <c r="L899" i="1" s="1"/>
  <c r="J899" i="1"/>
  <c r="K899" i="1"/>
  <c r="H900" i="1"/>
  <c r="I900" i="1"/>
  <c r="L900" i="1" s="1"/>
  <c r="J900" i="1"/>
  <c r="K900" i="1"/>
  <c r="H901" i="1"/>
  <c r="I901" i="1"/>
  <c r="L901" i="1" s="1"/>
  <c r="J901" i="1"/>
  <c r="K901" i="1"/>
  <c r="H902" i="1"/>
  <c r="I902" i="1"/>
  <c r="L902" i="1" s="1"/>
  <c r="J902" i="1"/>
  <c r="K902" i="1"/>
  <c r="H903" i="1"/>
  <c r="I903" i="1"/>
  <c r="L903" i="1" s="1"/>
  <c r="J903" i="1"/>
  <c r="K903" i="1"/>
  <c r="H904" i="1"/>
  <c r="I904" i="1"/>
  <c r="L904" i="1" s="1"/>
  <c r="J904" i="1"/>
  <c r="K904" i="1"/>
  <c r="H905" i="1"/>
  <c r="I905" i="1"/>
  <c r="L905" i="1" s="1"/>
  <c r="J905" i="1"/>
  <c r="K905" i="1"/>
  <c r="H906" i="1"/>
  <c r="I906" i="1"/>
  <c r="L906" i="1" s="1"/>
  <c r="J906" i="1"/>
  <c r="K906" i="1"/>
  <c r="H907" i="1"/>
  <c r="I907" i="1"/>
  <c r="L907" i="1" s="1"/>
  <c r="J907" i="1"/>
  <c r="K907" i="1"/>
  <c r="H908" i="1"/>
  <c r="I908" i="1"/>
  <c r="L908" i="1" s="1"/>
  <c r="J908" i="1"/>
  <c r="K908" i="1"/>
  <c r="H909" i="1"/>
  <c r="I909" i="1"/>
  <c r="L909" i="1" s="1"/>
  <c r="J909" i="1"/>
  <c r="K909" i="1"/>
  <c r="H910" i="1"/>
  <c r="I910" i="1"/>
  <c r="L910" i="1" s="1"/>
  <c r="J910" i="1"/>
  <c r="K910" i="1"/>
  <c r="H911" i="1"/>
  <c r="I911" i="1"/>
  <c r="L911" i="1" s="1"/>
  <c r="J911" i="1"/>
  <c r="K911" i="1"/>
  <c r="H912" i="1"/>
  <c r="I912" i="1"/>
  <c r="L912" i="1" s="1"/>
  <c r="J912" i="1"/>
  <c r="K912" i="1"/>
  <c r="H913" i="1"/>
  <c r="I913" i="1"/>
  <c r="L913" i="1" s="1"/>
  <c r="J913" i="1"/>
  <c r="K913" i="1"/>
  <c r="H914" i="1"/>
  <c r="I914" i="1"/>
  <c r="L914" i="1" s="1"/>
  <c r="J914" i="1"/>
  <c r="K914" i="1"/>
  <c r="H915" i="1"/>
  <c r="I915" i="1"/>
  <c r="L915" i="1" s="1"/>
  <c r="J915" i="1"/>
  <c r="K915" i="1"/>
  <c r="H916" i="1"/>
  <c r="I916" i="1"/>
  <c r="L916" i="1" s="1"/>
  <c r="J916" i="1"/>
  <c r="K916" i="1"/>
  <c r="H917" i="1"/>
  <c r="I917" i="1"/>
  <c r="L917" i="1" s="1"/>
  <c r="J917" i="1"/>
  <c r="K917" i="1"/>
  <c r="H918" i="1"/>
  <c r="I918" i="1"/>
  <c r="L918" i="1" s="1"/>
  <c r="J918" i="1"/>
  <c r="K918" i="1"/>
  <c r="H919" i="1"/>
  <c r="I919" i="1"/>
  <c r="L919" i="1" s="1"/>
  <c r="J919" i="1"/>
  <c r="K919" i="1"/>
  <c r="H920" i="1"/>
  <c r="I920" i="1"/>
  <c r="L920" i="1" s="1"/>
  <c r="J920" i="1"/>
  <c r="K920" i="1"/>
  <c r="H921" i="1"/>
  <c r="I921" i="1"/>
  <c r="L921" i="1" s="1"/>
  <c r="J921" i="1"/>
  <c r="K921" i="1"/>
  <c r="H922" i="1"/>
  <c r="I922" i="1"/>
  <c r="L922" i="1" s="1"/>
  <c r="J922" i="1"/>
  <c r="K922" i="1"/>
  <c r="H923" i="1"/>
  <c r="I923" i="1"/>
  <c r="L923" i="1" s="1"/>
  <c r="J923" i="1"/>
  <c r="K923" i="1"/>
  <c r="H924" i="1"/>
  <c r="I924" i="1"/>
  <c r="L924" i="1" s="1"/>
  <c r="J924" i="1"/>
  <c r="K924" i="1"/>
  <c r="H925" i="1"/>
  <c r="I925" i="1"/>
  <c r="L925" i="1" s="1"/>
  <c r="J925" i="1"/>
  <c r="K925" i="1"/>
  <c r="H926" i="1"/>
  <c r="I926" i="1"/>
  <c r="L926" i="1" s="1"/>
  <c r="J926" i="1"/>
  <c r="K926" i="1"/>
  <c r="H927" i="1"/>
  <c r="I927" i="1"/>
  <c r="L927" i="1" s="1"/>
  <c r="J927" i="1"/>
  <c r="K927" i="1"/>
  <c r="H928" i="1"/>
  <c r="I928" i="1"/>
  <c r="L928" i="1" s="1"/>
  <c r="J928" i="1"/>
  <c r="K928" i="1"/>
  <c r="H929" i="1"/>
  <c r="I929" i="1"/>
  <c r="L929" i="1" s="1"/>
  <c r="J929" i="1"/>
  <c r="K929" i="1"/>
  <c r="H930" i="1"/>
  <c r="I930" i="1"/>
  <c r="L930" i="1" s="1"/>
  <c r="J930" i="1"/>
  <c r="K930" i="1"/>
  <c r="H931" i="1"/>
  <c r="I931" i="1"/>
  <c r="L931" i="1" s="1"/>
  <c r="J931" i="1"/>
  <c r="K931" i="1"/>
  <c r="H932" i="1"/>
  <c r="I932" i="1"/>
  <c r="L932" i="1" s="1"/>
  <c r="J932" i="1"/>
  <c r="K932" i="1"/>
  <c r="H933" i="1"/>
  <c r="I933" i="1"/>
  <c r="L933" i="1" s="1"/>
  <c r="J933" i="1"/>
  <c r="K933" i="1"/>
  <c r="H934" i="1"/>
  <c r="I934" i="1"/>
  <c r="L934" i="1" s="1"/>
  <c r="J934" i="1"/>
  <c r="K934" i="1"/>
  <c r="H935" i="1"/>
  <c r="I935" i="1"/>
  <c r="L935" i="1" s="1"/>
  <c r="J935" i="1"/>
  <c r="K935" i="1"/>
  <c r="H936" i="1"/>
  <c r="I936" i="1"/>
  <c r="L936" i="1" s="1"/>
  <c r="J936" i="1"/>
  <c r="K936" i="1"/>
  <c r="H937" i="1"/>
  <c r="I937" i="1"/>
  <c r="L937" i="1" s="1"/>
  <c r="J937" i="1"/>
  <c r="K937" i="1"/>
  <c r="H938" i="1"/>
  <c r="I938" i="1"/>
  <c r="L938" i="1" s="1"/>
  <c r="J938" i="1"/>
  <c r="K938" i="1"/>
  <c r="H939" i="1"/>
  <c r="I939" i="1"/>
  <c r="L939" i="1" s="1"/>
  <c r="J939" i="1"/>
  <c r="K939" i="1"/>
  <c r="H940" i="1"/>
  <c r="I940" i="1"/>
  <c r="L940" i="1" s="1"/>
  <c r="J940" i="1"/>
  <c r="K940" i="1"/>
  <c r="H941" i="1"/>
  <c r="I941" i="1"/>
  <c r="L941" i="1" s="1"/>
  <c r="J941" i="1"/>
  <c r="K941" i="1"/>
  <c r="H942" i="1"/>
  <c r="I942" i="1"/>
  <c r="L942" i="1" s="1"/>
  <c r="J942" i="1"/>
  <c r="K942" i="1"/>
  <c r="H943" i="1"/>
  <c r="I943" i="1"/>
  <c r="L943" i="1" s="1"/>
  <c r="J943" i="1"/>
  <c r="K943" i="1"/>
  <c r="H944" i="1"/>
  <c r="I944" i="1"/>
  <c r="L944" i="1" s="1"/>
  <c r="J944" i="1"/>
  <c r="K944" i="1"/>
  <c r="H945" i="1"/>
  <c r="I945" i="1"/>
  <c r="L945" i="1" s="1"/>
  <c r="J945" i="1"/>
  <c r="K945" i="1"/>
  <c r="H946" i="1"/>
  <c r="I946" i="1"/>
  <c r="L946" i="1" s="1"/>
  <c r="J946" i="1"/>
  <c r="K946" i="1"/>
  <c r="H947" i="1"/>
  <c r="I947" i="1"/>
  <c r="L947" i="1" s="1"/>
  <c r="J947" i="1"/>
  <c r="K947" i="1"/>
  <c r="H948" i="1"/>
  <c r="I948" i="1"/>
  <c r="L948" i="1" s="1"/>
  <c r="J948" i="1"/>
  <c r="K948" i="1"/>
  <c r="H949" i="1"/>
  <c r="I949" i="1"/>
  <c r="L949" i="1" s="1"/>
  <c r="J949" i="1"/>
  <c r="K949" i="1"/>
  <c r="H950" i="1"/>
  <c r="I950" i="1"/>
  <c r="L950" i="1" s="1"/>
  <c r="J950" i="1"/>
  <c r="K950" i="1"/>
  <c r="H951" i="1"/>
  <c r="I951" i="1"/>
  <c r="L951" i="1" s="1"/>
  <c r="J951" i="1"/>
  <c r="K951" i="1"/>
  <c r="H952" i="1"/>
  <c r="I952" i="1"/>
  <c r="L952" i="1" s="1"/>
  <c r="J952" i="1"/>
  <c r="K952" i="1"/>
  <c r="H953" i="1"/>
  <c r="I953" i="1"/>
  <c r="L953" i="1" s="1"/>
  <c r="J953" i="1"/>
  <c r="K953" i="1"/>
  <c r="H954" i="1"/>
  <c r="I954" i="1"/>
  <c r="L954" i="1" s="1"/>
  <c r="J954" i="1"/>
  <c r="K954" i="1"/>
  <c r="H955" i="1"/>
  <c r="I955" i="1"/>
  <c r="L955" i="1" s="1"/>
  <c r="J955" i="1"/>
  <c r="K955" i="1"/>
  <c r="H956" i="1"/>
  <c r="I956" i="1"/>
  <c r="L956" i="1" s="1"/>
  <c r="J956" i="1"/>
  <c r="K956" i="1"/>
  <c r="H957" i="1"/>
  <c r="I957" i="1"/>
  <c r="L957" i="1" s="1"/>
  <c r="J957" i="1"/>
  <c r="K957" i="1"/>
  <c r="H958" i="1"/>
  <c r="I958" i="1"/>
  <c r="L958" i="1" s="1"/>
  <c r="J958" i="1"/>
  <c r="K958" i="1"/>
  <c r="H959" i="1"/>
  <c r="I959" i="1"/>
  <c r="L959" i="1" s="1"/>
  <c r="J959" i="1"/>
  <c r="K959" i="1"/>
  <c r="H960" i="1"/>
  <c r="I960" i="1"/>
  <c r="L960" i="1" s="1"/>
  <c r="J960" i="1"/>
  <c r="K960" i="1"/>
  <c r="H961" i="1"/>
  <c r="I961" i="1"/>
  <c r="L961" i="1" s="1"/>
  <c r="J961" i="1"/>
  <c r="K961" i="1"/>
  <c r="H962" i="1"/>
  <c r="I962" i="1"/>
  <c r="L962" i="1" s="1"/>
  <c r="J962" i="1"/>
  <c r="K962" i="1"/>
  <c r="H963" i="1"/>
  <c r="I963" i="1"/>
  <c r="L963" i="1" s="1"/>
  <c r="J963" i="1"/>
  <c r="K963" i="1"/>
  <c r="H964" i="1"/>
  <c r="I964" i="1"/>
  <c r="L964" i="1" s="1"/>
  <c r="J964" i="1"/>
  <c r="K964" i="1"/>
  <c r="H965" i="1"/>
  <c r="I965" i="1"/>
  <c r="L965" i="1" s="1"/>
  <c r="J965" i="1"/>
  <c r="K965" i="1"/>
  <c r="H966" i="1"/>
  <c r="I966" i="1"/>
  <c r="L966" i="1" s="1"/>
  <c r="J966" i="1"/>
  <c r="K966" i="1"/>
  <c r="H967" i="1"/>
  <c r="I967" i="1"/>
  <c r="L967" i="1" s="1"/>
  <c r="J967" i="1"/>
  <c r="K967" i="1"/>
  <c r="H968" i="1"/>
  <c r="I968" i="1"/>
  <c r="L968" i="1" s="1"/>
  <c r="J968" i="1"/>
  <c r="K968" i="1"/>
  <c r="H969" i="1"/>
  <c r="I969" i="1"/>
  <c r="L969" i="1" s="1"/>
  <c r="J969" i="1"/>
  <c r="K969" i="1"/>
  <c r="H970" i="1"/>
  <c r="I970" i="1"/>
  <c r="L970" i="1" s="1"/>
  <c r="J970" i="1"/>
  <c r="K970" i="1"/>
  <c r="H971" i="1"/>
  <c r="I971" i="1"/>
  <c r="L971" i="1" s="1"/>
  <c r="J971" i="1"/>
  <c r="K971" i="1"/>
  <c r="H972" i="1"/>
  <c r="I972" i="1"/>
  <c r="L972" i="1" s="1"/>
  <c r="J972" i="1"/>
  <c r="K972" i="1"/>
  <c r="H973" i="1"/>
  <c r="I973" i="1"/>
  <c r="L973" i="1" s="1"/>
  <c r="J973" i="1"/>
  <c r="K973" i="1"/>
  <c r="H974" i="1"/>
  <c r="I974" i="1"/>
  <c r="L974" i="1" s="1"/>
  <c r="J974" i="1"/>
  <c r="K974" i="1"/>
  <c r="H975" i="1"/>
  <c r="I975" i="1"/>
  <c r="L975" i="1" s="1"/>
  <c r="J975" i="1"/>
  <c r="K975" i="1"/>
  <c r="H976" i="1"/>
  <c r="I976" i="1"/>
  <c r="L976" i="1" s="1"/>
  <c r="J976" i="1"/>
  <c r="K976" i="1"/>
  <c r="H977" i="1"/>
  <c r="I977" i="1"/>
  <c r="L977" i="1" s="1"/>
  <c r="J977" i="1"/>
  <c r="K977" i="1"/>
  <c r="H978" i="1"/>
  <c r="I978" i="1"/>
  <c r="L978" i="1" s="1"/>
  <c r="J978" i="1"/>
  <c r="K978" i="1"/>
  <c r="H979" i="1"/>
  <c r="I979" i="1"/>
  <c r="L979" i="1" s="1"/>
  <c r="J979" i="1"/>
  <c r="K979" i="1"/>
  <c r="H980" i="1"/>
  <c r="I980" i="1"/>
  <c r="L980" i="1" s="1"/>
  <c r="J980" i="1"/>
  <c r="K980" i="1"/>
  <c r="H981" i="1"/>
  <c r="I981" i="1"/>
  <c r="L981" i="1" s="1"/>
  <c r="J981" i="1"/>
  <c r="K981" i="1"/>
  <c r="H982" i="1"/>
  <c r="I982" i="1"/>
  <c r="L982" i="1" s="1"/>
  <c r="J982" i="1"/>
  <c r="K982" i="1"/>
  <c r="H983" i="1"/>
  <c r="I983" i="1"/>
  <c r="L983" i="1" s="1"/>
  <c r="J983" i="1"/>
  <c r="K983" i="1"/>
  <c r="H984" i="1"/>
  <c r="I984" i="1"/>
  <c r="L984" i="1" s="1"/>
  <c r="J984" i="1"/>
  <c r="K984" i="1"/>
  <c r="H985" i="1"/>
  <c r="I985" i="1"/>
  <c r="L985" i="1" s="1"/>
  <c r="J985" i="1"/>
  <c r="K985" i="1"/>
  <c r="H986" i="1"/>
  <c r="I986" i="1"/>
  <c r="L986" i="1" s="1"/>
  <c r="J986" i="1"/>
  <c r="K986" i="1"/>
  <c r="H987" i="1"/>
  <c r="I987" i="1"/>
  <c r="L987" i="1" s="1"/>
  <c r="J987" i="1"/>
  <c r="K987" i="1"/>
  <c r="H988" i="1"/>
  <c r="I988" i="1"/>
  <c r="L988" i="1" s="1"/>
  <c r="J988" i="1"/>
  <c r="K988" i="1"/>
  <c r="H989" i="1"/>
  <c r="I989" i="1"/>
  <c r="L989" i="1" s="1"/>
  <c r="J989" i="1"/>
  <c r="K989" i="1"/>
  <c r="H990" i="1"/>
  <c r="I990" i="1"/>
  <c r="L990" i="1" s="1"/>
  <c r="J990" i="1"/>
  <c r="K990" i="1"/>
  <c r="H991" i="1"/>
  <c r="I991" i="1"/>
  <c r="L991" i="1" s="1"/>
  <c r="J991" i="1"/>
  <c r="K991" i="1"/>
  <c r="H992" i="1"/>
  <c r="I992" i="1"/>
  <c r="L992" i="1" s="1"/>
  <c r="J992" i="1"/>
  <c r="K992" i="1"/>
  <c r="H993" i="1"/>
  <c r="I993" i="1"/>
  <c r="L993" i="1" s="1"/>
  <c r="J993" i="1"/>
  <c r="K993" i="1"/>
  <c r="H994" i="1"/>
  <c r="I994" i="1"/>
  <c r="L994" i="1" s="1"/>
  <c r="J994" i="1"/>
  <c r="K994" i="1"/>
  <c r="H995" i="1"/>
  <c r="I995" i="1"/>
  <c r="L995" i="1" s="1"/>
  <c r="J995" i="1"/>
  <c r="K995" i="1"/>
  <c r="H996" i="1"/>
  <c r="I996" i="1"/>
  <c r="L996" i="1" s="1"/>
  <c r="J996" i="1"/>
  <c r="K996" i="1"/>
  <c r="H997" i="1"/>
  <c r="I997" i="1"/>
  <c r="L997" i="1" s="1"/>
  <c r="J997" i="1"/>
  <c r="K997" i="1"/>
  <c r="H998" i="1"/>
  <c r="I998" i="1"/>
  <c r="L998" i="1" s="1"/>
  <c r="J998" i="1"/>
  <c r="K998" i="1"/>
  <c r="H999" i="1"/>
  <c r="I999" i="1"/>
  <c r="L999" i="1" s="1"/>
  <c r="J999" i="1"/>
  <c r="K999" i="1"/>
  <c r="H1000" i="1"/>
  <c r="I1000" i="1"/>
  <c r="L1000" i="1" s="1"/>
  <c r="J1000" i="1"/>
  <c r="K1000" i="1"/>
  <c r="H1001" i="1"/>
  <c r="I1001" i="1"/>
  <c r="L1001" i="1" s="1"/>
  <c r="J1001" i="1"/>
  <c r="K1001" i="1"/>
  <c r="H1002" i="1"/>
  <c r="I1002" i="1"/>
  <c r="L1002" i="1" s="1"/>
  <c r="J1002" i="1"/>
  <c r="K1002" i="1"/>
  <c r="H1003" i="1"/>
  <c r="I1003" i="1"/>
  <c r="L1003" i="1" s="1"/>
  <c r="J1003" i="1"/>
  <c r="K1003" i="1"/>
  <c r="H1004" i="1"/>
  <c r="I1004" i="1"/>
  <c r="L1004" i="1" s="1"/>
  <c r="J1004" i="1"/>
  <c r="K1004" i="1"/>
  <c r="H1005" i="1"/>
  <c r="I1005" i="1"/>
  <c r="L1005" i="1" s="1"/>
  <c r="J1005" i="1"/>
  <c r="K1005" i="1"/>
  <c r="H1006" i="1"/>
  <c r="I1006" i="1"/>
  <c r="L1006" i="1" s="1"/>
  <c r="J1006" i="1"/>
  <c r="K1006" i="1"/>
  <c r="H1007" i="1"/>
  <c r="I1007" i="1"/>
  <c r="L1007" i="1" s="1"/>
  <c r="J1007" i="1"/>
  <c r="K1007" i="1"/>
  <c r="H1008" i="1"/>
  <c r="I1008" i="1"/>
  <c r="L1008" i="1" s="1"/>
  <c r="J1008" i="1"/>
  <c r="K1008" i="1"/>
  <c r="H1009" i="1"/>
  <c r="I1009" i="1"/>
  <c r="L1009" i="1" s="1"/>
  <c r="J1009" i="1"/>
  <c r="K1009" i="1"/>
  <c r="H1010" i="1"/>
  <c r="I1010" i="1"/>
  <c r="L1010" i="1" s="1"/>
  <c r="J1010" i="1"/>
  <c r="K1010" i="1"/>
  <c r="H1011" i="1"/>
  <c r="I1011" i="1"/>
  <c r="L1011" i="1" s="1"/>
  <c r="J1011" i="1"/>
  <c r="K1011" i="1"/>
  <c r="H1012" i="1"/>
  <c r="I1012" i="1"/>
  <c r="L1012" i="1" s="1"/>
  <c r="J1012" i="1"/>
  <c r="K1012" i="1"/>
  <c r="H1013" i="1"/>
  <c r="I1013" i="1"/>
  <c r="L1013" i="1" s="1"/>
  <c r="J1013" i="1"/>
  <c r="K1013" i="1"/>
  <c r="H1014" i="1"/>
  <c r="I1014" i="1"/>
  <c r="L1014" i="1" s="1"/>
  <c r="J1014" i="1"/>
  <c r="K1014" i="1"/>
  <c r="H1015" i="1"/>
  <c r="I1015" i="1"/>
  <c r="L1015" i="1" s="1"/>
  <c r="J1015" i="1"/>
  <c r="K1015" i="1"/>
  <c r="H1016" i="1"/>
  <c r="I1016" i="1"/>
  <c r="L1016" i="1" s="1"/>
  <c r="J1016" i="1"/>
  <c r="K1016" i="1"/>
  <c r="H1017" i="1"/>
  <c r="I1017" i="1"/>
  <c r="L1017" i="1" s="1"/>
  <c r="J1017" i="1"/>
  <c r="K1017" i="1"/>
  <c r="H1018" i="1"/>
  <c r="I1018" i="1"/>
  <c r="L1018" i="1" s="1"/>
  <c r="J1018" i="1"/>
  <c r="K1018" i="1"/>
  <c r="H1019" i="1"/>
  <c r="I1019" i="1"/>
  <c r="L1019" i="1" s="1"/>
  <c r="J1019" i="1"/>
  <c r="K1019" i="1"/>
  <c r="H1020" i="1"/>
  <c r="I1020" i="1"/>
  <c r="L1020" i="1" s="1"/>
  <c r="J1020" i="1"/>
  <c r="K1020" i="1"/>
  <c r="H1021" i="1"/>
  <c r="I1021" i="1"/>
  <c r="L1021" i="1" s="1"/>
  <c r="J1021" i="1"/>
  <c r="K1021" i="1"/>
  <c r="H1022" i="1"/>
  <c r="I1022" i="1"/>
  <c r="L1022" i="1" s="1"/>
  <c r="J1022" i="1"/>
  <c r="K1022" i="1"/>
  <c r="H1023" i="1"/>
  <c r="I1023" i="1"/>
  <c r="L1023" i="1" s="1"/>
  <c r="J1023" i="1"/>
  <c r="K1023" i="1"/>
  <c r="H1024" i="1"/>
  <c r="I1024" i="1"/>
  <c r="L1024" i="1" s="1"/>
  <c r="J1024" i="1"/>
  <c r="K1024" i="1"/>
  <c r="H1025" i="1"/>
  <c r="I1025" i="1"/>
  <c r="L1025" i="1" s="1"/>
  <c r="J1025" i="1"/>
  <c r="K1025" i="1"/>
  <c r="H1026" i="1"/>
  <c r="I1026" i="1"/>
  <c r="L1026" i="1" s="1"/>
  <c r="J1026" i="1"/>
  <c r="K1026" i="1"/>
  <c r="H1027" i="1"/>
  <c r="I1027" i="1"/>
  <c r="L1027" i="1" s="1"/>
  <c r="J1027" i="1"/>
  <c r="K1027" i="1"/>
  <c r="H1028" i="1"/>
  <c r="I1028" i="1"/>
  <c r="L1028" i="1" s="1"/>
  <c r="J1028" i="1"/>
  <c r="K1028" i="1"/>
  <c r="H1029" i="1"/>
  <c r="I1029" i="1"/>
  <c r="L1029" i="1" s="1"/>
  <c r="J1029" i="1"/>
  <c r="K1029" i="1"/>
  <c r="H1030" i="1"/>
  <c r="I1030" i="1"/>
  <c r="L1030" i="1" s="1"/>
  <c r="J1030" i="1"/>
  <c r="K1030" i="1"/>
  <c r="H1031" i="1"/>
  <c r="I1031" i="1"/>
  <c r="L1031" i="1" s="1"/>
  <c r="J1031" i="1"/>
  <c r="K1031" i="1"/>
  <c r="H1032" i="1"/>
  <c r="I1032" i="1"/>
  <c r="L1032" i="1" s="1"/>
  <c r="J1032" i="1"/>
  <c r="K1032" i="1"/>
  <c r="H1033" i="1"/>
  <c r="I1033" i="1"/>
  <c r="L1033" i="1" s="1"/>
  <c r="J1033" i="1"/>
  <c r="K1033" i="1"/>
  <c r="H1034" i="1"/>
  <c r="I1034" i="1"/>
  <c r="L1034" i="1" s="1"/>
  <c r="J1034" i="1"/>
  <c r="K1034" i="1"/>
  <c r="H1035" i="1"/>
  <c r="I1035" i="1"/>
  <c r="L1035" i="1" s="1"/>
  <c r="J1035" i="1"/>
  <c r="K1035" i="1"/>
  <c r="H1036" i="1"/>
  <c r="I1036" i="1"/>
  <c r="L1036" i="1" s="1"/>
  <c r="J1036" i="1"/>
  <c r="K1036" i="1"/>
  <c r="H1037" i="1"/>
  <c r="I1037" i="1"/>
  <c r="L1037" i="1" s="1"/>
  <c r="J1037" i="1"/>
  <c r="K1037" i="1"/>
  <c r="H1038" i="1"/>
  <c r="I1038" i="1"/>
  <c r="L1038" i="1" s="1"/>
  <c r="J1038" i="1"/>
  <c r="K1038" i="1"/>
  <c r="H1039" i="1"/>
  <c r="I1039" i="1"/>
  <c r="L1039" i="1" s="1"/>
  <c r="J1039" i="1"/>
  <c r="K1039" i="1"/>
  <c r="H1040" i="1"/>
  <c r="I1040" i="1"/>
  <c r="L1040" i="1" s="1"/>
  <c r="J1040" i="1"/>
  <c r="K1040" i="1"/>
  <c r="H1041" i="1"/>
  <c r="I1041" i="1"/>
  <c r="L1041" i="1" s="1"/>
  <c r="J1041" i="1"/>
  <c r="K1041" i="1"/>
  <c r="H1042" i="1"/>
  <c r="I1042" i="1"/>
  <c r="L1042" i="1" s="1"/>
  <c r="J1042" i="1"/>
  <c r="K1042" i="1"/>
  <c r="H1043" i="1"/>
  <c r="I1043" i="1"/>
  <c r="L1043" i="1" s="1"/>
  <c r="J1043" i="1"/>
  <c r="K1043" i="1"/>
  <c r="H1044" i="1"/>
  <c r="I1044" i="1"/>
  <c r="L1044" i="1" s="1"/>
  <c r="J1044" i="1"/>
  <c r="K1044" i="1"/>
  <c r="H1045" i="1"/>
  <c r="I1045" i="1"/>
  <c r="L1045" i="1" s="1"/>
  <c r="J1045" i="1"/>
  <c r="K1045" i="1"/>
  <c r="H1046" i="1"/>
  <c r="I1046" i="1"/>
  <c r="L1046" i="1" s="1"/>
  <c r="J1046" i="1"/>
  <c r="K1046" i="1"/>
  <c r="H1047" i="1"/>
  <c r="I1047" i="1"/>
  <c r="L1047" i="1" s="1"/>
  <c r="J1047" i="1"/>
  <c r="K1047" i="1"/>
  <c r="H1048" i="1"/>
  <c r="I1048" i="1"/>
  <c r="L1048" i="1" s="1"/>
  <c r="J1048" i="1"/>
  <c r="K1048" i="1"/>
  <c r="H1049" i="1"/>
  <c r="I1049" i="1"/>
  <c r="L1049" i="1" s="1"/>
  <c r="J1049" i="1"/>
  <c r="K1049" i="1"/>
  <c r="H1050" i="1"/>
  <c r="I1050" i="1"/>
  <c r="L1050" i="1" s="1"/>
  <c r="J1050" i="1"/>
  <c r="K1050" i="1"/>
  <c r="H1051" i="1"/>
  <c r="I1051" i="1"/>
  <c r="L1051" i="1" s="1"/>
  <c r="J1051" i="1"/>
  <c r="K1051" i="1"/>
  <c r="H1052" i="1"/>
  <c r="I1052" i="1"/>
  <c r="L1052" i="1" s="1"/>
  <c r="J1052" i="1"/>
  <c r="K1052" i="1"/>
  <c r="H1053" i="1"/>
  <c r="I1053" i="1"/>
  <c r="L1053" i="1" s="1"/>
  <c r="J1053" i="1"/>
  <c r="K1053" i="1"/>
  <c r="H1054" i="1"/>
  <c r="I1054" i="1"/>
  <c r="L1054" i="1" s="1"/>
  <c r="J1054" i="1"/>
  <c r="K1054" i="1"/>
  <c r="H1055" i="1"/>
  <c r="I1055" i="1"/>
  <c r="L1055" i="1" s="1"/>
  <c r="J1055" i="1"/>
  <c r="K1055" i="1"/>
  <c r="H1056" i="1"/>
  <c r="I1056" i="1"/>
  <c r="L1056" i="1" s="1"/>
  <c r="J1056" i="1"/>
  <c r="K1056" i="1"/>
  <c r="H1057" i="1"/>
  <c r="I1057" i="1"/>
  <c r="L1057" i="1" s="1"/>
  <c r="J1057" i="1"/>
  <c r="K1057" i="1"/>
  <c r="H1058" i="1"/>
  <c r="I1058" i="1"/>
  <c r="L1058" i="1" s="1"/>
  <c r="J1058" i="1"/>
  <c r="K1058" i="1"/>
  <c r="H1059" i="1"/>
  <c r="I1059" i="1"/>
  <c r="L1059" i="1" s="1"/>
  <c r="J1059" i="1"/>
  <c r="K1059" i="1"/>
  <c r="H1060" i="1"/>
  <c r="I1060" i="1"/>
  <c r="L1060" i="1" s="1"/>
  <c r="J1060" i="1"/>
  <c r="K1060" i="1"/>
  <c r="H1061" i="1"/>
  <c r="I1061" i="1"/>
  <c r="L1061" i="1" s="1"/>
  <c r="J1061" i="1"/>
  <c r="K1061" i="1"/>
  <c r="H1062" i="1"/>
  <c r="I1062" i="1"/>
  <c r="L1062" i="1" s="1"/>
  <c r="J1062" i="1"/>
  <c r="K1062" i="1"/>
  <c r="H1063" i="1"/>
  <c r="I1063" i="1"/>
  <c r="L1063" i="1" s="1"/>
  <c r="J1063" i="1"/>
  <c r="K1063" i="1"/>
  <c r="H1064" i="1"/>
  <c r="I1064" i="1"/>
  <c r="L1064" i="1" s="1"/>
  <c r="J1064" i="1"/>
  <c r="K1064" i="1"/>
  <c r="H1065" i="1"/>
  <c r="I1065" i="1"/>
  <c r="L1065" i="1" s="1"/>
  <c r="J1065" i="1"/>
  <c r="K1065" i="1"/>
  <c r="H1066" i="1"/>
  <c r="I1066" i="1"/>
  <c r="L1066" i="1" s="1"/>
  <c r="J1066" i="1"/>
  <c r="K1066" i="1"/>
  <c r="H1067" i="1"/>
  <c r="I1067" i="1"/>
  <c r="L1067" i="1" s="1"/>
  <c r="J1067" i="1"/>
  <c r="K1067" i="1"/>
  <c r="H1068" i="1"/>
  <c r="I1068" i="1"/>
  <c r="L1068" i="1" s="1"/>
  <c r="J1068" i="1"/>
  <c r="K1068" i="1"/>
  <c r="H1069" i="1"/>
  <c r="I1069" i="1"/>
  <c r="L1069" i="1" s="1"/>
  <c r="J1069" i="1"/>
  <c r="K1069" i="1"/>
  <c r="H1070" i="1"/>
  <c r="I1070" i="1"/>
  <c r="L1070" i="1" s="1"/>
  <c r="J1070" i="1"/>
  <c r="K1070" i="1"/>
  <c r="H1071" i="1"/>
  <c r="I1071" i="1"/>
  <c r="L1071" i="1" s="1"/>
  <c r="J1071" i="1"/>
  <c r="K1071" i="1"/>
  <c r="H1072" i="1"/>
  <c r="I1072" i="1"/>
  <c r="L1072" i="1" s="1"/>
  <c r="J1072" i="1"/>
  <c r="K1072" i="1"/>
  <c r="H1073" i="1"/>
  <c r="I1073" i="1"/>
  <c r="L1073" i="1" s="1"/>
  <c r="J1073" i="1"/>
  <c r="K1073" i="1"/>
  <c r="H1074" i="1"/>
  <c r="I1074" i="1"/>
  <c r="L1074" i="1" s="1"/>
  <c r="J1074" i="1"/>
  <c r="K1074" i="1"/>
  <c r="H1075" i="1"/>
  <c r="I1075" i="1"/>
  <c r="L1075" i="1" s="1"/>
  <c r="J1075" i="1"/>
  <c r="K1075" i="1"/>
  <c r="H1076" i="1"/>
  <c r="I1076" i="1"/>
  <c r="L1076" i="1" s="1"/>
  <c r="J1076" i="1"/>
  <c r="K1076" i="1"/>
  <c r="H1077" i="1"/>
  <c r="I1077" i="1"/>
  <c r="L1077" i="1" s="1"/>
  <c r="J1077" i="1"/>
  <c r="K1077" i="1"/>
  <c r="H1078" i="1"/>
  <c r="I1078" i="1"/>
  <c r="L1078" i="1" s="1"/>
  <c r="J1078" i="1"/>
  <c r="K1078" i="1"/>
  <c r="H1079" i="1"/>
  <c r="I1079" i="1"/>
  <c r="L1079" i="1" s="1"/>
  <c r="J1079" i="1"/>
  <c r="K1079" i="1"/>
  <c r="H1080" i="1"/>
  <c r="I1080" i="1"/>
  <c r="L1080" i="1" s="1"/>
  <c r="J1080" i="1"/>
  <c r="K1080" i="1"/>
  <c r="H1081" i="1"/>
  <c r="I1081" i="1"/>
  <c r="L1081" i="1" s="1"/>
  <c r="J1081" i="1"/>
  <c r="K1081" i="1"/>
  <c r="H1082" i="1"/>
  <c r="I1082" i="1"/>
  <c r="L1082" i="1" s="1"/>
  <c r="J1082" i="1"/>
  <c r="K1082" i="1"/>
  <c r="H1083" i="1"/>
  <c r="I1083" i="1"/>
  <c r="L1083" i="1" s="1"/>
  <c r="J1083" i="1"/>
  <c r="K1083" i="1"/>
  <c r="H1084" i="1"/>
  <c r="I1084" i="1"/>
  <c r="L1084" i="1" s="1"/>
  <c r="J1084" i="1"/>
  <c r="K1084" i="1"/>
  <c r="H1085" i="1"/>
  <c r="I1085" i="1"/>
  <c r="L1085" i="1" s="1"/>
  <c r="J1085" i="1"/>
  <c r="K1085" i="1"/>
  <c r="H1086" i="1"/>
  <c r="I1086" i="1"/>
  <c r="L1086" i="1" s="1"/>
  <c r="J1086" i="1"/>
  <c r="K1086" i="1"/>
  <c r="H1087" i="1"/>
  <c r="I1087" i="1"/>
  <c r="L1087" i="1" s="1"/>
  <c r="J1087" i="1"/>
  <c r="K1087" i="1"/>
  <c r="H1088" i="1"/>
  <c r="I1088" i="1"/>
  <c r="L1088" i="1" s="1"/>
  <c r="J1088" i="1"/>
  <c r="K1088" i="1"/>
  <c r="H1089" i="1"/>
  <c r="I1089" i="1"/>
  <c r="L1089" i="1" s="1"/>
  <c r="J1089" i="1"/>
  <c r="K1089" i="1"/>
  <c r="H1090" i="1"/>
  <c r="I1090" i="1"/>
  <c r="L1090" i="1" s="1"/>
  <c r="J1090" i="1"/>
  <c r="K1090" i="1"/>
  <c r="H1091" i="1"/>
  <c r="I1091" i="1"/>
  <c r="L1091" i="1" s="1"/>
  <c r="J1091" i="1"/>
  <c r="K1091" i="1"/>
  <c r="H1092" i="1"/>
  <c r="I1092" i="1"/>
  <c r="L1092" i="1" s="1"/>
  <c r="J1092" i="1"/>
  <c r="K1092" i="1"/>
  <c r="H1093" i="1"/>
  <c r="I1093" i="1"/>
  <c r="L1093" i="1" s="1"/>
  <c r="J1093" i="1"/>
  <c r="K1093" i="1"/>
  <c r="H1094" i="1"/>
  <c r="I1094" i="1"/>
  <c r="L1094" i="1" s="1"/>
  <c r="J1094" i="1"/>
  <c r="K1094" i="1"/>
  <c r="H1095" i="1"/>
  <c r="I1095" i="1"/>
  <c r="L1095" i="1" s="1"/>
  <c r="J1095" i="1"/>
  <c r="K1095" i="1"/>
  <c r="H1096" i="1"/>
  <c r="I1096" i="1"/>
  <c r="L1096" i="1" s="1"/>
  <c r="J1096" i="1"/>
  <c r="K1096" i="1"/>
  <c r="H1097" i="1"/>
  <c r="I1097" i="1"/>
  <c r="L1097" i="1" s="1"/>
  <c r="J1097" i="1"/>
  <c r="K1097" i="1"/>
  <c r="H1098" i="1"/>
  <c r="I1098" i="1"/>
  <c r="L1098" i="1" s="1"/>
  <c r="J1098" i="1"/>
  <c r="K1098" i="1"/>
  <c r="H1099" i="1"/>
  <c r="I1099" i="1"/>
  <c r="L1099" i="1" s="1"/>
  <c r="J1099" i="1"/>
  <c r="K1099" i="1"/>
  <c r="H1100" i="1"/>
  <c r="I1100" i="1"/>
  <c r="L1100" i="1" s="1"/>
  <c r="J1100" i="1"/>
  <c r="K1100" i="1"/>
  <c r="H1101" i="1"/>
  <c r="I1101" i="1"/>
  <c r="L1101" i="1" s="1"/>
  <c r="J1101" i="1"/>
  <c r="K1101" i="1"/>
  <c r="H1102" i="1"/>
  <c r="I1102" i="1"/>
  <c r="L1102" i="1" s="1"/>
  <c r="J1102" i="1"/>
  <c r="K1102" i="1"/>
  <c r="H1103" i="1"/>
  <c r="I1103" i="1"/>
  <c r="L1103" i="1" s="1"/>
  <c r="J1103" i="1"/>
  <c r="K1103" i="1"/>
  <c r="H1104" i="1"/>
  <c r="I1104" i="1"/>
  <c r="L1104" i="1" s="1"/>
  <c r="J1104" i="1"/>
  <c r="K1104" i="1"/>
  <c r="H1105" i="1"/>
  <c r="I1105" i="1"/>
  <c r="L1105" i="1" s="1"/>
  <c r="J1105" i="1"/>
  <c r="K1105" i="1"/>
  <c r="H1106" i="1"/>
  <c r="I1106" i="1"/>
  <c r="L1106" i="1" s="1"/>
  <c r="J1106" i="1"/>
  <c r="K1106" i="1"/>
  <c r="H1107" i="1"/>
  <c r="I1107" i="1"/>
  <c r="L1107" i="1" s="1"/>
  <c r="J1107" i="1"/>
  <c r="K1107" i="1"/>
  <c r="H1108" i="1"/>
  <c r="I1108" i="1"/>
  <c r="L1108" i="1" s="1"/>
  <c r="J1108" i="1"/>
  <c r="K1108" i="1"/>
  <c r="H1109" i="1"/>
  <c r="I1109" i="1"/>
  <c r="L1109" i="1" s="1"/>
  <c r="J1109" i="1"/>
  <c r="K1109" i="1"/>
  <c r="H1110" i="1"/>
  <c r="I1110" i="1"/>
  <c r="L1110" i="1" s="1"/>
  <c r="J1110" i="1"/>
  <c r="K1110" i="1"/>
  <c r="H1111" i="1"/>
  <c r="I1111" i="1"/>
  <c r="L1111" i="1" s="1"/>
  <c r="J1111" i="1"/>
  <c r="K1111" i="1"/>
  <c r="H1112" i="1"/>
  <c r="I1112" i="1"/>
  <c r="L1112" i="1" s="1"/>
  <c r="J1112" i="1"/>
  <c r="K1112" i="1"/>
  <c r="H1113" i="1"/>
  <c r="I1113" i="1"/>
  <c r="L1113" i="1" s="1"/>
  <c r="J1113" i="1"/>
  <c r="K1113" i="1"/>
  <c r="H1114" i="1"/>
  <c r="I1114" i="1"/>
  <c r="L1114" i="1" s="1"/>
  <c r="J1114" i="1"/>
  <c r="K1114" i="1"/>
  <c r="H1115" i="1"/>
  <c r="I1115" i="1"/>
  <c r="L1115" i="1" s="1"/>
  <c r="J1115" i="1"/>
  <c r="K1115" i="1"/>
  <c r="H1116" i="1"/>
  <c r="I1116" i="1"/>
  <c r="L1116" i="1" s="1"/>
  <c r="J1116" i="1"/>
  <c r="K1116" i="1"/>
  <c r="H1117" i="1"/>
  <c r="I1117" i="1"/>
  <c r="L1117" i="1" s="1"/>
  <c r="J1117" i="1"/>
  <c r="K1117" i="1"/>
  <c r="H1118" i="1"/>
  <c r="I1118" i="1"/>
  <c r="L1118" i="1" s="1"/>
  <c r="J1118" i="1"/>
  <c r="K1118" i="1"/>
  <c r="H1119" i="1"/>
  <c r="I1119" i="1"/>
  <c r="L1119" i="1" s="1"/>
  <c r="J1119" i="1"/>
  <c r="K1119" i="1"/>
  <c r="H1120" i="1"/>
  <c r="I1120" i="1"/>
  <c r="L1120" i="1" s="1"/>
  <c r="J1120" i="1"/>
  <c r="K1120" i="1"/>
  <c r="H1121" i="1"/>
  <c r="I1121" i="1"/>
  <c r="L1121" i="1" s="1"/>
  <c r="J1121" i="1"/>
  <c r="K1121" i="1"/>
  <c r="H1122" i="1"/>
  <c r="I1122" i="1"/>
  <c r="L1122" i="1" s="1"/>
  <c r="J1122" i="1"/>
  <c r="K1122" i="1"/>
  <c r="H1123" i="1"/>
  <c r="I1123" i="1"/>
  <c r="L1123" i="1" s="1"/>
  <c r="J1123" i="1"/>
  <c r="K1123" i="1"/>
  <c r="H1124" i="1"/>
  <c r="I1124" i="1"/>
  <c r="L1124" i="1" s="1"/>
  <c r="J1124" i="1"/>
  <c r="K1124" i="1"/>
  <c r="H1125" i="1"/>
  <c r="I1125" i="1"/>
  <c r="L1125" i="1" s="1"/>
  <c r="J1125" i="1"/>
  <c r="K1125" i="1"/>
  <c r="H1126" i="1"/>
  <c r="I1126" i="1"/>
  <c r="L1126" i="1" s="1"/>
  <c r="J1126" i="1"/>
  <c r="K1126" i="1"/>
  <c r="H1127" i="1"/>
  <c r="I1127" i="1"/>
  <c r="L1127" i="1" s="1"/>
  <c r="J1127" i="1"/>
  <c r="K1127" i="1"/>
  <c r="H1128" i="1"/>
  <c r="I1128" i="1"/>
  <c r="L1128" i="1" s="1"/>
  <c r="J1128" i="1"/>
  <c r="K1128" i="1"/>
  <c r="H1129" i="1"/>
  <c r="I1129" i="1"/>
  <c r="L1129" i="1" s="1"/>
  <c r="J1129" i="1"/>
  <c r="K1129" i="1"/>
  <c r="H1130" i="1"/>
  <c r="I1130" i="1"/>
  <c r="L1130" i="1" s="1"/>
  <c r="J1130" i="1"/>
  <c r="K1130" i="1"/>
  <c r="H1131" i="1"/>
  <c r="I1131" i="1"/>
  <c r="L1131" i="1" s="1"/>
  <c r="J1131" i="1"/>
  <c r="K1131" i="1"/>
  <c r="H1132" i="1"/>
  <c r="I1132" i="1"/>
  <c r="L1132" i="1" s="1"/>
  <c r="J1132" i="1"/>
  <c r="K1132" i="1"/>
  <c r="H1133" i="1"/>
  <c r="I1133" i="1"/>
  <c r="L1133" i="1" s="1"/>
  <c r="J1133" i="1"/>
  <c r="K1133" i="1"/>
  <c r="H1134" i="1"/>
  <c r="I1134" i="1"/>
  <c r="L1134" i="1" s="1"/>
  <c r="J1134" i="1"/>
  <c r="K1134" i="1"/>
  <c r="H1135" i="1"/>
  <c r="I1135" i="1"/>
  <c r="L1135" i="1" s="1"/>
  <c r="J1135" i="1"/>
  <c r="K1135" i="1"/>
  <c r="H1136" i="1"/>
  <c r="I1136" i="1"/>
  <c r="L1136" i="1" s="1"/>
  <c r="J1136" i="1"/>
  <c r="K1136" i="1"/>
  <c r="H1137" i="1"/>
  <c r="I1137" i="1"/>
  <c r="L1137" i="1" s="1"/>
  <c r="J1137" i="1"/>
  <c r="K1137" i="1"/>
  <c r="H1138" i="1"/>
  <c r="I1138" i="1"/>
  <c r="L1138" i="1" s="1"/>
  <c r="J1138" i="1"/>
  <c r="K1138" i="1"/>
  <c r="H1139" i="1"/>
  <c r="I1139" i="1"/>
  <c r="L1139" i="1" s="1"/>
  <c r="J1139" i="1"/>
  <c r="K1139" i="1"/>
  <c r="H1140" i="1"/>
  <c r="I1140" i="1"/>
  <c r="L1140" i="1" s="1"/>
  <c r="J1140" i="1"/>
  <c r="K1140" i="1"/>
  <c r="H1141" i="1"/>
  <c r="I1141" i="1"/>
  <c r="L1141" i="1" s="1"/>
  <c r="J1141" i="1"/>
  <c r="K1141" i="1"/>
  <c r="H1142" i="1"/>
  <c r="I1142" i="1"/>
  <c r="L1142" i="1" s="1"/>
  <c r="J1142" i="1"/>
  <c r="K1142" i="1"/>
  <c r="H1143" i="1"/>
  <c r="I1143" i="1"/>
  <c r="L1143" i="1" s="1"/>
  <c r="J1143" i="1"/>
  <c r="K1143" i="1"/>
  <c r="H1144" i="1"/>
  <c r="I1144" i="1"/>
  <c r="L1144" i="1" s="1"/>
  <c r="J1144" i="1"/>
  <c r="K1144" i="1"/>
  <c r="H1145" i="1"/>
  <c r="I1145" i="1"/>
  <c r="L1145" i="1" s="1"/>
  <c r="J1145" i="1"/>
  <c r="K1145" i="1"/>
  <c r="H1146" i="1"/>
  <c r="I1146" i="1"/>
  <c r="L1146" i="1" s="1"/>
  <c r="J1146" i="1"/>
  <c r="K1146" i="1"/>
  <c r="H1147" i="1"/>
  <c r="I1147" i="1"/>
  <c r="L1147" i="1" s="1"/>
  <c r="J1147" i="1"/>
  <c r="K1147" i="1"/>
  <c r="H1148" i="1"/>
  <c r="I1148" i="1"/>
  <c r="L1148" i="1" s="1"/>
  <c r="J1148" i="1"/>
  <c r="K1148" i="1"/>
  <c r="H1149" i="1"/>
  <c r="I1149" i="1"/>
  <c r="L1149" i="1" s="1"/>
  <c r="J1149" i="1"/>
  <c r="K1149" i="1"/>
  <c r="H1150" i="1"/>
  <c r="I1150" i="1"/>
  <c r="L1150" i="1" s="1"/>
  <c r="J1150" i="1"/>
  <c r="K1150" i="1"/>
  <c r="H1151" i="1"/>
  <c r="I1151" i="1"/>
  <c r="L1151" i="1" s="1"/>
  <c r="J1151" i="1"/>
  <c r="K1151" i="1"/>
  <c r="H1152" i="1"/>
  <c r="I1152" i="1"/>
  <c r="L1152" i="1" s="1"/>
  <c r="J1152" i="1"/>
  <c r="K1152" i="1"/>
  <c r="H1153" i="1"/>
  <c r="I1153" i="1"/>
  <c r="L1153" i="1" s="1"/>
  <c r="J1153" i="1"/>
  <c r="K1153" i="1"/>
  <c r="H1154" i="1"/>
  <c r="I1154" i="1"/>
  <c r="L1154" i="1" s="1"/>
  <c r="J1154" i="1"/>
  <c r="K1154" i="1"/>
  <c r="H1155" i="1"/>
  <c r="I1155" i="1"/>
  <c r="L1155" i="1" s="1"/>
  <c r="J1155" i="1"/>
  <c r="K1155" i="1"/>
  <c r="H1156" i="1"/>
  <c r="I1156" i="1"/>
  <c r="L1156" i="1" s="1"/>
  <c r="J1156" i="1"/>
  <c r="K1156" i="1"/>
  <c r="H1157" i="1"/>
  <c r="I1157" i="1"/>
  <c r="L1157" i="1" s="1"/>
  <c r="J1157" i="1"/>
  <c r="K1157" i="1"/>
  <c r="H1158" i="1"/>
  <c r="I1158" i="1"/>
  <c r="L1158" i="1" s="1"/>
  <c r="J1158" i="1"/>
  <c r="K1158" i="1"/>
  <c r="H1159" i="1"/>
  <c r="I1159" i="1"/>
  <c r="L1159" i="1" s="1"/>
  <c r="J1159" i="1"/>
  <c r="K1159" i="1"/>
  <c r="H1160" i="1"/>
  <c r="I1160" i="1"/>
  <c r="L1160" i="1" s="1"/>
  <c r="J1160" i="1"/>
  <c r="K1160" i="1"/>
  <c r="H1161" i="1"/>
  <c r="I1161" i="1"/>
  <c r="L1161" i="1" s="1"/>
  <c r="J1161" i="1"/>
  <c r="K1161" i="1"/>
  <c r="H1162" i="1"/>
  <c r="I1162" i="1"/>
  <c r="L1162" i="1" s="1"/>
  <c r="J1162" i="1"/>
  <c r="K1162" i="1"/>
  <c r="H1163" i="1"/>
  <c r="I1163" i="1"/>
  <c r="L1163" i="1" s="1"/>
  <c r="J1163" i="1"/>
  <c r="K1163" i="1"/>
  <c r="H1164" i="1"/>
  <c r="I1164" i="1"/>
  <c r="L1164" i="1" s="1"/>
  <c r="J1164" i="1"/>
  <c r="K1164" i="1"/>
  <c r="H1165" i="1"/>
  <c r="I1165" i="1"/>
  <c r="L1165" i="1" s="1"/>
  <c r="J1165" i="1"/>
  <c r="K1165" i="1"/>
  <c r="H1166" i="1"/>
  <c r="I1166" i="1"/>
  <c r="L1166" i="1" s="1"/>
  <c r="J1166" i="1"/>
  <c r="K1166" i="1"/>
  <c r="H1167" i="1"/>
  <c r="I1167" i="1"/>
  <c r="L1167" i="1" s="1"/>
  <c r="J1167" i="1"/>
  <c r="K1167" i="1"/>
  <c r="H1168" i="1"/>
  <c r="I1168" i="1"/>
  <c r="L1168" i="1" s="1"/>
  <c r="J1168" i="1"/>
  <c r="K1168" i="1"/>
  <c r="H1169" i="1"/>
  <c r="I1169" i="1"/>
  <c r="L1169" i="1" s="1"/>
  <c r="J1169" i="1"/>
  <c r="K1169" i="1"/>
  <c r="H1170" i="1"/>
  <c r="I1170" i="1"/>
  <c r="L1170" i="1" s="1"/>
  <c r="J1170" i="1"/>
  <c r="K1170" i="1"/>
  <c r="H1171" i="1"/>
  <c r="I1171" i="1"/>
  <c r="L1171" i="1" s="1"/>
  <c r="J1171" i="1"/>
  <c r="K1171" i="1"/>
  <c r="H1172" i="1"/>
  <c r="I1172" i="1"/>
  <c r="L1172" i="1" s="1"/>
  <c r="J1172" i="1"/>
  <c r="K1172" i="1"/>
  <c r="H1173" i="1"/>
  <c r="I1173" i="1"/>
  <c r="L1173" i="1" s="1"/>
  <c r="J1173" i="1"/>
  <c r="K1173" i="1"/>
  <c r="H1174" i="1"/>
  <c r="I1174" i="1"/>
  <c r="L1174" i="1" s="1"/>
  <c r="J1174" i="1"/>
  <c r="K1174" i="1"/>
  <c r="H1175" i="1"/>
  <c r="I1175" i="1"/>
  <c r="L1175" i="1" s="1"/>
  <c r="J1175" i="1"/>
  <c r="K1175" i="1"/>
  <c r="H1176" i="1"/>
  <c r="I1176" i="1"/>
  <c r="L1176" i="1" s="1"/>
  <c r="J1176" i="1"/>
  <c r="K1176" i="1"/>
  <c r="H1177" i="1"/>
  <c r="I1177" i="1"/>
  <c r="L1177" i="1" s="1"/>
  <c r="J1177" i="1"/>
  <c r="K1177" i="1"/>
  <c r="H1178" i="1"/>
  <c r="I1178" i="1"/>
  <c r="L1178" i="1" s="1"/>
  <c r="J1178" i="1"/>
  <c r="K1178" i="1"/>
  <c r="H1179" i="1"/>
  <c r="I1179" i="1"/>
  <c r="L1179" i="1" s="1"/>
  <c r="J1179" i="1"/>
  <c r="K1179" i="1"/>
  <c r="H1180" i="1"/>
  <c r="I1180" i="1"/>
  <c r="L1180" i="1" s="1"/>
  <c r="J1180" i="1"/>
  <c r="K1180" i="1"/>
  <c r="H1181" i="1"/>
  <c r="I1181" i="1"/>
  <c r="L1181" i="1" s="1"/>
  <c r="J1181" i="1"/>
  <c r="K1181" i="1"/>
  <c r="H1182" i="1"/>
  <c r="I1182" i="1"/>
  <c r="L1182" i="1" s="1"/>
  <c r="J1182" i="1"/>
  <c r="K1182" i="1"/>
  <c r="H1183" i="1"/>
  <c r="I1183" i="1"/>
  <c r="L1183" i="1" s="1"/>
  <c r="J1183" i="1"/>
  <c r="K1183" i="1"/>
  <c r="H1184" i="1"/>
  <c r="I1184" i="1"/>
  <c r="L1184" i="1" s="1"/>
  <c r="J1184" i="1"/>
  <c r="K1184" i="1"/>
  <c r="H1185" i="1"/>
  <c r="I1185" i="1"/>
  <c r="L1185" i="1" s="1"/>
  <c r="J1185" i="1"/>
  <c r="K1185" i="1"/>
  <c r="H1186" i="1"/>
  <c r="I1186" i="1"/>
  <c r="L1186" i="1" s="1"/>
  <c r="J1186" i="1"/>
  <c r="K1186" i="1"/>
  <c r="H1187" i="1"/>
  <c r="I1187" i="1"/>
  <c r="L1187" i="1" s="1"/>
  <c r="J1187" i="1"/>
  <c r="K1187" i="1"/>
  <c r="H1188" i="1"/>
  <c r="I1188" i="1"/>
  <c r="L1188" i="1" s="1"/>
  <c r="J1188" i="1"/>
  <c r="K1188" i="1"/>
  <c r="H1189" i="1"/>
  <c r="I1189" i="1"/>
  <c r="L1189" i="1" s="1"/>
  <c r="J1189" i="1"/>
  <c r="K1189" i="1"/>
  <c r="H1190" i="1"/>
  <c r="I1190" i="1"/>
  <c r="L1190" i="1" s="1"/>
  <c r="J1190" i="1"/>
  <c r="K1190" i="1"/>
  <c r="H1191" i="1"/>
  <c r="I1191" i="1"/>
  <c r="L1191" i="1" s="1"/>
  <c r="J1191" i="1"/>
  <c r="K1191" i="1"/>
  <c r="H1192" i="1"/>
  <c r="I1192" i="1"/>
  <c r="L1192" i="1" s="1"/>
  <c r="J1192" i="1"/>
  <c r="K1192" i="1"/>
  <c r="H1193" i="1"/>
  <c r="I1193" i="1"/>
  <c r="L1193" i="1" s="1"/>
  <c r="J1193" i="1"/>
  <c r="K1193" i="1"/>
  <c r="H1194" i="1"/>
  <c r="I1194" i="1"/>
  <c r="L1194" i="1" s="1"/>
  <c r="J1194" i="1"/>
  <c r="K1194" i="1"/>
  <c r="H1195" i="1"/>
  <c r="I1195" i="1"/>
  <c r="L1195" i="1" s="1"/>
  <c r="J1195" i="1"/>
  <c r="K1195" i="1"/>
  <c r="H1196" i="1"/>
  <c r="I1196" i="1"/>
  <c r="L1196" i="1" s="1"/>
  <c r="J1196" i="1"/>
  <c r="K1196" i="1"/>
  <c r="H1197" i="1"/>
  <c r="I1197" i="1"/>
  <c r="L1197" i="1" s="1"/>
  <c r="J1197" i="1"/>
  <c r="K1197" i="1"/>
  <c r="H1198" i="1"/>
  <c r="I1198" i="1"/>
  <c r="L1198" i="1" s="1"/>
  <c r="J1198" i="1"/>
  <c r="K1198" i="1"/>
  <c r="H1199" i="1"/>
  <c r="I1199" i="1"/>
  <c r="L1199" i="1" s="1"/>
  <c r="J1199" i="1"/>
  <c r="K1199" i="1"/>
  <c r="H1200" i="1"/>
  <c r="I1200" i="1"/>
  <c r="L1200" i="1" s="1"/>
  <c r="J1200" i="1"/>
  <c r="K1200" i="1"/>
  <c r="H1201" i="1"/>
  <c r="I1201" i="1"/>
  <c r="L1201" i="1" s="1"/>
  <c r="J1201" i="1"/>
  <c r="K1201" i="1"/>
  <c r="H1202" i="1"/>
  <c r="I1202" i="1"/>
  <c r="L1202" i="1" s="1"/>
  <c r="J1202" i="1"/>
  <c r="K1202" i="1"/>
  <c r="H1203" i="1"/>
  <c r="I1203" i="1"/>
  <c r="L1203" i="1" s="1"/>
  <c r="J1203" i="1"/>
  <c r="K1203" i="1"/>
  <c r="H1204" i="1"/>
  <c r="I1204" i="1"/>
  <c r="L1204" i="1" s="1"/>
  <c r="J1204" i="1"/>
  <c r="K1204" i="1"/>
  <c r="H1205" i="1"/>
  <c r="I1205" i="1"/>
  <c r="L1205" i="1" s="1"/>
  <c r="J1205" i="1"/>
  <c r="K1205" i="1"/>
  <c r="H1206" i="1"/>
  <c r="I1206" i="1"/>
  <c r="L1206" i="1" s="1"/>
  <c r="J1206" i="1"/>
  <c r="K1206" i="1"/>
  <c r="H1207" i="1"/>
  <c r="I1207" i="1"/>
  <c r="L1207" i="1" s="1"/>
  <c r="J1207" i="1"/>
  <c r="K1207" i="1"/>
  <c r="H1208" i="1"/>
  <c r="I1208" i="1"/>
  <c r="L1208" i="1" s="1"/>
  <c r="J1208" i="1"/>
  <c r="K1208" i="1"/>
  <c r="H1209" i="1"/>
  <c r="I1209" i="1"/>
  <c r="L1209" i="1" s="1"/>
  <c r="J1209" i="1"/>
  <c r="K1209" i="1"/>
  <c r="H1210" i="1"/>
  <c r="I1210" i="1"/>
  <c r="L1210" i="1" s="1"/>
  <c r="J1210" i="1"/>
  <c r="K1210" i="1"/>
  <c r="H1211" i="1"/>
  <c r="I1211" i="1"/>
  <c r="L1211" i="1" s="1"/>
  <c r="J1211" i="1"/>
  <c r="K1211" i="1"/>
  <c r="H1212" i="1"/>
  <c r="I1212" i="1"/>
  <c r="L1212" i="1" s="1"/>
  <c r="J1212" i="1"/>
  <c r="K1212" i="1"/>
  <c r="H1213" i="1"/>
  <c r="I1213" i="1"/>
  <c r="L1213" i="1" s="1"/>
  <c r="J1213" i="1"/>
  <c r="K1213" i="1"/>
  <c r="H1214" i="1"/>
  <c r="I1214" i="1"/>
  <c r="L1214" i="1" s="1"/>
  <c r="J1214" i="1"/>
  <c r="K1214" i="1"/>
  <c r="H1215" i="1"/>
  <c r="I1215" i="1"/>
  <c r="L1215" i="1" s="1"/>
  <c r="J1215" i="1"/>
  <c r="K1215" i="1"/>
  <c r="H1216" i="1"/>
  <c r="I1216" i="1"/>
  <c r="L1216" i="1" s="1"/>
  <c r="J1216" i="1"/>
  <c r="K1216" i="1"/>
  <c r="H1217" i="1"/>
  <c r="I1217" i="1"/>
  <c r="L1217" i="1" s="1"/>
  <c r="J1217" i="1"/>
  <c r="K1217" i="1"/>
  <c r="H1218" i="1"/>
  <c r="I1218" i="1"/>
  <c r="L1218" i="1" s="1"/>
  <c r="J1218" i="1"/>
  <c r="K1218" i="1"/>
  <c r="H1219" i="1"/>
  <c r="I1219" i="1"/>
  <c r="L1219" i="1" s="1"/>
  <c r="J1219" i="1"/>
  <c r="K1219" i="1"/>
  <c r="H1220" i="1"/>
  <c r="I1220" i="1"/>
  <c r="L1220" i="1" s="1"/>
  <c r="J1220" i="1"/>
  <c r="K1220" i="1"/>
  <c r="H1221" i="1"/>
  <c r="I1221" i="1"/>
  <c r="L1221" i="1" s="1"/>
  <c r="J1221" i="1"/>
  <c r="K1221" i="1"/>
  <c r="H1222" i="1"/>
  <c r="I1222" i="1"/>
  <c r="L1222" i="1" s="1"/>
  <c r="J1222" i="1"/>
  <c r="K1222" i="1"/>
  <c r="H1223" i="1"/>
  <c r="I1223" i="1"/>
  <c r="L1223" i="1" s="1"/>
  <c r="J1223" i="1"/>
  <c r="K1223" i="1"/>
  <c r="H1224" i="1"/>
  <c r="I1224" i="1"/>
  <c r="L1224" i="1" s="1"/>
  <c r="J1224" i="1"/>
  <c r="K1224" i="1"/>
  <c r="H1225" i="1"/>
  <c r="I1225" i="1"/>
  <c r="L1225" i="1" s="1"/>
  <c r="J1225" i="1"/>
  <c r="K1225" i="1"/>
  <c r="H1226" i="1"/>
  <c r="I1226" i="1"/>
  <c r="L1226" i="1" s="1"/>
  <c r="J1226" i="1"/>
  <c r="K1226" i="1"/>
  <c r="H1227" i="1"/>
  <c r="I1227" i="1"/>
  <c r="L1227" i="1" s="1"/>
  <c r="J1227" i="1"/>
  <c r="K1227" i="1"/>
  <c r="H1228" i="1"/>
  <c r="I1228" i="1"/>
  <c r="L1228" i="1" s="1"/>
  <c r="J1228" i="1"/>
  <c r="K1228" i="1"/>
  <c r="H1229" i="1"/>
  <c r="I1229" i="1"/>
  <c r="L1229" i="1" s="1"/>
  <c r="J1229" i="1"/>
  <c r="K1229" i="1"/>
  <c r="H1230" i="1"/>
  <c r="I1230" i="1"/>
  <c r="L1230" i="1" s="1"/>
  <c r="J1230" i="1"/>
  <c r="K1230" i="1"/>
  <c r="H1231" i="1"/>
  <c r="I1231" i="1"/>
  <c r="L1231" i="1" s="1"/>
  <c r="J1231" i="1"/>
  <c r="K1231" i="1"/>
  <c r="H1232" i="1"/>
  <c r="I1232" i="1"/>
  <c r="L1232" i="1" s="1"/>
  <c r="J1232" i="1"/>
  <c r="K1232" i="1"/>
  <c r="H1233" i="1"/>
  <c r="I1233" i="1"/>
  <c r="L1233" i="1" s="1"/>
  <c r="J1233" i="1"/>
  <c r="K1233" i="1"/>
  <c r="H1234" i="1"/>
  <c r="I1234" i="1"/>
  <c r="L1234" i="1" s="1"/>
  <c r="J1234" i="1"/>
  <c r="K1234" i="1"/>
  <c r="H1235" i="1"/>
  <c r="I1235" i="1"/>
  <c r="L1235" i="1" s="1"/>
  <c r="J1235" i="1"/>
  <c r="K1235" i="1"/>
  <c r="H1236" i="1"/>
  <c r="I1236" i="1"/>
  <c r="L1236" i="1" s="1"/>
  <c r="J1236" i="1"/>
  <c r="K1236" i="1"/>
  <c r="H1237" i="1"/>
  <c r="I1237" i="1"/>
  <c r="L1237" i="1" s="1"/>
  <c r="J1237" i="1"/>
  <c r="K1237" i="1"/>
  <c r="H1238" i="1"/>
  <c r="I1238" i="1"/>
  <c r="L1238" i="1" s="1"/>
  <c r="J1238" i="1"/>
  <c r="K1238" i="1"/>
  <c r="H1239" i="1"/>
  <c r="I1239" i="1"/>
  <c r="L1239" i="1" s="1"/>
  <c r="J1239" i="1"/>
  <c r="K1239" i="1"/>
  <c r="H1240" i="1"/>
  <c r="I1240" i="1"/>
  <c r="L1240" i="1" s="1"/>
  <c r="J1240" i="1"/>
  <c r="K1240" i="1"/>
  <c r="H1241" i="1"/>
  <c r="I1241" i="1"/>
  <c r="L1241" i="1" s="1"/>
  <c r="J1241" i="1"/>
  <c r="K1241" i="1"/>
  <c r="H1242" i="1"/>
  <c r="I1242" i="1"/>
  <c r="L1242" i="1" s="1"/>
  <c r="J1242" i="1"/>
  <c r="K1242" i="1"/>
  <c r="H1243" i="1"/>
  <c r="I1243" i="1"/>
  <c r="L1243" i="1" s="1"/>
  <c r="J1243" i="1"/>
  <c r="K1243" i="1"/>
  <c r="H1244" i="1"/>
  <c r="I1244" i="1"/>
  <c r="L1244" i="1" s="1"/>
  <c r="J1244" i="1"/>
  <c r="K1244" i="1"/>
  <c r="H1245" i="1"/>
  <c r="I1245" i="1"/>
  <c r="L1245" i="1" s="1"/>
  <c r="J1245" i="1"/>
  <c r="K1245" i="1"/>
  <c r="H1246" i="1"/>
  <c r="I1246" i="1"/>
  <c r="L1246" i="1" s="1"/>
  <c r="J1246" i="1"/>
  <c r="K1246" i="1"/>
  <c r="H1247" i="1"/>
  <c r="I1247" i="1"/>
  <c r="L1247" i="1" s="1"/>
  <c r="J1247" i="1"/>
  <c r="K1247" i="1"/>
  <c r="H1248" i="1"/>
  <c r="I1248" i="1"/>
  <c r="L1248" i="1" s="1"/>
  <c r="J1248" i="1"/>
  <c r="K1248" i="1"/>
  <c r="H1249" i="1"/>
  <c r="I1249" i="1"/>
  <c r="L1249" i="1" s="1"/>
  <c r="J1249" i="1"/>
  <c r="K1249" i="1"/>
  <c r="H1250" i="1"/>
  <c r="I1250" i="1"/>
  <c r="L1250" i="1" s="1"/>
  <c r="J1250" i="1"/>
  <c r="K1250" i="1"/>
  <c r="H1251" i="1"/>
  <c r="I1251" i="1"/>
  <c r="L1251" i="1" s="1"/>
  <c r="J1251" i="1"/>
  <c r="K1251" i="1"/>
  <c r="H1252" i="1"/>
  <c r="I1252" i="1"/>
  <c r="L1252" i="1" s="1"/>
  <c r="J1252" i="1"/>
  <c r="K1252" i="1"/>
  <c r="H1253" i="1"/>
  <c r="I1253" i="1"/>
  <c r="L1253" i="1" s="1"/>
  <c r="J1253" i="1"/>
  <c r="K1253" i="1"/>
  <c r="H1254" i="1"/>
  <c r="I1254" i="1"/>
  <c r="L1254" i="1" s="1"/>
  <c r="J1254" i="1"/>
  <c r="K1254" i="1"/>
  <c r="H1255" i="1"/>
  <c r="I1255" i="1"/>
  <c r="L1255" i="1" s="1"/>
  <c r="J1255" i="1"/>
  <c r="K1255" i="1"/>
  <c r="H1256" i="1"/>
  <c r="I1256" i="1"/>
  <c r="L1256" i="1" s="1"/>
  <c r="J1256" i="1"/>
  <c r="K1256" i="1"/>
  <c r="H1257" i="1"/>
  <c r="I1257" i="1"/>
  <c r="L1257" i="1" s="1"/>
  <c r="J1257" i="1"/>
  <c r="K1257" i="1"/>
  <c r="H1258" i="1"/>
  <c r="I1258" i="1"/>
  <c r="L1258" i="1" s="1"/>
  <c r="J1258" i="1"/>
  <c r="K1258" i="1"/>
  <c r="H1259" i="1"/>
  <c r="I1259" i="1"/>
  <c r="L1259" i="1" s="1"/>
  <c r="J1259" i="1"/>
  <c r="K1259" i="1"/>
  <c r="H1260" i="1"/>
  <c r="I1260" i="1"/>
  <c r="L1260" i="1" s="1"/>
  <c r="J1260" i="1"/>
  <c r="K1260" i="1"/>
  <c r="H1261" i="1"/>
  <c r="I1261" i="1"/>
  <c r="L1261" i="1" s="1"/>
  <c r="J1261" i="1"/>
  <c r="K1261" i="1"/>
  <c r="H1262" i="1"/>
  <c r="I1262" i="1"/>
  <c r="L1262" i="1" s="1"/>
  <c r="J1262" i="1"/>
  <c r="K1262" i="1"/>
  <c r="H1263" i="1"/>
  <c r="I1263" i="1"/>
  <c r="L1263" i="1" s="1"/>
  <c r="J1263" i="1"/>
  <c r="K1263" i="1"/>
  <c r="H1264" i="1"/>
  <c r="I1264" i="1"/>
  <c r="L1264" i="1" s="1"/>
  <c r="J1264" i="1"/>
  <c r="K1264" i="1"/>
  <c r="H1265" i="1"/>
  <c r="I1265" i="1"/>
  <c r="L1265" i="1" s="1"/>
  <c r="J1265" i="1"/>
  <c r="K1265" i="1"/>
  <c r="H1266" i="1"/>
  <c r="I1266" i="1"/>
  <c r="L1266" i="1" s="1"/>
  <c r="J1266" i="1"/>
  <c r="K1266" i="1"/>
  <c r="H1267" i="1"/>
  <c r="I1267" i="1"/>
  <c r="L1267" i="1" s="1"/>
  <c r="J1267" i="1"/>
  <c r="K1267" i="1"/>
  <c r="H1268" i="1"/>
  <c r="I1268" i="1"/>
  <c r="L1268" i="1" s="1"/>
  <c r="J1268" i="1"/>
  <c r="K1268" i="1"/>
  <c r="H1269" i="1"/>
  <c r="I1269" i="1"/>
  <c r="L1269" i="1" s="1"/>
  <c r="J1269" i="1"/>
  <c r="K1269" i="1"/>
  <c r="H1270" i="1"/>
  <c r="I1270" i="1"/>
  <c r="L1270" i="1" s="1"/>
  <c r="J1270" i="1"/>
  <c r="K1270" i="1"/>
  <c r="H1271" i="1"/>
  <c r="I1271" i="1"/>
  <c r="L1271" i="1" s="1"/>
  <c r="J1271" i="1"/>
  <c r="K1271" i="1"/>
  <c r="H1272" i="1"/>
  <c r="I1272" i="1"/>
  <c r="L1272" i="1" s="1"/>
  <c r="J1272" i="1"/>
  <c r="K1272" i="1"/>
  <c r="H1273" i="1"/>
  <c r="I1273" i="1"/>
  <c r="L1273" i="1" s="1"/>
  <c r="J1273" i="1"/>
  <c r="K1273" i="1"/>
  <c r="H1274" i="1"/>
  <c r="I1274" i="1"/>
  <c r="L1274" i="1" s="1"/>
  <c r="J1274" i="1"/>
  <c r="K1274" i="1"/>
  <c r="H1275" i="1"/>
  <c r="I1275" i="1"/>
  <c r="L1275" i="1" s="1"/>
  <c r="J1275" i="1"/>
  <c r="K1275" i="1"/>
  <c r="H1276" i="1"/>
  <c r="I1276" i="1"/>
  <c r="L1276" i="1" s="1"/>
  <c r="J1276" i="1"/>
  <c r="K1276" i="1"/>
  <c r="H1277" i="1"/>
  <c r="I1277" i="1"/>
  <c r="L1277" i="1" s="1"/>
  <c r="J1277" i="1"/>
  <c r="K1277" i="1"/>
  <c r="H1278" i="1"/>
  <c r="I1278" i="1"/>
  <c r="L1278" i="1" s="1"/>
  <c r="J1278" i="1"/>
  <c r="K1278" i="1"/>
  <c r="H1279" i="1"/>
  <c r="I1279" i="1"/>
  <c r="L1279" i="1" s="1"/>
  <c r="J1279" i="1"/>
  <c r="K1279" i="1"/>
  <c r="H1280" i="1"/>
  <c r="I1280" i="1"/>
  <c r="L1280" i="1" s="1"/>
  <c r="J1280" i="1"/>
  <c r="K1280" i="1"/>
  <c r="H1281" i="1"/>
  <c r="I1281" i="1"/>
  <c r="L1281" i="1" s="1"/>
  <c r="J1281" i="1"/>
  <c r="K1281" i="1"/>
  <c r="H1282" i="1"/>
  <c r="I1282" i="1"/>
  <c r="L1282" i="1" s="1"/>
  <c r="J1282" i="1"/>
  <c r="K1282" i="1"/>
  <c r="H1283" i="1"/>
  <c r="I1283" i="1"/>
  <c r="L1283" i="1" s="1"/>
  <c r="J1283" i="1"/>
  <c r="K1283" i="1"/>
  <c r="H1284" i="1"/>
  <c r="I1284" i="1"/>
  <c r="L1284" i="1" s="1"/>
  <c r="J1284" i="1"/>
  <c r="K1284" i="1"/>
  <c r="H1285" i="1"/>
  <c r="I1285" i="1"/>
  <c r="L1285" i="1" s="1"/>
  <c r="J1285" i="1"/>
  <c r="K1285" i="1"/>
  <c r="H1286" i="1"/>
  <c r="I1286" i="1"/>
  <c r="L1286" i="1" s="1"/>
  <c r="J1286" i="1"/>
  <c r="K1286" i="1"/>
  <c r="H1287" i="1"/>
  <c r="I1287" i="1"/>
  <c r="L1287" i="1" s="1"/>
  <c r="J1287" i="1"/>
  <c r="K1287" i="1"/>
  <c r="H1288" i="1"/>
  <c r="I1288" i="1"/>
  <c r="L1288" i="1" s="1"/>
  <c r="J1288" i="1"/>
  <c r="K1288" i="1"/>
  <c r="H1289" i="1"/>
  <c r="I1289" i="1"/>
  <c r="L1289" i="1" s="1"/>
  <c r="J1289" i="1"/>
  <c r="K1289" i="1"/>
  <c r="H1290" i="1"/>
  <c r="I1290" i="1"/>
  <c r="L1290" i="1" s="1"/>
  <c r="J1290" i="1"/>
  <c r="K1290" i="1"/>
  <c r="H1291" i="1"/>
  <c r="I1291" i="1"/>
  <c r="L1291" i="1" s="1"/>
  <c r="J1291" i="1"/>
  <c r="K1291" i="1"/>
  <c r="H1292" i="1"/>
  <c r="I1292" i="1"/>
  <c r="L1292" i="1" s="1"/>
  <c r="J1292" i="1"/>
  <c r="K1292" i="1"/>
  <c r="H1293" i="1"/>
  <c r="I1293" i="1"/>
  <c r="L1293" i="1" s="1"/>
  <c r="J1293" i="1"/>
  <c r="K1293" i="1"/>
  <c r="H1294" i="1"/>
  <c r="I1294" i="1"/>
  <c r="L1294" i="1" s="1"/>
  <c r="J1294" i="1"/>
  <c r="K1294" i="1"/>
  <c r="H1295" i="1"/>
  <c r="I1295" i="1"/>
  <c r="L1295" i="1" s="1"/>
  <c r="J1295" i="1"/>
  <c r="K1295" i="1"/>
  <c r="H1296" i="1"/>
  <c r="I1296" i="1"/>
  <c r="L1296" i="1" s="1"/>
  <c r="J1296" i="1"/>
  <c r="K1296" i="1"/>
  <c r="H1297" i="1"/>
  <c r="I1297" i="1"/>
  <c r="L1297" i="1" s="1"/>
  <c r="J1297" i="1"/>
  <c r="K1297" i="1"/>
  <c r="H1298" i="1"/>
  <c r="I1298" i="1"/>
  <c r="L1298" i="1" s="1"/>
  <c r="J1298" i="1"/>
  <c r="K1298" i="1"/>
  <c r="H1299" i="1"/>
  <c r="I1299" i="1"/>
  <c r="L1299" i="1" s="1"/>
  <c r="J1299" i="1"/>
  <c r="K1299" i="1"/>
  <c r="H1300" i="1"/>
  <c r="I1300" i="1"/>
  <c r="L1300" i="1" s="1"/>
  <c r="J1300" i="1"/>
  <c r="K1300" i="1"/>
  <c r="H1301" i="1"/>
  <c r="I1301" i="1"/>
  <c r="L1301" i="1" s="1"/>
  <c r="J1301" i="1"/>
  <c r="K1301" i="1"/>
  <c r="H1302" i="1"/>
  <c r="I1302" i="1"/>
  <c r="L1302" i="1" s="1"/>
  <c r="J1302" i="1"/>
  <c r="K1302" i="1"/>
  <c r="H1303" i="1"/>
  <c r="I1303" i="1"/>
  <c r="L1303" i="1" s="1"/>
  <c r="J1303" i="1"/>
  <c r="K1303" i="1"/>
  <c r="H1304" i="1"/>
  <c r="I1304" i="1"/>
  <c r="L1304" i="1" s="1"/>
  <c r="J1304" i="1"/>
  <c r="K1304" i="1"/>
  <c r="H1305" i="1"/>
  <c r="I1305" i="1"/>
  <c r="L1305" i="1" s="1"/>
  <c r="J1305" i="1"/>
  <c r="K1305" i="1"/>
  <c r="H1306" i="1"/>
  <c r="I1306" i="1"/>
  <c r="L1306" i="1" s="1"/>
  <c r="J1306" i="1"/>
  <c r="K1306" i="1"/>
  <c r="H1307" i="1"/>
  <c r="I1307" i="1"/>
  <c r="L1307" i="1" s="1"/>
  <c r="J1307" i="1"/>
  <c r="K1307" i="1"/>
  <c r="H1308" i="1"/>
  <c r="I1308" i="1"/>
  <c r="L1308" i="1" s="1"/>
  <c r="J1308" i="1"/>
  <c r="K1308" i="1"/>
  <c r="H1309" i="1"/>
  <c r="I1309" i="1"/>
  <c r="L1309" i="1" s="1"/>
  <c r="J1309" i="1"/>
  <c r="K1309" i="1"/>
  <c r="H1310" i="1"/>
  <c r="I1310" i="1"/>
  <c r="L1310" i="1" s="1"/>
  <c r="J1310" i="1"/>
  <c r="K1310" i="1"/>
  <c r="H1311" i="1"/>
  <c r="I1311" i="1"/>
  <c r="L1311" i="1" s="1"/>
  <c r="J1311" i="1"/>
  <c r="K1311" i="1"/>
  <c r="H1312" i="1"/>
  <c r="I1312" i="1"/>
  <c r="L1312" i="1" s="1"/>
  <c r="J1312" i="1"/>
  <c r="K1312" i="1"/>
  <c r="H1313" i="1"/>
  <c r="I1313" i="1"/>
  <c r="L1313" i="1" s="1"/>
  <c r="J1313" i="1"/>
  <c r="K1313" i="1"/>
  <c r="H1314" i="1"/>
  <c r="I1314" i="1"/>
  <c r="L1314" i="1" s="1"/>
  <c r="J1314" i="1"/>
  <c r="K1314" i="1"/>
  <c r="H1315" i="1"/>
  <c r="I1315" i="1"/>
  <c r="L1315" i="1" s="1"/>
  <c r="J1315" i="1"/>
  <c r="K1315" i="1"/>
  <c r="H1316" i="1"/>
  <c r="I1316" i="1"/>
  <c r="L1316" i="1" s="1"/>
  <c r="J1316" i="1"/>
  <c r="K1316" i="1"/>
  <c r="H1317" i="1"/>
  <c r="I1317" i="1"/>
  <c r="L1317" i="1" s="1"/>
  <c r="J1317" i="1"/>
  <c r="K1317" i="1"/>
  <c r="H1318" i="1"/>
  <c r="I1318" i="1"/>
  <c r="L1318" i="1" s="1"/>
  <c r="J1318" i="1"/>
  <c r="K1318" i="1"/>
  <c r="H1319" i="1"/>
  <c r="I1319" i="1"/>
  <c r="L1319" i="1" s="1"/>
  <c r="J1319" i="1"/>
  <c r="K1319" i="1"/>
  <c r="H1320" i="1"/>
  <c r="I1320" i="1"/>
  <c r="L1320" i="1" s="1"/>
  <c r="J1320" i="1"/>
  <c r="K1320" i="1"/>
  <c r="H1321" i="1"/>
  <c r="I1321" i="1"/>
  <c r="L1321" i="1" s="1"/>
  <c r="J1321" i="1"/>
  <c r="K1321" i="1"/>
  <c r="H1322" i="1"/>
  <c r="I1322" i="1"/>
  <c r="L1322" i="1" s="1"/>
  <c r="J1322" i="1"/>
  <c r="K1322" i="1"/>
  <c r="H1323" i="1"/>
  <c r="I1323" i="1"/>
  <c r="L1323" i="1" s="1"/>
  <c r="J1323" i="1"/>
  <c r="K1323" i="1"/>
  <c r="H1324" i="1"/>
  <c r="I1324" i="1"/>
  <c r="L1324" i="1" s="1"/>
  <c r="J1324" i="1"/>
  <c r="K1324" i="1"/>
  <c r="H1325" i="1"/>
  <c r="I1325" i="1"/>
  <c r="L1325" i="1" s="1"/>
  <c r="J1325" i="1"/>
  <c r="K1325" i="1"/>
  <c r="H1326" i="1"/>
  <c r="I1326" i="1"/>
  <c r="L1326" i="1" s="1"/>
  <c r="J1326" i="1"/>
  <c r="K1326" i="1"/>
  <c r="H1327" i="1"/>
  <c r="I1327" i="1"/>
  <c r="L1327" i="1" s="1"/>
  <c r="J1327" i="1"/>
  <c r="K1327" i="1"/>
  <c r="H1328" i="1"/>
  <c r="I1328" i="1"/>
  <c r="L1328" i="1" s="1"/>
  <c r="J1328" i="1"/>
  <c r="K1328" i="1"/>
  <c r="H1329" i="1"/>
  <c r="I1329" i="1"/>
  <c r="L1329" i="1" s="1"/>
  <c r="J1329" i="1"/>
  <c r="K1329" i="1"/>
  <c r="H1330" i="1"/>
  <c r="I1330" i="1"/>
  <c r="L1330" i="1" s="1"/>
  <c r="J1330" i="1"/>
  <c r="K1330" i="1"/>
  <c r="H1331" i="1"/>
  <c r="I1331" i="1"/>
  <c r="L1331" i="1" s="1"/>
  <c r="J1331" i="1"/>
  <c r="K1331" i="1"/>
  <c r="H1332" i="1"/>
  <c r="I1332" i="1"/>
  <c r="L1332" i="1" s="1"/>
  <c r="J1332" i="1"/>
  <c r="K1332" i="1"/>
  <c r="H1333" i="1"/>
  <c r="I1333" i="1"/>
  <c r="L1333" i="1" s="1"/>
  <c r="J1333" i="1"/>
  <c r="K1333" i="1"/>
  <c r="H1334" i="1"/>
  <c r="I1334" i="1"/>
  <c r="L1334" i="1" s="1"/>
  <c r="J1334" i="1"/>
  <c r="K1334" i="1"/>
  <c r="H1335" i="1"/>
  <c r="I1335" i="1"/>
  <c r="L1335" i="1" s="1"/>
  <c r="J1335" i="1"/>
  <c r="K1335" i="1"/>
  <c r="H1336" i="1"/>
  <c r="I1336" i="1"/>
  <c r="L1336" i="1" s="1"/>
  <c r="J1336" i="1"/>
  <c r="K1336" i="1"/>
  <c r="H1337" i="1"/>
  <c r="I1337" i="1"/>
  <c r="L1337" i="1" s="1"/>
  <c r="J1337" i="1"/>
  <c r="K1337" i="1"/>
  <c r="H1338" i="1"/>
  <c r="I1338" i="1"/>
  <c r="L1338" i="1" s="1"/>
  <c r="J1338" i="1"/>
  <c r="K1338" i="1"/>
  <c r="H1339" i="1"/>
  <c r="I1339" i="1"/>
  <c r="L1339" i="1" s="1"/>
  <c r="J1339" i="1"/>
  <c r="K1339" i="1"/>
  <c r="H1340" i="1"/>
  <c r="I1340" i="1"/>
  <c r="L1340" i="1" s="1"/>
  <c r="J1340" i="1"/>
  <c r="K1340" i="1"/>
  <c r="H1341" i="1"/>
  <c r="I1341" i="1"/>
  <c r="L1341" i="1" s="1"/>
  <c r="J1341" i="1"/>
  <c r="K1341" i="1"/>
  <c r="H1342" i="1"/>
  <c r="I1342" i="1"/>
  <c r="L1342" i="1" s="1"/>
  <c r="J1342" i="1"/>
  <c r="K1342" i="1"/>
  <c r="H1343" i="1"/>
  <c r="I1343" i="1"/>
  <c r="L1343" i="1" s="1"/>
  <c r="J1343" i="1"/>
  <c r="K1343" i="1"/>
  <c r="H1344" i="1"/>
  <c r="I1344" i="1"/>
  <c r="L1344" i="1" s="1"/>
  <c r="J1344" i="1"/>
  <c r="K1344" i="1"/>
  <c r="H1345" i="1"/>
  <c r="I1345" i="1"/>
  <c r="L1345" i="1" s="1"/>
  <c r="J1345" i="1"/>
  <c r="K1345" i="1"/>
  <c r="H1346" i="1"/>
  <c r="I1346" i="1"/>
  <c r="L1346" i="1" s="1"/>
  <c r="J1346" i="1"/>
  <c r="K1346" i="1"/>
  <c r="H1347" i="1"/>
  <c r="I1347" i="1"/>
  <c r="L1347" i="1" s="1"/>
  <c r="J1347" i="1"/>
  <c r="K1347" i="1"/>
  <c r="H1348" i="1"/>
  <c r="I1348" i="1"/>
  <c r="L1348" i="1" s="1"/>
  <c r="J1348" i="1"/>
  <c r="K1348" i="1"/>
  <c r="H1349" i="1"/>
  <c r="I1349" i="1"/>
  <c r="L1349" i="1" s="1"/>
  <c r="J1349" i="1"/>
  <c r="K1349" i="1"/>
  <c r="H1350" i="1"/>
  <c r="I1350" i="1"/>
  <c r="L1350" i="1" s="1"/>
  <c r="J1350" i="1"/>
  <c r="K1350" i="1"/>
  <c r="H1351" i="1"/>
  <c r="I1351" i="1"/>
  <c r="L1351" i="1" s="1"/>
  <c r="J1351" i="1"/>
  <c r="K1351" i="1"/>
  <c r="H1352" i="1"/>
  <c r="I1352" i="1"/>
  <c r="L1352" i="1" s="1"/>
  <c r="J1352" i="1"/>
  <c r="K1352" i="1"/>
  <c r="H1353" i="1"/>
  <c r="I1353" i="1"/>
  <c r="L1353" i="1" s="1"/>
  <c r="J1353" i="1"/>
  <c r="K1353" i="1"/>
  <c r="H1354" i="1"/>
  <c r="I1354" i="1"/>
  <c r="L1354" i="1" s="1"/>
  <c r="J1354" i="1"/>
  <c r="K1354" i="1"/>
  <c r="H1355" i="1"/>
  <c r="I1355" i="1"/>
  <c r="L1355" i="1" s="1"/>
  <c r="J1355" i="1"/>
  <c r="K1355" i="1"/>
  <c r="H1356" i="1"/>
  <c r="I1356" i="1"/>
  <c r="L1356" i="1" s="1"/>
  <c r="J1356" i="1"/>
  <c r="K1356" i="1"/>
  <c r="H1357" i="1"/>
  <c r="I1357" i="1"/>
  <c r="L1357" i="1" s="1"/>
  <c r="J1357" i="1"/>
  <c r="K1357" i="1"/>
  <c r="H1358" i="1"/>
  <c r="I1358" i="1"/>
  <c r="L1358" i="1" s="1"/>
  <c r="J1358" i="1"/>
  <c r="K1358" i="1"/>
  <c r="H1359" i="1"/>
  <c r="I1359" i="1"/>
  <c r="L1359" i="1" s="1"/>
  <c r="J1359" i="1"/>
  <c r="K1359" i="1"/>
  <c r="H1360" i="1"/>
  <c r="I1360" i="1"/>
  <c r="L1360" i="1" s="1"/>
  <c r="J1360" i="1"/>
  <c r="K1360" i="1"/>
  <c r="H1361" i="1"/>
  <c r="I1361" i="1"/>
  <c r="L1361" i="1" s="1"/>
  <c r="J1361" i="1"/>
  <c r="K1361" i="1"/>
  <c r="H1362" i="1"/>
  <c r="I1362" i="1"/>
  <c r="L1362" i="1" s="1"/>
  <c r="J1362" i="1"/>
  <c r="K1362" i="1"/>
  <c r="H1363" i="1"/>
  <c r="I1363" i="1"/>
  <c r="L1363" i="1" s="1"/>
  <c r="J1363" i="1"/>
  <c r="K1363" i="1"/>
  <c r="H1364" i="1"/>
  <c r="I1364" i="1"/>
  <c r="L1364" i="1" s="1"/>
  <c r="J1364" i="1"/>
  <c r="K1364" i="1"/>
  <c r="H1365" i="1"/>
  <c r="I1365" i="1"/>
  <c r="L1365" i="1" s="1"/>
  <c r="J1365" i="1"/>
  <c r="K1365" i="1"/>
  <c r="H1366" i="1"/>
  <c r="I1366" i="1"/>
  <c r="L1366" i="1" s="1"/>
  <c r="J1366" i="1"/>
  <c r="K1366" i="1"/>
  <c r="H1367" i="1"/>
  <c r="I1367" i="1"/>
  <c r="L1367" i="1" s="1"/>
  <c r="J1367" i="1"/>
  <c r="K1367" i="1"/>
  <c r="H1368" i="1"/>
  <c r="I1368" i="1"/>
  <c r="L1368" i="1" s="1"/>
  <c r="J1368" i="1"/>
  <c r="K1368" i="1"/>
  <c r="H1369" i="1"/>
  <c r="I1369" i="1"/>
  <c r="L1369" i="1" s="1"/>
  <c r="J1369" i="1"/>
  <c r="K1369" i="1"/>
  <c r="H1370" i="1"/>
  <c r="I1370" i="1"/>
  <c r="L1370" i="1" s="1"/>
  <c r="J1370" i="1"/>
  <c r="K1370" i="1"/>
  <c r="H1371" i="1"/>
  <c r="I1371" i="1"/>
  <c r="L1371" i="1" s="1"/>
  <c r="J1371" i="1"/>
  <c r="K1371" i="1"/>
  <c r="H1372" i="1"/>
  <c r="I1372" i="1"/>
  <c r="L1372" i="1" s="1"/>
  <c r="J1372" i="1"/>
  <c r="K1372" i="1"/>
  <c r="H1373" i="1"/>
  <c r="I1373" i="1"/>
  <c r="L1373" i="1" s="1"/>
  <c r="J1373" i="1"/>
  <c r="K1373" i="1"/>
  <c r="H1374" i="1"/>
  <c r="I1374" i="1"/>
  <c r="L1374" i="1" s="1"/>
  <c r="J1374" i="1"/>
  <c r="K1374" i="1"/>
  <c r="H1375" i="1"/>
  <c r="I1375" i="1"/>
  <c r="L1375" i="1" s="1"/>
  <c r="J1375" i="1"/>
  <c r="K1375" i="1"/>
  <c r="H1376" i="1"/>
  <c r="I1376" i="1"/>
  <c r="L1376" i="1" s="1"/>
  <c r="J1376" i="1"/>
  <c r="K1376" i="1"/>
  <c r="H1377" i="1"/>
  <c r="I1377" i="1"/>
  <c r="L1377" i="1" s="1"/>
  <c r="J1377" i="1"/>
  <c r="K1377" i="1"/>
  <c r="H1378" i="1"/>
  <c r="I1378" i="1"/>
  <c r="L1378" i="1" s="1"/>
  <c r="J1378" i="1"/>
  <c r="K1378" i="1"/>
  <c r="H1379" i="1"/>
  <c r="I1379" i="1"/>
  <c r="L1379" i="1" s="1"/>
  <c r="J1379" i="1"/>
  <c r="K1379" i="1"/>
  <c r="H1380" i="1"/>
  <c r="I1380" i="1"/>
  <c r="L1380" i="1" s="1"/>
  <c r="J1380" i="1"/>
  <c r="K1380" i="1"/>
  <c r="H1381" i="1"/>
  <c r="I1381" i="1"/>
  <c r="L1381" i="1" s="1"/>
  <c r="J1381" i="1"/>
  <c r="K1381" i="1"/>
  <c r="H1382" i="1"/>
  <c r="I1382" i="1"/>
  <c r="L1382" i="1" s="1"/>
  <c r="J1382" i="1"/>
  <c r="K1382" i="1"/>
  <c r="H1383" i="1"/>
  <c r="I1383" i="1"/>
  <c r="L1383" i="1" s="1"/>
  <c r="J1383" i="1"/>
  <c r="K1383" i="1"/>
  <c r="H1384" i="1"/>
  <c r="I1384" i="1"/>
  <c r="L1384" i="1" s="1"/>
  <c r="J1384" i="1"/>
  <c r="K1384" i="1"/>
  <c r="H1385" i="1"/>
  <c r="I1385" i="1"/>
  <c r="L1385" i="1" s="1"/>
  <c r="J1385" i="1"/>
  <c r="K1385" i="1"/>
  <c r="H1386" i="1"/>
  <c r="I1386" i="1"/>
  <c r="L1386" i="1" s="1"/>
  <c r="J1386" i="1"/>
  <c r="K1386" i="1"/>
  <c r="H1387" i="1"/>
  <c r="I1387" i="1"/>
  <c r="L1387" i="1" s="1"/>
  <c r="J1387" i="1"/>
  <c r="K1387" i="1"/>
  <c r="H1388" i="1"/>
  <c r="I1388" i="1"/>
  <c r="L1388" i="1" s="1"/>
  <c r="J1388" i="1"/>
  <c r="K1388" i="1"/>
  <c r="H1389" i="1"/>
  <c r="I1389" i="1"/>
  <c r="L1389" i="1" s="1"/>
  <c r="J1389" i="1"/>
  <c r="K1389" i="1"/>
  <c r="H1390" i="1"/>
  <c r="I1390" i="1"/>
  <c r="L1390" i="1" s="1"/>
  <c r="J1390" i="1"/>
  <c r="K1390" i="1"/>
  <c r="H1391" i="1"/>
  <c r="I1391" i="1"/>
  <c r="L1391" i="1" s="1"/>
  <c r="J1391" i="1"/>
  <c r="K1391" i="1"/>
  <c r="H1392" i="1"/>
  <c r="I1392" i="1"/>
  <c r="L1392" i="1" s="1"/>
  <c r="J1392" i="1"/>
  <c r="K1392" i="1"/>
  <c r="H1393" i="1"/>
  <c r="I1393" i="1"/>
  <c r="L1393" i="1" s="1"/>
  <c r="J1393" i="1"/>
  <c r="K1393" i="1"/>
  <c r="H1394" i="1"/>
  <c r="I1394" i="1"/>
  <c r="L1394" i="1" s="1"/>
  <c r="J1394" i="1"/>
  <c r="K1394" i="1"/>
  <c r="H1395" i="1"/>
  <c r="I1395" i="1"/>
  <c r="L1395" i="1" s="1"/>
  <c r="J1395" i="1"/>
  <c r="K1395" i="1"/>
  <c r="H1396" i="1"/>
  <c r="I1396" i="1"/>
  <c r="L1396" i="1" s="1"/>
  <c r="J1396" i="1"/>
  <c r="K1396" i="1"/>
  <c r="H1397" i="1"/>
  <c r="I1397" i="1"/>
  <c r="L1397" i="1" s="1"/>
  <c r="J1397" i="1"/>
  <c r="K1397" i="1"/>
  <c r="H1398" i="1"/>
  <c r="I1398" i="1"/>
  <c r="L1398" i="1" s="1"/>
  <c r="J1398" i="1"/>
  <c r="K1398" i="1"/>
  <c r="H1399" i="1"/>
  <c r="I1399" i="1"/>
  <c r="L1399" i="1" s="1"/>
  <c r="J1399" i="1"/>
  <c r="K1399" i="1"/>
  <c r="H1400" i="1"/>
  <c r="I1400" i="1"/>
  <c r="L1400" i="1" s="1"/>
  <c r="J1400" i="1"/>
  <c r="K1400" i="1"/>
  <c r="H1401" i="1"/>
  <c r="I1401" i="1"/>
  <c r="L1401" i="1" s="1"/>
  <c r="J1401" i="1"/>
  <c r="K1401" i="1"/>
  <c r="H1402" i="1"/>
  <c r="I1402" i="1"/>
  <c r="L1402" i="1" s="1"/>
  <c r="J1402" i="1"/>
  <c r="K1402" i="1"/>
  <c r="H1403" i="1"/>
  <c r="I1403" i="1"/>
  <c r="L1403" i="1" s="1"/>
  <c r="J1403" i="1"/>
  <c r="K1403" i="1"/>
  <c r="H1404" i="1"/>
  <c r="I1404" i="1"/>
  <c r="L1404" i="1" s="1"/>
  <c r="J1404" i="1"/>
  <c r="K1404" i="1"/>
  <c r="H1405" i="1"/>
  <c r="I1405" i="1"/>
  <c r="L1405" i="1" s="1"/>
  <c r="J1405" i="1"/>
  <c r="K1405" i="1"/>
  <c r="H1406" i="1"/>
  <c r="I1406" i="1"/>
  <c r="L1406" i="1" s="1"/>
  <c r="J1406" i="1"/>
  <c r="K1406" i="1"/>
  <c r="H1407" i="1"/>
  <c r="I1407" i="1"/>
  <c r="L1407" i="1" s="1"/>
  <c r="J1407" i="1"/>
  <c r="K1407" i="1"/>
  <c r="H1408" i="1"/>
  <c r="I1408" i="1"/>
  <c r="L1408" i="1" s="1"/>
  <c r="J1408" i="1"/>
  <c r="K1408" i="1"/>
  <c r="H1409" i="1"/>
  <c r="I1409" i="1"/>
  <c r="L1409" i="1" s="1"/>
  <c r="J1409" i="1"/>
  <c r="K1409" i="1"/>
  <c r="H1410" i="1"/>
  <c r="I1410" i="1"/>
  <c r="L1410" i="1" s="1"/>
  <c r="J1410" i="1"/>
  <c r="K1410" i="1"/>
  <c r="H1411" i="1"/>
  <c r="I1411" i="1"/>
  <c r="L1411" i="1" s="1"/>
  <c r="J1411" i="1"/>
  <c r="K1411" i="1"/>
  <c r="H1412" i="1"/>
  <c r="I1412" i="1"/>
  <c r="L1412" i="1" s="1"/>
  <c r="J1412" i="1"/>
  <c r="K1412" i="1"/>
  <c r="H1413" i="1"/>
  <c r="I1413" i="1"/>
  <c r="L1413" i="1" s="1"/>
  <c r="J1413" i="1"/>
  <c r="K1413" i="1"/>
  <c r="H1414" i="1"/>
  <c r="I1414" i="1"/>
  <c r="L1414" i="1" s="1"/>
  <c r="J1414" i="1"/>
  <c r="K1414" i="1"/>
  <c r="H1415" i="1"/>
  <c r="I1415" i="1"/>
  <c r="L1415" i="1" s="1"/>
  <c r="J1415" i="1"/>
  <c r="K1415" i="1"/>
  <c r="H1416" i="1"/>
  <c r="I1416" i="1"/>
  <c r="L1416" i="1" s="1"/>
  <c r="J1416" i="1"/>
  <c r="K1416" i="1"/>
  <c r="H1417" i="1"/>
  <c r="I1417" i="1"/>
  <c r="L1417" i="1" s="1"/>
  <c r="J1417" i="1"/>
  <c r="K1417" i="1"/>
  <c r="H1418" i="1"/>
  <c r="I1418" i="1"/>
  <c r="L1418" i="1" s="1"/>
  <c r="J1418" i="1"/>
  <c r="K1418" i="1"/>
  <c r="H1419" i="1"/>
  <c r="I1419" i="1"/>
  <c r="L1419" i="1" s="1"/>
  <c r="J1419" i="1"/>
  <c r="K1419" i="1"/>
  <c r="H1420" i="1"/>
  <c r="I1420" i="1"/>
  <c r="L1420" i="1" s="1"/>
  <c r="J1420" i="1"/>
  <c r="K1420" i="1"/>
  <c r="H1421" i="1"/>
  <c r="I1421" i="1"/>
  <c r="L1421" i="1" s="1"/>
  <c r="J1421" i="1"/>
  <c r="K1421" i="1"/>
  <c r="H1422" i="1"/>
  <c r="I1422" i="1"/>
  <c r="L1422" i="1" s="1"/>
  <c r="J1422" i="1"/>
  <c r="K1422" i="1"/>
  <c r="H1423" i="1"/>
  <c r="I1423" i="1"/>
  <c r="L1423" i="1" s="1"/>
  <c r="J1423" i="1"/>
  <c r="K1423" i="1"/>
  <c r="H1424" i="1"/>
  <c r="I1424" i="1"/>
  <c r="L1424" i="1" s="1"/>
  <c r="J1424" i="1"/>
  <c r="K1424" i="1"/>
  <c r="H1425" i="1"/>
  <c r="I1425" i="1"/>
  <c r="L1425" i="1" s="1"/>
  <c r="J1425" i="1"/>
  <c r="K1425" i="1"/>
  <c r="H1426" i="1"/>
  <c r="I1426" i="1"/>
  <c r="L1426" i="1" s="1"/>
  <c r="J1426" i="1"/>
  <c r="K1426" i="1"/>
  <c r="H1427" i="1"/>
  <c r="I1427" i="1"/>
  <c r="L1427" i="1" s="1"/>
  <c r="J1427" i="1"/>
  <c r="K1427" i="1"/>
  <c r="H1428" i="1"/>
  <c r="I1428" i="1"/>
  <c r="L1428" i="1" s="1"/>
  <c r="J1428" i="1"/>
  <c r="K1428" i="1"/>
  <c r="H1429" i="1"/>
  <c r="I1429" i="1"/>
  <c r="L1429" i="1" s="1"/>
  <c r="J1429" i="1"/>
  <c r="K1429" i="1"/>
  <c r="H1430" i="1"/>
  <c r="I1430" i="1"/>
  <c r="L1430" i="1" s="1"/>
  <c r="J1430" i="1"/>
  <c r="K1430" i="1"/>
  <c r="H1431" i="1"/>
  <c r="I1431" i="1"/>
  <c r="L1431" i="1" s="1"/>
  <c r="J1431" i="1"/>
  <c r="K1431" i="1"/>
  <c r="H1432" i="1"/>
  <c r="I1432" i="1"/>
  <c r="L1432" i="1" s="1"/>
  <c r="J1432" i="1"/>
  <c r="K1432" i="1"/>
  <c r="H1433" i="1"/>
  <c r="I1433" i="1"/>
  <c r="L1433" i="1" s="1"/>
  <c r="J1433" i="1"/>
  <c r="K1433" i="1"/>
  <c r="H1434" i="1"/>
  <c r="I1434" i="1"/>
  <c r="L1434" i="1" s="1"/>
  <c r="J1434" i="1"/>
  <c r="K1434" i="1"/>
  <c r="H1435" i="1"/>
  <c r="I1435" i="1"/>
  <c r="L1435" i="1" s="1"/>
  <c r="J1435" i="1"/>
  <c r="K1435" i="1"/>
  <c r="H1436" i="1"/>
  <c r="I1436" i="1"/>
  <c r="L1436" i="1" s="1"/>
  <c r="J1436" i="1"/>
  <c r="K1436" i="1"/>
  <c r="H1437" i="1"/>
  <c r="I1437" i="1"/>
  <c r="L1437" i="1" s="1"/>
  <c r="J1437" i="1"/>
  <c r="K1437" i="1"/>
  <c r="H1438" i="1"/>
  <c r="I1438" i="1"/>
  <c r="L1438" i="1" s="1"/>
  <c r="J1438" i="1"/>
  <c r="K1438" i="1"/>
  <c r="H1439" i="1"/>
  <c r="I1439" i="1"/>
  <c r="L1439" i="1" s="1"/>
  <c r="J1439" i="1"/>
  <c r="K1439" i="1"/>
  <c r="H1440" i="1"/>
  <c r="I1440" i="1"/>
  <c r="L1440" i="1" s="1"/>
  <c r="J1440" i="1"/>
  <c r="K1440" i="1"/>
  <c r="H1441" i="1"/>
  <c r="I1441" i="1"/>
  <c r="L1441" i="1" s="1"/>
  <c r="J1441" i="1"/>
  <c r="K1441" i="1"/>
  <c r="H1442" i="1"/>
  <c r="I1442" i="1"/>
  <c r="L1442" i="1" s="1"/>
  <c r="J1442" i="1"/>
  <c r="K1442" i="1"/>
  <c r="H1443" i="1"/>
  <c r="I1443" i="1"/>
  <c r="L1443" i="1" s="1"/>
  <c r="J1443" i="1"/>
  <c r="K1443" i="1"/>
  <c r="H1444" i="1"/>
  <c r="I1444" i="1"/>
  <c r="L1444" i="1" s="1"/>
  <c r="J1444" i="1"/>
  <c r="K1444" i="1"/>
  <c r="H1445" i="1"/>
  <c r="I1445" i="1"/>
  <c r="L1445" i="1" s="1"/>
  <c r="J1445" i="1"/>
  <c r="K1445" i="1"/>
  <c r="H1446" i="1"/>
  <c r="I1446" i="1"/>
  <c r="L1446" i="1" s="1"/>
  <c r="J1446" i="1"/>
  <c r="K1446" i="1"/>
  <c r="H1447" i="1"/>
  <c r="I1447" i="1"/>
  <c r="L1447" i="1" s="1"/>
  <c r="J1447" i="1"/>
  <c r="K1447" i="1"/>
  <c r="H1448" i="1"/>
  <c r="I1448" i="1"/>
  <c r="L1448" i="1" s="1"/>
  <c r="J1448" i="1"/>
  <c r="K1448" i="1"/>
  <c r="H1449" i="1"/>
  <c r="I1449" i="1"/>
  <c r="L1449" i="1" s="1"/>
  <c r="J1449" i="1"/>
  <c r="K1449" i="1"/>
  <c r="H1450" i="1"/>
  <c r="I1450" i="1"/>
  <c r="L1450" i="1" s="1"/>
  <c r="J1450" i="1"/>
  <c r="K1450" i="1"/>
  <c r="H1451" i="1"/>
  <c r="I1451" i="1"/>
  <c r="L1451" i="1" s="1"/>
  <c r="J1451" i="1"/>
  <c r="K1451" i="1"/>
  <c r="H1452" i="1"/>
  <c r="I1452" i="1"/>
  <c r="L1452" i="1" s="1"/>
  <c r="J1452" i="1"/>
  <c r="K1452" i="1"/>
  <c r="H1453" i="1"/>
  <c r="I1453" i="1"/>
  <c r="L1453" i="1" s="1"/>
  <c r="J1453" i="1"/>
  <c r="K1453" i="1"/>
  <c r="H1454" i="1"/>
  <c r="I1454" i="1"/>
  <c r="L1454" i="1" s="1"/>
  <c r="J1454" i="1"/>
  <c r="K1454" i="1"/>
  <c r="H1455" i="1"/>
  <c r="I1455" i="1"/>
  <c r="L1455" i="1" s="1"/>
  <c r="J1455" i="1"/>
  <c r="K1455" i="1"/>
  <c r="H1456" i="1"/>
  <c r="I1456" i="1"/>
  <c r="L1456" i="1" s="1"/>
  <c r="J1456" i="1"/>
  <c r="K1456" i="1"/>
  <c r="H1457" i="1"/>
  <c r="I1457" i="1"/>
  <c r="L1457" i="1" s="1"/>
  <c r="J1457" i="1"/>
  <c r="K1457" i="1"/>
  <c r="H1458" i="1"/>
  <c r="I1458" i="1"/>
  <c r="L1458" i="1" s="1"/>
  <c r="J1458" i="1"/>
  <c r="K1458" i="1"/>
  <c r="H1459" i="1"/>
  <c r="I1459" i="1"/>
  <c r="L1459" i="1" s="1"/>
  <c r="J1459" i="1"/>
  <c r="K1459" i="1"/>
  <c r="H1460" i="1"/>
  <c r="I1460" i="1"/>
  <c r="L1460" i="1" s="1"/>
  <c r="J1460" i="1"/>
  <c r="K1460" i="1"/>
  <c r="H1461" i="1"/>
  <c r="I1461" i="1"/>
  <c r="L1461" i="1" s="1"/>
  <c r="J1461" i="1"/>
  <c r="K1461" i="1"/>
  <c r="H1462" i="1"/>
  <c r="I1462" i="1"/>
  <c r="L1462" i="1" s="1"/>
  <c r="J1462" i="1"/>
  <c r="K1462" i="1"/>
  <c r="H1463" i="1"/>
  <c r="I1463" i="1"/>
  <c r="L1463" i="1" s="1"/>
  <c r="J1463" i="1"/>
  <c r="K1463" i="1"/>
  <c r="H1464" i="1"/>
  <c r="I1464" i="1"/>
  <c r="L1464" i="1" s="1"/>
  <c r="J1464" i="1"/>
  <c r="K1464" i="1"/>
  <c r="H1465" i="1"/>
  <c r="I1465" i="1"/>
  <c r="L1465" i="1" s="1"/>
  <c r="J1465" i="1"/>
  <c r="K1465" i="1"/>
  <c r="H1466" i="1"/>
  <c r="I1466" i="1"/>
  <c r="L1466" i="1" s="1"/>
  <c r="J1466" i="1"/>
  <c r="K1466" i="1"/>
  <c r="H1467" i="1"/>
  <c r="I1467" i="1"/>
  <c r="L1467" i="1" s="1"/>
  <c r="J1467" i="1"/>
  <c r="K1467" i="1"/>
  <c r="H1468" i="1"/>
  <c r="I1468" i="1"/>
  <c r="L1468" i="1" s="1"/>
  <c r="J1468" i="1"/>
  <c r="K1468" i="1"/>
  <c r="H1469" i="1"/>
  <c r="I1469" i="1"/>
  <c r="L1469" i="1" s="1"/>
  <c r="J1469" i="1"/>
  <c r="K1469" i="1"/>
  <c r="H1470" i="1"/>
  <c r="I1470" i="1"/>
  <c r="L1470" i="1" s="1"/>
  <c r="J1470" i="1"/>
  <c r="K1470" i="1"/>
  <c r="H1471" i="1"/>
  <c r="I1471" i="1"/>
  <c r="L1471" i="1" s="1"/>
  <c r="J1471" i="1"/>
  <c r="K1471" i="1"/>
  <c r="H1472" i="1"/>
  <c r="I1472" i="1"/>
  <c r="L1472" i="1" s="1"/>
  <c r="J1472" i="1"/>
  <c r="K1472" i="1"/>
  <c r="H1473" i="1"/>
  <c r="I1473" i="1"/>
  <c r="L1473" i="1" s="1"/>
  <c r="J1473" i="1"/>
  <c r="K1473" i="1"/>
  <c r="H1474" i="1"/>
  <c r="I1474" i="1"/>
  <c r="L1474" i="1" s="1"/>
  <c r="J1474" i="1"/>
  <c r="K1474" i="1"/>
  <c r="H1475" i="1"/>
  <c r="I1475" i="1"/>
  <c r="L1475" i="1" s="1"/>
  <c r="J1475" i="1"/>
  <c r="K1475" i="1"/>
  <c r="H1476" i="1"/>
  <c r="I1476" i="1"/>
  <c r="L1476" i="1" s="1"/>
  <c r="J1476" i="1"/>
  <c r="K1476" i="1"/>
  <c r="H1477" i="1"/>
  <c r="I1477" i="1"/>
  <c r="L1477" i="1" s="1"/>
  <c r="J1477" i="1"/>
  <c r="K1477" i="1"/>
  <c r="H1478" i="1"/>
  <c r="I1478" i="1"/>
  <c r="L1478" i="1" s="1"/>
  <c r="J1478" i="1"/>
  <c r="K1478" i="1"/>
  <c r="H1479" i="1"/>
  <c r="I1479" i="1"/>
  <c r="L1479" i="1" s="1"/>
  <c r="J1479" i="1"/>
  <c r="K1479" i="1"/>
  <c r="H1480" i="1"/>
  <c r="I1480" i="1"/>
  <c r="L1480" i="1" s="1"/>
  <c r="J1480" i="1"/>
  <c r="K1480" i="1"/>
  <c r="H1481" i="1"/>
  <c r="I1481" i="1"/>
  <c r="L1481" i="1" s="1"/>
  <c r="J1481" i="1"/>
  <c r="K1481" i="1"/>
  <c r="H1482" i="1"/>
  <c r="I1482" i="1"/>
  <c r="L1482" i="1" s="1"/>
  <c r="J1482" i="1"/>
  <c r="K1482" i="1"/>
  <c r="H1483" i="1"/>
  <c r="I1483" i="1"/>
  <c r="L1483" i="1" s="1"/>
  <c r="J1483" i="1"/>
  <c r="K1483" i="1"/>
  <c r="H1484" i="1"/>
  <c r="I1484" i="1"/>
  <c r="L1484" i="1" s="1"/>
  <c r="J1484" i="1"/>
  <c r="K1484" i="1"/>
  <c r="H1485" i="1"/>
  <c r="I1485" i="1"/>
  <c r="L1485" i="1" s="1"/>
  <c r="J1485" i="1"/>
  <c r="K1485" i="1"/>
  <c r="H1486" i="1"/>
  <c r="I1486" i="1"/>
  <c r="L1486" i="1" s="1"/>
  <c r="J1486" i="1"/>
  <c r="K1486" i="1"/>
  <c r="H1487" i="1"/>
  <c r="I1487" i="1"/>
  <c r="L1487" i="1" s="1"/>
  <c r="J1487" i="1"/>
  <c r="K1487" i="1"/>
  <c r="H1488" i="1"/>
  <c r="I1488" i="1"/>
  <c r="L1488" i="1" s="1"/>
  <c r="J1488" i="1"/>
  <c r="K1488" i="1"/>
  <c r="H1489" i="1"/>
  <c r="I1489" i="1"/>
  <c r="L1489" i="1" s="1"/>
  <c r="J1489" i="1"/>
  <c r="K1489" i="1"/>
  <c r="H1490" i="1"/>
  <c r="I1490" i="1"/>
  <c r="L1490" i="1" s="1"/>
  <c r="J1490" i="1"/>
  <c r="K1490" i="1"/>
  <c r="H1491" i="1"/>
  <c r="I1491" i="1"/>
  <c r="L1491" i="1" s="1"/>
  <c r="J1491" i="1"/>
  <c r="K1491" i="1"/>
  <c r="H1492" i="1"/>
  <c r="I1492" i="1"/>
  <c r="L1492" i="1" s="1"/>
  <c r="J1492" i="1"/>
  <c r="K1492" i="1"/>
  <c r="H1493" i="1"/>
  <c r="I1493" i="1"/>
  <c r="L1493" i="1" s="1"/>
  <c r="J1493" i="1"/>
  <c r="K1493" i="1"/>
  <c r="H1494" i="1"/>
  <c r="I1494" i="1"/>
  <c r="L1494" i="1" s="1"/>
  <c r="J1494" i="1"/>
  <c r="K1494" i="1"/>
  <c r="H1495" i="1"/>
  <c r="I1495" i="1"/>
  <c r="L1495" i="1" s="1"/>
  <c r="J1495" i="1"/>
  <c r="K1495" i="1"/>
  <c r="H1496" i="1"/>
  <c r="I1496" i="1"/>
  <c r="L1496" i="1" s="1"/>
  <c r="J1496" i="1"/>
  <c r="K1496" i="1"/>
  <c r="H1497" i="1"/>
  <c r="I1497" i="1"/>
  <c r="L1497" i="1" s="1"/>
  <c r="J1497" i="1"/>
  <c r="K1497" i="1"/>
  <c r="H1498" i="1"/>
  <c r="I1498" i="1"/>
  <c r="L1498" i="1" s="1"/>
  <c r="J1498" i="1"/>
  <c r="K1498" i="1"/>
  <c r="H1499" i="1"/>
  <c r="I1499" i="1"/>
  <c r="L1499" i="1" s="1"/>
  <c r="J1499" i="1"/>
  <c r="K1499" i="1"/>
  <c r="H1500" i="1"/>
  <c r="I1500" i="1"/>
  <c r="L1500" i="1" s="1"/>
  <c r="J1500" i="1"/>
  <c r="K1500" i="1"/>
  <c r="H1501" i="1"/>
  <c r="I1501" i="1"/>
  <c r="L1501" i="1" s="1"/>
  <c r="J1501" i="1"/>
  <c r="K1501" i="1"/>
  <c r="H1502" i="1"/>
  <c r="I1502" i="1"/>
  <c r="L1502" i="1" s="1"/>
  <c r="J1502" i="1"/>
  <c r="K1502" i="1"/>
  <c r="H1503" i="1"/>
  <c r="I1503" i="1"/>
  <c r="L1503" i="1" s="1"/>
  <c r="J1503" i="1"/>
  <c r="K1503" i="1"/>
  <c r="H1504" i="1"/>
  <c r="I1504" i="1"/>
  <c r="L1504" i="1" s="1"/>
  <c r="J1504" i="1"/>
  <c r="K1504" i="1"/>
  <c r="H1505" i="1"/>
  <c r="I1505" i="1"/>
  <c r="L1505" i="1" s="1"/>
  <c r="J1505" i="1"/>
  <c r="K1505" i="1"/>
  <c r="H1506" i="1"/>
  <c r="I1506" i="1"/>
  <c r="L1506" i="1" s="1"/>
  <c r="J1506" i="1"/>
  <c r="K1506" i="1"/>
  <c r="H1507" i="1"/>
  <c r="I1507" i="1"/>
  <c r="L1507" i="1" s="1"/>
  <c r="J1507" i="1"/>
  <c r="K1507" i="1"/>
  <c r="H1508" i="1"/>
  <c r="I1508" i="1"/>
  <c r="L1508" i="1" s="1"/>
  <c r="J1508" i="1"/>
  <c r="K1508" i="1"/>
  <c r="H1509" i="1"/>
  <c r="I1509" i="1"/>
  <c r="L1509" i="1" s="1"/>
  <c r="J1509" i="1"/>
  <c r="K1509" i="1"/>
  <c r="H1510" i="1"/>
  <c r="I1510" i="1"/>
  <c r="L1510" i="1" s="1"/>
  <c r="J1510" i="1"/>
  <c r="K1510" i="1"/>
  <c r="H1511" i="1"/>
  <c r="I1511" i="1"/>
  <c r="L1511" i="1" s="1"/>
  <c r="J1511" i="1"/>
  <c r="K1511" i="1"/>
  <c r="H1512" i="1"/>
  <c r="I1512" i="1"/>
  <c r="L1512" i="1" s="1"/>
  <c r="J1512" i="1"/>
  <c r="K1512" i="1"/>
  <c r="H1513" i="1"/>
  <c r="I1513" i="1"/>
  <c r="L1513" i="1" s="1"/>
  <c r="J1513" i="1"/>
  <c r="K1513" i="1"/>
  <c r="H1514" i="1"/>
  <c r="I1514" i="1"/>
  <c r="L1514" i="1" s="1"/>
  <c r="J1514" i="1"/>
  <c r="K1514" i="1"/>
  <c r="H1515" i="1"/>
  <c r="I1515" i="1"/>
  <c r="L1515" i="1" s="1"/>
  <c r="J1515" i="1"/>
  <c r="K1515" i="1"/>
  <c r="H1516" i="1"/>
  <c r="I1516" i="1"/>
  <c r="L1516" i="1" s="1"/>
  <c r="J1516" i="1"/>
  <c r="K1516" i="1"/>
  <c r="H1517" i="1"/>
  <c r="I1517" i="1"/>
  <c r="L1517" i="1" s="1"/>
  <c r="J1517" i="1"/>
  <c r="K1517" i="1"/>
  <c r="H1518" i="1"/>
  <c r="I1518" i="1"/>
  <c r="L1518" i="1" s="1"/>
  <c r="J1518" i="1"/>
  <c r="K1518" i="1"/>
  <c r="H1519" i="1"/>
  <c r="I1519" i="1"/>
  <c r="L1519" i="1" s="1"/>
  <c r="J1519" i="1"/>
  <c r="K1519" i="1"/>
  <c r="H1520" i="1"/>
  <c r="I1520" i="1"/>
  <c r="L1520" i="1" s="1"/>
  <c r="J1520" i="1"/>
  <c r="K1520" i="1"/>
  <c r="H1521" i="1"/>
  <c r="I1521" i="1"/>
  <c r="L1521" i="1" s="1"/>
  <c r="J1521" i="1"/>
  <c r="K1521" i="1"/>
  <c r="H1522" i="1"/>
  <c r="I1522" i="1"/>
  <c r="L1522" i="1" s="1"/>
  <c r="J1522" i="1"/>
  <c r="K1522" i="1"/>
  <c r="H1523" i="1"/>
  <c r="I1523" i="1"/>
  <c r="L1523" i="1" s="1"/>
  <c r="J1523" i="1"/>
  <c r="K1523" i="1"/>
  <c r="H1524" i="1"/>
  <c r="I1524" i="1"/>
  <c r="L1524" i="1" s="1"/>
  <c r="J1524" i="1"/>
  <c r="K1524" i="1"/>
  <c r="H1525" i="1"/>
  <c r="I1525" i="1"/>
  <c r="L1525" i="1" s="1"/>
  <c r="J1525" i="1"/>
  <c r="K1525" i="1"/>
  <c r="H1526" i="1"/>
  <c r="I1526" i="1"/>
  <c r="L1526" i="1" s="1"/>
  <c r="J1526" i="1"/>
  <c r="K1526" i="1"/>
  <c r="H1527" i="1"/>
  <c r="I1527" i="1"/>
  <c r="L1527" i="1" s="1"/>
  <c r="J1527" i="1"/>
  <c r="K1527" i="1"/>
  <c r="H1528" i="1"/>
  <c r="I1528" i="1"/>
  <c r="L1528" i="1" s="1"/>
  <c r="J1528" i="1"/>
  <c r="K1528" i="1"/>
  <c r="H1529" i="1"/>
  <c r="I1529" i="1"/>
  <c r="L1529" i="1" s="1"/>
  <c r="J1529" i="1"/>
  <c r="K1529" i="1"/>
  <c r="H1530" i="1"/>
  <c r="I1530" i="1"/>
  <c r="L1530" i="1" s="1"/>
  <c r="J1530" i="1"/>
  <c r="K1530" i="1"/>
  <c r="H1531" i="1"/>
  <c r="I1531" i="1"/>
  <c r="L1531" i="1" s="1"/>
  <c r="J1531" i="1"/>
  <c r="K1531" i="1"/>
  <c r="H1532" i="1"/>
  <c r="I1532" i="1"/>
  <c r="L1532" i="1" s="1"/>
  <c r="J1532" i="1"/>
  <c r="K1532" i="1"/>
  <c r="H1533" i="1"/>
  <c r="I1533" i="1"/>
  <c r="L1533" i="1" s="1"/>
  <c r="J1533" i="1"/>
  <c r="K1533" i="1"/>
  <c r="H1534" i="1"/>
  <c r="I1534" i="1"/>
  <c r="L1534" i="1" s="1"/>
  <c r="J1534" i="1"/>
  <c r="K1534" i="1"/>
  <c r="H1535" i="1"/>
  <c r="I1535" i="1"/>
  <c r="L1535" i="1" s="1"/>
  <c r="J1535" i="1"/>
  <c r="K1535" i="1"/>
  <c r="H1536" i="1"/>
  <c r="I1536" i="1"/>
  <c r="L1536" i="1" s="1"/>
  <c r="J1536" i="1"/>
  <c r="K1536" i="1"/>
  <c r="H1537" i="1"/>
  <c r="I1537" i="1"/>
  <c r="L1537" i="1" s="1"/>
  <c r="J1537" i="1"/>
  <c r="K1537" i="1"/>
  <c r="H1538" i="1"/>
  <c r="I1538" i="1"/>
  <c r="L1538" i="1" s="1"/>
  <c r="J1538" i="1"/>
  <c r="K1538" i="1"/>
  <c r="H1539" i="1"/>
  <c r="I1539" i="1"/>
  <c r="L1539" i="1" s="1"/>
  <c r="J1539" i="1"/>
  <c r="K1539" i="1"/>
  <c r="H1540" i="1"/>
  <c r="I1540" i="1"/>
  <c r="L1540" i="1" s="1"/>
  <c r="J1540" i="1"/>
  <c r="K1540" i="1"/>
  <c r="H1541" i="1"/>
  <c r="I1541" i="1"/>
  <c r="L1541" i="1" s="1"/>
  <c r="J1541" i="1"/>
  <c r="K1541" i="1"/>
  <c r="H1542" i="1"/>
  <c r="I1542" i="1"/>
  <c r="L1542" i="1" s="1"/>
  <c r="J1542" i="1"/>
  <c r="K1542" i="1"/>
  <c r="H1543" i="1"/>
  <c r="I1543" i="1"/>
  <c r="L1543" i="1" s="1"/>
  <c r="J1543" i="1"/>
  <c r="K1543" i="1"/>
  <c r="H1544" i="1"/>
  <c r="I1544" i="1"/>
  <c r="L1544" i="1" s="1"/>
  <c r="J1544" i="1"/>
  <c r="K1544" i="1"/>
  <c r="H1545" i="1"/>
  <c r="I1545" i="1"/>
  <c r="L1545" i="1" s="1"/>
  <c r="J1545" i="1"/>
  <c r="K1545" i="1"/>
  <c r="H1546" i="1"/>
  <c r="I1546" i="1"/>
  <c r="L1546" i="1" s="1"/>
  <c r="J1546" i="1"/>
  <c r="K1546" i="1"/>
  <c r="H1547" i="1"/>
  <c r="I1547" i="1"/>
  <c r="L1547" i="1" s="1"/>
  <c r="J1547" i="1"/>
  <c r="K1547" i="1"/>
  <c r="H1548" i="1"/>
  <c r="I1548" i="1"/>
  <c r="L1548" i="1" s="1"/>
  <c r="J1548" i="1"/>
  <c r="K1548" i="1"/>
  <c r="H1549" i="1"/>
  <c r="I1549" i="1"/>
  <c r="L1549" i="1" s="1"/>
  <c r="J1549" i="1"/>
  <c r="K1549" i="1"/>
  <c r="H1550" i="1"/>
  <c r="I1550" i="1"/>
  <c r="L1550" i="1" s="1"/>
  <c r="J1550" i="1"/>
  <c r="K1550" i="1"/>
  <c r="H1551" i="1"/>
  <c r="I1551" i="1"/>
  <c r="L1551" i="1" s="1"/>
  <c r="J1551" i="1"/>
  <c r="K1551" i="1"/>
  <c r="H1552" i="1"/>
  <c r="I1552" i="1"/>
  <c r="L1552" i="1" s="1"/>
  <c r="J1552" i="1"/>
  <c r="K1552" i="1"/>
  <c r="H1553" i="1"/>
  <c r="I1553" i="1"/>
  <c r="L1553" i="1" s="1"/>
  <c r="J1553" i="1"/>
  <c r="K1553" i="1"/>
  <c r="H1554" i="1"/>
  <c r="I1554" i="1"/>
  <c r="L1554" i="1" s="1"/>
  <c r="J1554" i="1"/>
  <c r="K1554" i="1"/>
  <c r="H1555" i="1"/>
  <c r="I1555" i="1"/>
  <c r="L1555" i="1" s="1"/>
  <c r="J1555" i="1"/>
  <c r="K1555" i="1"/>
  <c r="H1556" i="1"/>
  <c r="I1556" i="1"/>
  <c r="L1556" i="1" s="1"/>
  <c r="J1556" i="1"/>
  <c r="K1556" i="1"/>
  <c r="H1557" i="1"/>
  <c r="I1557" i="1"/>
  <c r="L1557" i="1" s="1"/>
  <c r="J1557" i="1"/>
  <c r="K1557" i="1"/>
  <c r="H1558" i="1"/>
  <c r="I1558" i="1"/>
  <c r="L1558" i="1" s="1"/>
  <c r="J1558" i="1"/>
  <c r="K1558" i="1"/>
  <c r="H1559" i="1"/>
  <c r="I1559" i="1"/>
  <c r="L1559" i="1" s="1"/>
  <c r="J1559" i="1"/>
  <c r="K1559" i="1"/>
  <c r="H1560" i="1"/>
  <c r="I1560" i="1"/>
  <c r="L1560" i="1" s="1"/>
  <c r="J1560" i="1"/>
  <c r="K1560" i="1"/>
  <c r="H1561" i="1"/>
  <c r="I1561" i="1"/>
  <c r="L1561" i="1" s="1"/>
  <c r="J1561" i="1"/>
  <c r="K1561" i="1"/>
  <c r="H1562" i="1"/>
  <c r="I1562" i="1"/>
  <c r="L1562" i="1" s="1"/>
  <c r="J1562" i="1"/>
  <c r="K1562" i="1"/>
  <c r="H1563" i="1"/>
  <c r="I1563" i="1"/>
  <c r="L1563" i="1" s="1"/>
  <c r="J1563" i="1"/>
  <c r="K1563" i="1"/>
  <c r="H1564" i="1"/>
  <c r="I1564" i="1"/>
  <c r="L1564" i="1" s="1"/>
  <c r="J1564" i="1"/>
  <c r="K1564" i="1"/>
  <c r="H1565" i="1"/>
  <c r="I1565" i="1"/>
  <c r="L1565" i="1" s="1"/>
  <c r="J1565" i="1"/>
  <c r="K1565" i="1"/>
  <c r="H1566" i="1"/>
  <c r="I1566" i="1"/>
  <c r="L1566" i="1" s="1"/>
  <c r="J1566" i="1"/>
  <c r="K1566" i="1"/>
  <c r="H1567" i="1"/>
  <c r="I1567" i="1"/>
  <c r="L1567" i="1" s="1"/>
  <c r="J1567" i="1"/>
  <c r="K1567" i="1"/>
  <c r="H1568" i="1"/>
  <c r="I1568" i="1"/>
  <c r="L1568" i="1" s="1"/>
  <c r="J1568" i="1"/>
  <c r="K1568" i="1"/>
  <c r="H1569" i="1"/>
  <c r="I1569" i="1"/>
  <c r="L1569" i="1" s="1"/>
  <c r="J1569" i="1"/>
  <c r="K1569" i="1"/>
  <c r="H1570" i="1"/>
  <c r="I1570" i="1"/>
  <c r="L1570" i="1" s="1"/>
  <c r="J1570" i="1"/>
  <c r="K1570" i="1"/>
  <c r="H1571" i="1"/>
  <c r="I1571" i="1"/>
  <c r="L1571" i="1" s="1"/>
  <c r="J1571" i="1"/>
  <c r="K1571" i="1"/>
  <c r="H1572" i="1"/>
  <c r="I1572" i="1"/>
  <c r="L1572" i="1" s="1"/>
  <c r="J1572" i="1"/>
  <c r="K1572" i="1"/>
  <c r="H1573" i="1"/>
  <c r="I1573" i="1"/>
  <c r="L1573" i="1" s="1"/>
  <c r="J1573" i="1"/>
  <c r="K1573" i="1"/>
  <c r="H1574" i="1"/>
  <c r="I1574" i="1"/>
  <c r="L1574" i="1" s="1"/>
  <c r="J1574" i="1"/>
  <c r="K1574" i="1"/>
  <c r="H1575" i="1"/>
  <c r="I1575" i="1"/>
  <c r="L1575" i="1" s="1"/>
  <c r="J1575" i="1"/>
  <c r="K1575" i="1"/>
  <c r="H1576" i="1"/>
  <c r="I1576" i="1"/>
  <c r="L1576" i="1" s="1"/>
  <c r="J1576" i="1"/>
  <c r="K1576" i="1"/>
  <c r="H1577" i="1"/>
  <c r="I1577" i="1"/>
  <c r="L1577" i="1" s="1"/>
  <c r="J1577" i="1"/>
  <c r="K1577" i="1"/>
  <c r="H1578" i="1"/>
  <c r="I1578" i="1"/>
  <c r="L1578" i="1" s="1"/>
  <c r="J1578" i="1"/>
  <c r="K1578" i="1"/>
  <c r="H1579" i="1"/>
  <c r="I1579" i="1"/>
  <c r="L1579" i="1" s="1"/>
  <c r="J1579" i="1"/>
  <c r="K1579" i="1"/>
  <c r="H1580" i="1"/>
  <c r="I1580" i="1"/>
  <c r="L1580" i="1" s="1"/>
  <c r="J1580" i="1"/>
  <c r="K1580" i="1"/>
  <c r="H1581" i="1"/>
  <c r="I1581" i="1"/>
  <c r="L1581" i="1" s="1"/>
  <c r="J1581" i="1"/>
  <c r="K1581" i="1"/>
  <c r="H1582" i="1"/>
  <c r="I1582" i="1"/>
  <c r="L1582" i="1" s="1"/>
  <c r="J1582" i="1"/>
  <c r="K1582" i="1"/>
  <c r="H1583" i="1"/>
  <c r="I1583" i="1"/>
  <c r="L1583" i="1" s="1"/>
  <c r="J1583" i="1"/>
  <c r="K1583" i="1"/>
  <c r="H1584" i="1"/>
  <c r="I1584" i="1"/>
  <c r="L1584" i="1" s="1"/>
  <c r="J1584" i="1"/>
  <c r="K1584" i="1"/>
  <c r="H1585" i="1"/>
  <c r="I1585" i="1"/>
  <c r="L1585" i="1" s="1"/>
  <c r="J1585" i="1"/>
  <c r="K1585" i="1"/>
  <c r="H1586" i="1"/>
  <c r="I1586" i="1"/>
  <c r="L1586" i="1" s="1"/>
  <c r="J1586" i="1"/>
  <c r="K1586" i="1"/>
  <c r="H1587" i="1"/>
  <c r="I1587" i="1"/>
  <c r="L1587" i="1" s="1"/>
  <c r="J1587" i="1"/>
  <c r="K1587" i="1"/>
  <c r="H1588" i="1"/>
  <c r="I1588" i="1"/>
  <c r="L1588" i="1" s="1"/>
  <c r="J1588" i="1"/>
  <c r="K1588" i="1"/>
  <c r="H1589" i="1"/>
  <c r="I1589" i="1"/>
  <c r="L1589" i="1" s="1"/>
  <c r="J1589" i="1"/>
  <c r="K1589" i="1"/>
  <c r="H1590" i="1"/>
  <c r="I1590" i="1"/>
  <c r="L1590" i="1" s="1"/>
  <c r="J1590" i="1"/>
  <c r="K1590" i="1"/>
  <c r="H1591" i="1"/>
  <c r="I1591" i="1"/>
  <c r="L1591" i="1" s="1"/>
  <c r="J1591" i="1"/>
  <c r="K1591" i="1"/>
  <c r="H1592" i="1"/>
  <c r="I1592" i="1"/>
  <c r="L1592" i="1" s="1"/>
  <c r="J1592" i="1"/>
  <c r="K1592" i="1"/>
  <c r="H1593" i="1"/>
  <c r="I1593" i="1"/>
  <c r="L1593" i="1" s="1"/>
  <c r="J1593" i="1"/>
  <c r="K1593" i="1"/>
  <c r="H1594" i="1"/>
  <c r="I1594" i="1"/>
  <c r="L1594" i="1" s="1"/>
  <c r="J1594" i="1"/>
  <c r="K1594" i="1"/>
  <c r="H1595" i="1"/>
  <c r="I1595" i="1"/>
  <c r="L1595" i="1" s="1"/>
  <c r="J1595" i="1"/>
  <c r="K1595" i="1"/>
  <c r="H1596" i="1"/>
  <c r="I1596" i="1"/>
  <c r="L1596" i="1" s="1"/>
  <c r="J1596" i="1"/>
  <c r="K1596" i="1"/>
  <c r="H1597" i="1"/>
  <c r="I1597" i="1"/>
  <c r="L1597" i="1" s="1"/>
  <c r="J1597" i="1"/>
  <c r="K1597" i="1"/>
  <c r="H1598" i="1"/>
  <c r="I1598" i="1"/>
  <c r="L1598" i="1" s="1"/>
  <c r="J1598" i="1"/>
  <c r="K1598" i="1"/>
  <c r="H1599" i="1"/>
  <c r="I1599" i="1"/>
  <c r="L1599" i="1" s="1"/>
  <c r="J1599" i="1"/>
  <c r="K1599" i="1"/>
  <c r="H1600" i="1"/>
  <c r="I1600" i="1"/>
  <c r="L1600" i="1" s="1"/>
  <c r="J1600" i="1"/>
  <c r="K1600" i="1"/>
  <c r="H1601" i="1"/>
  <c r="I1601" i="1"/>
  <c r="L1601" i="1" s="1"/>
  <c r="J1601" i="1"/>
  <c r="K1601" i="1"/>
  <c r="H1602" i="1"/>
  <c r="I1602" i="1"/>
  <c r="L1602" i="1" s="1"/>
  <c r="J1602" i="1"/>
  <c r="K1602" i="1"/>
  <c r="H1603" i="1"/>
  <c r="I1603" i="1"/>
  <c r="L1603" i="1" s="1"/>
  <c r="J1603" i="1"/>
  <c r="K1603" i="1"/>
  <c r="H1604" i="1"/>
  <c r="I1604" i="1"/>
  <c r="L1604" i="1" s="1"/>
  <c r="J1604" i="1"/>
  <c r="K1604" i="1"/>
  <c r="H1605" i="1"/>
  <c r="I1605" i="1"/>
  <c r="L1605" i="1" s="1"/>
  <c r="J1605" i="1"/>
  <c r="K1605" i="1"/>
  <c r="H1606" i="1"/>
  <c r="I1606" i="1"/>
  <c r="L1606" i="1" s="1"/>
  <c r="J1606" i="1"/>
  <c r="K1606" i="1"/>
  <c r="H1607" i="1"/>
  <c r="I1607" i="1"/>
  <c r="L1607" i="1" s="1"/>
  <c r="J1607" i="1"/>
  <c r="K1607" i="1"/>
  <c r="H1608" i="1"/>
  <c r="I1608" i="1"/>
  <c r="L1608" i="1" s="1"/>
  <c r="J1608" i="1"/>
  <c r="K1608" i="1"/>
  <c r="H1609" i="1"/>
  <c r="I1609" i="1"/>
  <c r="L1609" i="1" s="1"/>
  <c r="J1609" i="1"/>
  <c r="K1609" i="1"/>
  <c r="H1610" i="1"/>
  <c r="I1610" i="1"/>
  <c r="L1610" i="1" s="1"/>
  <c r="J1610" i="1"/>
  <c r="K1610" i="1"/>
  <c r="H1611" i="1"/>
  <c r="I1611" i="1"/>
  <c r="L1611" i="1" s="1"/>
  <c r="J1611" i="1"/>
  <c r="K1611" i="1"/>
  <c r="H1612" i="1"/>
  <c r="I1612" i="1"/>
  <c r="L1612" i="1" s="1"/>
  <c r="J1612" i="1"/>
  <c r="K1612" i="1"/>
  <c r="H1613" i="1"/>
  <c r="I1613" i="1"/>
  <c r="L1613" i="1" s="1"/>
  <c r="J1613" i="1"/>
  <c r="K1613" i="1"/>
  <c r="H1614" i="1"/>
  <c r="I1614" i="1"/>
  <c r="L1614" i="1" s="1"/>
  <c r="J1614" i="1"/>
  <c r="K1614" i="1"/>
  <c r="H1615" i="1"/>
  <c r="I1615" i="1"/>
  <c r="L1615" i="1" s="1"/>
  <c r="J1615" i="1"/>
  <c r="K1615" i="1"/>
  <c r="H1616" i="1"/>
  <c r="I1616" i="1"/>
  <c r="L1616" i="1" s="1"/>
  <c r="J1616" i="1"/>
  <c r="K1616" i="1"/>
  <c r="H1617" i="1"/>
  <c r="I1617" i="1"/>
  <c r="L1617" i="1" s="1"/>
  <c r="J1617" i="1"/>
  <c r="K1617" i="1"/>
  <c r="H1618" i="1"/>
  <c r="I1618" i="1"/>
  <c r="L1618" i="1" s="1"/>
  <c r="J1618" i="1"/>
  <c r="K1618" i="1"/>
  <c r="H1619" i="1"/>
  <c r="I1619" i="1"/>
  <c r="L1619" i="1" s="1"/>
  <c r="J1619" i="1"/>
  <c r="K1619" i="1"/>
  <c r="H1620" i="1"/>
  <c r="I1620" i="1"/>
  <c r="L1620" i="1" s="1"/>
  <c r="J1620" i="1"/>
  <c r="K1620" i="1"/>
  <c r="H1621" i="1"/>
  <c r="I1621" i="1"/>
  <c r="L1621" i="1" s="1"/>
  <c r="J1621" i="1"/>
  <c r="K1621" i="1"/>
  <c r="H1622" i="1"/>
  <c r="I1622" i="1"/>
  <c r="L1622" i="1" s="1"/>
  <c r="J1622" i="1"/>
  <c r="K1622" i="1"/>
  <c r="H1623" i="1"/>
  <c r="I1623" i="1"/>
  <c r="L1623" i="1" s="1"/>
  <c r="J1623" i="1"/>
  <c r="K1623" i="1"/>
  <c r="H1624" i="1"/>
  <c r="I1624" i="1"/>
  <c r="L1624" i="1" s="1"/>
  <c r="J1624" i="1"/>
  <c r="K1624" i="1"/>
  <c r="H1625" i="1"/>
  <c r="I1625" i="1"/>
  <c r="L1625" i="1" s="1"/>
  <c r="J1625" i="1"/>
  <c r="K1625" i="1"/>
  <c r="H1626" i="1"/>
  <c r="I1626" i="1"/>
  <c r="L1626" i="1" s="1"/>
  <c r="J1626" i="1"/>
  <c r="K1626" i="1"/>
  <c r="H1627" i="1"/>
  <c r="I1627" i="1"/>
  <c r="L1627" i="1" s="1"/>
  <c r="J1627" i="1"/>
  <c r="K1627" i="1"/>
  <c r="H1628" i="1"/>
  <c r="I1628" i="1"/>
  <c r="L1628" i="1" s="1"/>
  <c r="J1628" i="1"/>
  <c r="K1628" i="1"/>
  <c r="H1629" i="1"/>
  <c r="I1629" i="1"/>
  <c r="L1629" i="1" s="1"/>
  <c r="J1629" i="1"/>
  <c r="K1629" i="1"/>
  <c r="H1630" i="1"/>
  <c r="I1630" i="1"/>
  <c r="L1630" i="1" s="1"/>
  <c r="J1630" i="1"/>
  <c r="K1630" i="1"/>
  <c r="H1631" i="1"/>
  <c r="I1631" i="1"/>
  <c r="L1631" i="1" s="1"/>
  <c r="J1631" i="1"/>
  <c r="K1631" i="1"/>
  <c r="H1632" i="1"/>
  <c r="I1632" i="1"/>
  <c r="L1632" i="1" s="1"/>
  <c r="J1632" i="1"/>
  <c r="K1632" i="1"/>
  <c r="H1633" i="1"/>
  <c r="I1633" i="1"/>
  <c r="L1633" i="1" s="1"/>
  <c r="J1633" i="1"/>
  <c r="K1633" i="1"/>
  <c r="H1634" i="1"/>
  <c r="I1634" i="1"/>
  <c r="L1634" i="1" s="1"/>
  <c r="J1634" i="1"/>
  <c r="K1634" i="1"/>
  <c r="H1635" i="1"/>
  <c r="I1635" i="1"/>
  <c r="L1635" i="1" s="1"/>
  <c r="J1635" i="1"/>
  <c r="K1635" i="1"/>
  <c r="H1636" i="1"/>
  <c r="I1636" i="1"/>
  <c r="L1636" i="1" s="1"/>
  <c r="J1636" i="1"/>
  <c r="K1636" i="1"/>
  <c r="H1637" i="1"/>
  <c r="I1637" i="1"/>
  <c r="L1637" i="1" s="1"/>
  <c r="J1637" i="1"/>
  <c r="K1637" i="1"/>
  <c r="H1638" i="1"/>
  <c r="I1638" i="1"/>
  <c r="L1638" i="1" s="1"/>
  <c r="J1638" i="1"/>
  <c r="K1638" i="1"/>
  <c r="H1639" i="1"/>
  <c r="I1639" i="1"/>
  <c r="L1639" i="1" s="1"/>
  <c r="J1639" i="1"/>
  <c r="K1639" i="1"/>
  <c r="H1640" i="1"/>
  <c r="I1640" i="1"/>
  <c r="L1640" i="1" s="1"/>
  <c r="J1640" i="1"/>
  <c r="K1640" i="1"/>
  <c r="H1641" i="1"/>
  <c r="I1641" i="1"/>
  <c r="L1641" i="1" s="1"/>
  <c r="J1641" i="1"/>
  <c r="K1641" i="1"/>
  <c r="H1642" i="1"/>
  <c r="I1642" i="1"/>
  <c r="L1642" i="1" s="1"/>
  <c r="J1642" i="1"/>
  <c r="K1642" i="1"/>
  <c r="H1643" i="1"/>
  <c r="I1643" i="1"/>
  <c r="L1643" i="1" s="1"/>
  <c r="J1643" i="1"/>
  <c r="K1643" i="1"/>
  <c r="H1644" i="1"/>
  <c r="I1644" i="1"/>
  <c r="L1644" i="1" s="1"/>
  <c r="J1644" i="1"/>
  <c r="K1644" i="1"/>
  <c r="H1645" i="1"/>
  <c r="I1645" i="1"/>
  <c r="L1645" i="1" s="1"/>
  <c r="J1645" i="1"/>
  <c r="K1645" i="1"/>
  <c r="H1646" i="1"/>
  <c r="I1646" i="1"/>
  <c r="L1646" i="1" s="1"/>
  <c r="J1646" i="1"/>
  <c r="K1646" i="1"/>
  <c r="H1647" i="1"/>
  <c r="I1647" i="1"/>
  <c r="L1647" i="1" s="1"/>
  <c r="J1647" i="1"/>
  <c r="K1647" i="1"/>
  <c r="H1648" i="1"/>
  <c r="I1648" i="1"/>
  <c r="L1648" i="1" s="1"/>
  <c r="J1648" i="1"/>
  <c r="K1648" i="1"/>
  <c r="H1649" i="1"/>
  <c r="I1649" i="1"/>
  <c r="L1649" i="1" s="1"/>
  <c r="J1649" i="1"/>
  <c r="K1649" i="1"/>
  <c r="H1650" i="1"/>
  <c r="I1650" i="1"/>
  <c r="L1650" i="1" s="1"/>
  <c r="J1650" i="1"/>
  <c r="K1650" i="1"/>
  <c r="H1651" i="1"/>
  <c r="I1651" i="1"/>
  <c r="L1651" i="1" s="1"/>
  <c r="J1651" i="1"/>
  <c r="K1651" i="1"/>
  <c r="H1652" i="1"/>
  <c r="I1652" i="1"/>
  <c r="L1652" i="1" s="1"/>
  <c r="J1652" i="1"/>
  <c r="K1652" i="1"/>
  <c r="H1653" i="1"/>
  <c r="I1653" i="1"/>
  <c r="L1653" i="1" s="1"/>
  <c r="J1653" i="1"/>
  <c r="K1653" i="1"/>
  <c r="H1654" i="1"/>
  <c r="I1654" i="1"/>
  <c r="L1654" i="1" s="1"/>
  <c r="J1654" i="1"/>
  <c r="K1654" i="1"/>
  <c r="H1655" i="1"/>
  <c r="I1655" i="1"/>
  <c r="L1655" i="1" s="1"/>
  <c r="J1655" i="1"/>
  <c r="K1655" i="1"/>
  <c r="H1656" i="1"/>
  <c r="I1656" i="1"/>
  <c r="L1656" i="1" s="1"/>
  <c r="J1656" i="1"/>
  <c r="K1656" i="1"/>
  <c r="H1657" i="1"/>
  <c r="I1657" i="1"/>
  <c r="L1657" i="1" s="1"/>
  <c r="J1657" i="1"/>
  <c r="K1657" i="1"/>
  <c r="H1658" i="1"/>
  <c r="I1658" i="1"/>
  <c r="L1658" i="1" s="1"/>
  <c r="J1658" i="1"/>
  <c r="K1658" i="1"/>
  <c r="H1659" i="1"/>
  <c r="I1659" i="1"/>
  <c r="L1659" i="1" s="1"/>
  <c r="J1659" i="1"/>
  <c r="K1659" i="1"/>
  <c r="H1660" i="1"/>
  <c r="I1660" i="1"/>
  <c r="L1660" i="1" s="1"/>
  <c r="J1660" i="1"/>
  <c r="K1660" i="1"/>
  <c r="H1661" i="1"/>
  <c r="I1661" i="1"/>
  <c r="L1661" i="1" s="1"/>
  <c r="J1661" i="1"/>
  <c r="K1661" i="1"/>
  <c r="H1662" i="1"/>
  <c r="I1662" i="1"/>
  <c r="L1662" i="1" s="1"/>
  <c r="J1662" i="1"/>
  <c r="K1662" i="1"/>
  <c r="H1663" i="1"/>
  <c r="I1663" i="1"/>
  <c r="L1663" i="1" s="1"/>
  <c r="J1663" i="1"/>
  <c r="K1663" i="1"/>
  <c r="H1664" i="1"/>
  <c r="I1664" i="1"/>
  <c r="L1664" i="1" s="1"/>
  <c r="J1664" i="1"/>
  <c r="K1664" i="1"/>
  <c r="H1665" i="1"/>
  <c r="I1665" i="1"/>
  <c r="L1665" i="1" s="1"/>
  <c r="J1665" i="1"/>
  <c r="K1665" i="1"/>
  <c r="H1666" i="1"/>
  <c r="I1666" i="1"/>
  <c r="L1666" i="1" s="1"/>
  <c r="J1666" i="1"/>
  <c r="K1666" i="1"/>
  <c r="H1667" i="1"/>
  <c r="I1667" i="1"/>
  <c r="L1667" i="1" s="1"/>
  <c r="J1667" i="1"/>
  <c r="K1667" i="1"/>
  <c r="H1668" i="1"/>
  <c r="I1668" i="1"/>
  <c r="L1668" i="1" s="1"/>
  <c r="J1668" i="1"/>
  <c r="K1668" i="1"/>
  <c r="H1669" i="1"/>
  <c r="I1669" i="1"/>
  <c r="L1669" i="1" s="1"/>
  <c r="J1669" i="1"/>
  <c r="K1669" i="1"/>
  <c r="H1670" i="1"/>
  <c r="I1670" i="1"/>
  <c r="L1670" i="1" s="1"/>
  <c r="J1670" i="1"/>
  <c r="K1670" i="1"/>
  <c r="H1671" i="1"/>
  <c r="I1671" i="1"/>
  <c r="L1671" i="1" s="1"/>
  <c r="J1671" i="1"/>
  <c r="K1671" i="1"/>
  <c r="H1672" i="1"/>
  <c r="I1672" i="1"/>
  <c r="L1672" i="1" s="1"/>
  <c r="J1672" i="1"/>
  <c r="K1672" i="1"/>
  <c r="H1673" i="1"/>
  <c r="I1673" i="1"/>
  <c r="L1673" i="1" s="1"/>
  <c r="J1673" i="1"/>
  <c r="K1673" i="1"/>
  <c r="H1674" i="1"/>
  <c r="I1674" i="1"/>
  <c r="L1674" i="1" s="1"/>
  <c r="J1674" i="1"/>
  <c r="K1674" i="1"/>
  <c r="H1675" i="1"/>
  <c r="I1675" i="1"/>
  <c r="L1675" i="1" s="1"/>
  <c r="J1675" i="1"/>
  <c r="K1675" i="1"/>
  <c r="H1676" i="1"/>
  <c r="I1676" i="1"/>
  <c r="L1676" i="1" s="1"/>
  <c r="J1676" i="1"/>
  <c r="K1676" i="1"/>
  <c r="H1677" i="1"/>
  <c r="I1677" i="1"/>
  <c r="L1677" i="1" s="1"/>
  <c r="J1677" i="1"/>
  <c r="K1677" i="1"/>
  <c r="H1678" i="1"/>
  <c r="I1678" i="1"/>
  <c r="L1678" i="1" s="1"/>
  <c r="J1678" i="1"/>
  <c r="K1678" i="1"/>
  <c r="H1679" i="1"/>
  <c r="I1679" i="1"/>
  <c r="L1679" i="1" s="1"/>
  <c r="J1679" i="1"/>
  <c r="K1679" i="1"/>
  <c r="H1680" i="1"/>
  <c r="I1680" i="1"/>
  <c r="L1680" i="1" s="1"/>
  <c r="J1680" i="1"/>
  <c r="K1680" i="1"/>
  <c r="H1681" i="1"/>
  <c r="I1681" i="1"/>
  <c r="L1681" i="1" s="1"/>
  <c r="J1681" i="1"/>
  <c r="K1681" i="1"/>
  <c r="H1682" i="1"/>
  <c r="I1682" i="1"/>
  <c r="L1682" i="1" s="1"/>
  <c r="J1682" i="1"/>
  <c r="K1682" i="1"/>
  <c r="H1683" i="1"/>
  <c r="I1683" i="1"/>
  <c r="L1683" i="1" s="1"/>
  <c r="J1683" i="1"/>
  <c r="K1683" i="1"/>
  <c r="H1684" i="1"/>
  <c r="I1684" i="1"/>
  <c r="L1684" i="1" s="1"/>
  <c r="J1684" i="1"/>
  <c r="K1684" i="1"/>
  <c r="H1685" i="1"/>
  <c r="I1685" i="1"/>
  <c r="L1685" i="1" s="1"/>
  <c r="J1685" i="1"/>
  <c r="K1685" i="1"/>
  <c r="H1686" i="1"/>
  <c r="I1686" i="1"/>
  <c r="L1686" i="1" s="1"/>
  <c r="J1686" i="1"/>
  <c r="K1686" i="1"/>
  <c r="H1687" i="1"/>
  <c r="I1687" i="1"/>
  <c r="L1687" i="1" s="1"/>
  <c r="J1687" i="1"/>
  <c r="K1687" i="1"/>
  <c r="H1688" i="1"/>
  <c r="I1688" i="1"/>
  <c r="L1688" i="1" s="1"/>
  <c r="J1688" i="1"/>
  <c r="K1688" i="1"/>
  <c r="H1689" i="1"/>
  <c r="I1689" i="1"/>
  <c r="L1689" i="1" s="1"/>
  <c r="J1689" i="1"/>
  <c r="K1689" i="1"/>
  <c r="H1690" i="1"/>
  <c r="I1690" i="1"/>
  <c r="L1690" i="1" s="1"/>
  <c r="J1690" i="1"/>
  <c r="K1690" i="1"/>
  <c r="H1691" i="1"/>
  <c r="I1691" i="1"/>
  <c r="L1691" i="1" s="1"/>
  <c r="J1691" i="1"/>
  <c r="K1691" i="1"/>
  <c r="H1692" i="1"/>
  <c r="I1692" i="1"/>
  <c r="L1692" i="1" s="1"/>
  <c r="J1692" i="1"/>
  <c r="K1692" i="1"/>
  <c r="H1693" i="1"/>
  <c r="I1693" i="1"/>
  <c r="L1693" i="1" s="1"/>
  <c r="J1693" i="1"/>
  <c r="K1693" i="1"/>
  <c r="H1694" i="1"/>
  <c r="I1694" i="1"/>
  <c r="L1694" i="1" s="1"/>
  <c r="J1694" i="1"/>
  <c r="K1694" i="1"/>
  <c r="H1695" i="1"/>
  <c r="I1695" i="1"/>
  <c r="L1695" i="1" s="1"/>
  <c r="J1695" i="1"/>
  <c r="K1695" i="1"/>
  <c r="H1696" i="1"/>
  <c r="I1696" i="1"/>
  <c r="L1696" i="1" s="1"/>
  <c r="J1696" i="1"/>
  <c r="K1696" i="1"/>
  <c r="H1697" i="1"/>
  <c r="I1697" i="1"/>
  <c r="L1697" i="1" s="1"/>
  <c r="J1697" i="1"/>
  <c r="K1697" i="1"/>
  <c r="H1698" i="1"/>
  <c r="I1698" i="1"/>
  <c r="L1698" i="1" s="1"/>
  <c r="J1698" i="1"/>
  <c r="K1698" i="1"/>
  <c r="H1699" i="1"/>
  <c r="I1699" i="1"/>
  <c r="L1699" i="1" s="1"/>
  <c r="J1699" i="1"/>
  <c r="K1699" i="1"/>
  <c r="H1700" i="1"/>
  <c r="I1700" i="1"/>
  <c r="L1700" i="1" s="1"/>
  <c r="J1700" i="1"/>
  <c r="K1700" i="1"/>
  <c r="H1701" i="1"/>
  <c r="I1701" i="1"/>
  <c r="L1701" i="1" s="1"/>
  <c r="J1701" i="1"/>
  <c r="K1701" i="1"/>
  <c r="H1702" i="1"/>
  <c r="I1702" i="1"/>
  <c r="L1702" i="1" s="1"/>
  <c r="J1702" i="1"/>
  <c r="K1702" i="1"/>
  <c r="H1703" i="1"/>
  <c r="I1703" i="1"/>
  <c r="L1703" i="1" s="1"/>
  <c r="J1703" i="1"/>
  <c r="K1703" i="1"/>
  <c r="H1704" i="1"/>
  <c r="I1704" i="1"/>
  <c r="L1704" i="1" s="1"/>
  <c r="J1704" i="1"/>
  <c r="K1704" i="1"/>
  <c r="H1705" i="1"/>
  <c r="I1705" i="1"/>
  <c r="L1705" i="1" s="1"/>
  <c r="J1705" i="1"/>
  <c r="K1705" i="1"/>
  <c r="H1706" i="1"/>
  <c r="I1706" i="1"/>
  <c r="L1706" i="1" s="1"/>
  <c r="J1706" i="1"/>
  <c r="K1706" i="1"/>
  <c r="H1707" i="1"/>
  <c r="I1707" i="1"/>
  <c r="L1707" i="1" s="1"/>
  <c r="J1707" i="1"/>
  <c r="K1707" i="1"/>
  <c r="H1708" i="1"/>
  <c r="I1708" i="1"/>
  <c r="L1708" i="1" s="1"/>
  <c r="J1708" i="1"/>
  <c r="K1708" i="1"/>
  <c r="H1709" i="1"/>
  <c r="I1709" i="1"/>
  <c r="L1709" i="1" s="1"/>
  <c r="J1709" i="1"/>
  <c r="K1709" i="1"/>
  <c r="H1710" i="1"/>
  <c r="I1710" i="1"/>
  <c r="L1710" i="1" s="1"/>
  <c r="J1710" i="1"/>
  <c r="K1710" i="1"/>
  <c r="H1711" i="1"/>
  <c r="I1711" i="1"/>
  <c r="L1711" i="1" s="1"/>
  <c r="J1711" i="1"/>
  <c r="K1711" i="1"/>
  <c r="H1712" i="1"/>
  <c r="I1712" i="1"/>
  <c r="L1712" i="1" s="1"/>
  <c r="J1712" i="1"/>
  <c r="K1712" i="1"/>
  <c r="H1713" i="1"/>
  <c r="I1713" i="1"/>
  <c r="L1713" i="1" s="1"/>
  <c r="J1713" i="1"/>
  <c r="K1713" i="1"/>
  <c r="H1714" i="1"/>
  <c r="I1714" i="1"/>
  <c r="L1714" i="1" s="1"/>
  <c r="J1714" i="1"/>
  <c r="K1714" i="1"/>
  <c r="H1715" i="1"/>
  <c r="I1715" i="1"/>
  <c r="L1715" i="1" s="1"/>
  <c r="J1715" i="1"/>
  <c r="K1715" i="1"/>
  <c r="H1716" i="1"/>
  <c r="I1716" i="1"/>
  <c r="L1716" i="1" s="1"/>
  <c r="J1716" i="1"/>
  <c r="K1716" i="1"/>
  <c r="H1717" i="1"/>
  <c r="I1717" i="1"/>
  <c r="L1717" i="1" s="1"/>
  <c r="J1717" i="1"/>
  <c r="K1717" i="1"/>
  <c r="H1718" i="1"/>
  <c r="I1718" i="1"/>
  <c r="L1718" i="1" s="1"/>
  <c r="J1718" i="1"/>
  <c r="K1718" i="1"/>
  <c r="H1719" i="1"/>
  <c r="I1719" i="1"/>
  <c r="L1719" i="1" s="1"/>
  <c r="J1719" i="1"/>
  <c r="K1719" i="1"/>
  <c r="H1720" i="1"/>
  <c r="I1720" i="1"/>
  <c r="L1720" i="1" s="1"/>
  <c r="J1720" i="1"/>
  <c r="K1720" i="1"/>
  <c r="H1721" i="1"/>
  <c r="I1721" i="1"/>
  <c r="L1721" i="1" s="1"/>
  <c r="J1721" i="1"/>
  <c r="K1721" i="1"/>
  <c r="H1722" i="1"/>
  <c r="I1722" i="1"/>
  <c r="L1722" i="1" s="1"/>
  <c r="J1722" i="1"/>
  <c r="K1722" i="1"/>
  <c r="H1723" i="1"/>
  <c r="I1723" i="1"/>
  <c r="L1723" i="1" s="1"/>
  <c r="J1723" i="1"/>
  <c r="K1723" i="1"/>
  <c r="H1724" i="1"/>
  <c r="I1724" i="1"/>
  <c r="L1724" i="1" s="1"/>
  <c r="J1724" i="1"/>
  <c r="K1724" i="1"/>
  <c r="H1725" i="1"/>
  <c r="I1725" i="1"/>
  <c r="L1725" i="1" s="1"/>
  <c r="J1725" i="1"/>
  <c r="K1725" i="1"/>
  <c r="H1726" i="1"/>
  <c r="I1726" i="1"/>
  <c r="L1726" i="1" s="1"/>
  <c r="J1726" i="1"/>
  <c r="K1726" i="1"/>
  <c r="H1727" i="1"/>
  <c r="I1727" i="1"/>
  <c r="L1727" i="1" s="1"/>
  <c r="J1727" i="1"/>
  <c r="K1727" i="1"/>
  <c r="H1728" i="1"/>
  <c r="I1728" i="1"/>
  <c r="L1728" i="1" s="1"/>
  <c r="J1728" i="1"/>
  <c r="K1728" i="1"/>
  <c r="H1729" i="1"/>
  <c r="I1729" i="1"/>
  <c r="L1729" i="1" s="1"/>
  <c r="J1729" i="1"/>
  <c r="K1729" i="1"/>
  <c r="H1730" i="1"/>
  <c r="I1730" i="1"/>
  <c r="L1730" i="1" s="1"/>
  <c r="J1730" i="1"/>
  <c r="K1730" i="1"/>
  <c r="H1731" i="1"/>
  <c r="I1731" i="1"/>
  <c r="L1731" i="1" s="1"/>
  <c r="J1731" i="1"/>
  <c r="K1731" i="1"/>
  <c r="H1732" i="1"/>
  <c r="I1732" i="1"/>
  <c r="L1732" i="1" s="1"/>
  <c r="J1732" i="1"/>
  <c r="K1732" i="1"/>
  <c r="H1733" i="1"/>
  <c r="I1733" i="1"/>
  <c r="L1733" i="1" s="1"/>
  <c r="J1733" i="1"/>
  <c r="K1733" i="1"/>
  <c r="H1734" i="1"/>
  <c r="I1734" i="1"/>
  <c r="L1734" i="1" s="1"/>
  <c r="J1734" i="1"/>
  <c r="K1734" i="1"/>
  <c r="H1735" i="1"/>
  <c r="I1735" i="1"/>
  <c r="L1735" i="1" s="1"/>
  <c r="J1735" i="1"/>
  <c r="K1735" i="1"/>
  <c r="H1736" i="1"/>
  <c r="I1736" i="1"/>
  <c r="L1736" i="1" s="1"/>
  <c r="J1736" i="1"/>
  <c r="K1736" i="1"/>
  <c r="H1737" i="1"/>
  <c r="I1737" i="1"/>
  <c r="L1737" i="1" s="1"/>
  <c r="J1737" i="1"/>
  <c r="K1737" i="1"/>
  <c r="H1738" i="1"/>
  <c r="I1738" i="1"/>
  <c r="L1738" i="1" s="1"/>
  <c r="J1738" i="1"/>
  <c r="K1738" i="1"/>
  <c r="H1739" i="1"/>
  <c r="I1739" i="1"/>
  <c r="L1739" i="1" s="1"/>
  <c r="J1739" i="1"/>
  <c r="K1739" i="1"/>
  <c r="H1740" i="1"/>
  <c r="I1740" i="1"/>
  <c r="L1740" i="1" s="1"/>
  <c r="J1740" i="1"/>
  <c r="K1740" i="1"/>
  <c r="H1741" i="1"/>
  <c r="I1741" i="1"/>
  <c r="L1741" i="1" s="1"/>
  <c r="J1741" i="1"/>
  <c r="K1741" i="1"/>
  <c r="H1742" i="1"/>
  <c r="I1742" i="1"/>
  <c r="L1742" i="1" s="1"/>
  <c r="J1742" i="1"/>
  <c r="K1742" i="1"/>
  <c r="H1743" i="1"/>
  <c r="I1743" i="1"/>
  <c r="L1743" i="1" s="1"/>
  <c r="J1743" i="1"/>
  <c r="K1743" i="1"/>
  <c r="H1744" i="1"/>
  <c r="I1744" i="1"/>
  <c r="L1744" i="1" s="1"/>
  <c r="J1744" i="1"/>
  <c r="K1744" i="1"/>
  <c r="H1745" i="1"/>
  <c r="I1745" i="1"/>
  <c r="L1745" i="1" s="1"/>
  <c r="J1745" i="1"/>
  <c r="K1745" i="1"/>
  <c r="H1746" i="1"/>
  <c r="I1746" i="1"/>
  <c r="L1746" i="1" s="1"/>
  <c r="J1746" i="1"/>
  <c r="K1746" i="1"/>
  <c r="H1747" i="1"/>
  <c r="I1747" i="1"/>
  <c r="L1747" i="1" s="1"/>
  <c r="J1747" i="1"/>
  <c r="K1747" i="1"/>
  <c r="H1748" i="1"/>
  <c r="I1748" i="1"/>
  <c r="L1748" i="1" s="1"/>
  <c r="J1748" i="1"/>
  <c r="K1748" i="1"/>
  <c r="H1749" i="1"/>
  <c r="I1749" i="1"/>
  <c r="L1749" i="1" s="1"/>
  <c r="J1749" i="1"/>
  <c r="K1749" i="1"/>
  <c r="H1750" i="1"/>
  <c r="I1750" i="1"/>
  <c r="L1750" i="1" s="1"/>
  <c r="J1750" i="1"/>
  <c r="K1750" i="1"/>
  <c r="H1751" i="1"/>
  <c r="I1751" i="1"/>
  <c r="L1751" i="1" s="1"/>
  <c r="J1751" i="1"/>
  <c r="K1751" i="1"/>
  <c r="H1752" i="1"/>
  <c r="I1752" i="1"/>
  <c r="L1752" i="1" s="1"/>
  <c r="J1752" i="1"/>
  <c r="K1752" i="1"/>
  <c r="H1753" i="1"/>
  <c r="I1753" i="1"/>
  <c r="L1753" i="1" s="1"/>
  <c r="J1753" i="1"/>
  <c r="K1753" i="1"/>
  <c r="H1754" i="1"/>
  <c r="I1754" i="1"/>
  <c r="L1754" i="1" s="1"/>
  <c r="J1754" i="1"/>
  <c r="K1754" i="1"/>
  <c r="H1755" i="1"/>
  <c r="I1755" i="1"/>
  <c r="L1755" i="1" s="1"/>
  <c r="J1755" i="1"/>
  <c r="K1755" i="1"/>
  <c r="H1756" i="1"/>
  <c r="I1756" i="1"/>
  <c r="L1756" i="1" s="1"/>
  <c r="J1756" i="1"/>
  <c r="K1756" i="1"/>
  <c r="H1757" i="1"/>
  <c r="I1757" i="1"/>
  <c r="L1757" i="1" s="1"/>
  <c r="J1757" i="1"/>
  <c r="K1757" i="1"/>
  <c r="H1758" i="1"/>
  <c r="I1758" i="1"/>
  <c r="L1758" i="1" s="1"/>
  <c r="J1758" i="1"/>
  <c r="K1758" i="1"/>
  <c r="H1759" i="1"/>
  <c r="I1759" i="1"/>
  <c r="L1759" i="1" s="1"/>
  <c r="J1759" i="1"/>
  <c r="K1759" i="1"/>
  <c r="H1760" i="1"/>
  <c r="I1760" i="1"/>
  <c r="L1760" i="1" s="1"/>
  <c r="J1760" i="1"/>
  <c r="K1760" i="1"/>
  <c r="H1761" i="1"/>
  <c r="I1761" i="1"/>
  <c r="L1761" i="1" s="1"/>
  <c r="J1761" i="1"/>
  <c r="K1761" i="1"/>
  <c r="H1762" i="1"/>
  <c r="I1762" i="1"/>
  <c r="L1762" i="1" s="1"/>
  <c r="J1762" i="1"/>
  <c r="K1762" i="1"/>
  <c r="H1763" i="1"/>
  <c r="I1763" i="1"/>
  <c r="L1763" i="1" s="1"/>
  <c r="J1763" i="1"/>
  <c r="K1763" i="1"/>
  <c r="H1764" i="1"/>
  <c r="I1764" i="1"/>
  <c r="L1764" i="1" s="1"/>
  <c r="J1764" i="1"/>
  <c r="K1764" i="1"/>
  <c r="H1765" i="1"/>
  <c r="I1765" i="1"/>
  <c r="L1765" i="1" s="1"/>
  <c r="J1765" i="1"/>
  <c r="K1765" i="1"/>
  <c r="H1766" i="1"/>
  <c r="I1766" i="1"/>
  <c r="L1766" i="1" s="1"/>
  <c r="J1766" i="1"/>
  <c r="K1766" i="1"/>
  <c r="H1767" i="1"/>
  <c r="I1767" i="1"/>
  <c r="L1767" i="1" s="1"/>
  <c r="J1767" i="1"/>
  <c r="K1767" i="1"/>
  <c r="H1768" i="1"/>
  <c r="I1768" i="1"/>
  <c r="L1768" i="1" s="1"/>
  <c r="J1768" i="1"/>
  <c r="K1768" i="1"/>
  <c r="H1769" i="1"/>
  <c r="I1769" i="1"/>
  <c r="L1769" i="1" s="1"/>
  <c r="J1769" i="1"/>
  <c r="K1769" i="1"/>
  <c r="H1770" i="1"/>
  <c r="I1770" i="1"/>
  <c r="L1770" i="1" s="1"/>
  <c r="J1770" i="1"/>
  <c r="K1770" i="1"/>
  <c r="H1771" i="1"/>
  <c r="I1771" i="1"/>
  <c r="L1771" i="1" s="1"/>
  <c r="J1771" i="1"/>
  <c r="K1771" i="1"/>
  <c r="H1772" i="1"/>
  <c r="I1772" i="1"/>
  <c r="L1772" i="1" s="1"/>
  <c r="J1772" i="1"/>
  <c r="K1772" i="1"/>
  <c r="H1773" i="1"/>
  <c r="I1773" i="1"/>
  <c r="L1773" i="1" s="1"/>
  <c r="J1773" i="1"/>
  <c r="K1773" i="1"/>
  <c r="H1774" i="1"/>
  <c r="I1774" i="1"/>
  <c r="L1774" i="1" s="1"/>
  <c r="J1774" i="1"/>
  <c r="K1774" i="1"/>
  <c r="H1775" i="1"/>
  <c r="I1775" i="1"/>
  <c r="L1775" i="1" s="1"/>
  <c r="J1775" i="1"/>
  <c r="K1775" i="1"/>
  <c r="H1776" i="1"/>
  <c r="I1776" i="1"/>
  <c r="L1776" i="1" s="1"/>
  <c r="J1776" i="1"/>
  <c r="K1776" i="1"/>
  <c r="H1777" i="1"/>
  <c r="I1777" i="1"/>
  <c r="L1777" i="1" s="1"/>
  <c r="J1777" i="1"/>
  <c r="K1777" i="1"/>
  <c r="H1778" i="1"/>
  <c r="I1778" i="1"/>
  <c r="L1778" i="1" s="1"/>
  <c r="J1778" i="1"/>
  <c r="K1778" i="1"/>
  <c r="H1779" i="1"/>
  <c r="I1779" i="1"/>
  <c r="L1779" i="1" s="1"/>
  <c r="J1779" i="1"/>
  <c r="K1779" i="1"/>
  <c r="H1780" i="1"/>
  <c r="I1780" i="1"/>
  <c r="L1780" i="1" s="1"/>
  <c r="J1780" i="1"/>
  <c r="K1780" i="1"/>
  <c r="H1781" i="1"/>
  <c r="I1781" i="1"/>
  <c r="L1781" i="1" s="1"/>
  <c r="J1781" i="1"/>
  <c r="K1781" i="1"/>
  <c r="H1782" i="1"/>
  <c r="I1782" i="1"/>
  <c r="L1782" i="1" s="1"/>
  <c r="J1782" i="1"/>
  <c r="K1782" i="1"/>
  <c r="H1783" i="1"/>
  <c r="I1783" i="1"/>
  <c r="L1783" i="1" s="1"/>
  <c r="J1783" i="1"/>
  <c r="K1783" i="1"/>
  <c r="H1784" i="1"/>
  <c r="I1784" i="1"/>
  <c r="L1784" i="1" s="1"/>
  <c r="J1784" i="1"/>
  <c r="K1784" i="1"/>
  <c r="H1785" i="1"/>
  <c r="I1785" i="1"/>
  <c r="L1785" i="1" s="1"/>
  <c r="J1785" i="1"/>
  <c r="K1785" i="1"/>
  <c r="H1786" i="1"/>
  <c r="I1786" i="1"/>
  <c r="L1786" i="1" s="1"/>
  <c r="J1786" i="1"/>
  <c r="K1786" i="1"/>
  <c r="H1787" i="1"/>
  <c r="I1787" i="1"/>
  <c r="L1787" i="1" s="1"/>
  <c r="J1787" i="1"/>
  <c r="K1787" i="1"/>
  <c r="H1788" i="1"/>
  <c r="I1788" i="1"/>
  <c r="L1788" i="1" s="1"/>
  <c r="J1788" i="1"/>
  <c r="K1788" i="1"/>
  <c r="H1789" i="1"/>
  <c r="I1789" i="1"/>
  <c r="L1789" i="1" s="1"/>
  <c r="J1789" i="1"/>
  <c r="K1789" i="1"/>
  <c r="H1790" i="1"/>
  <c r="I1790" i="1"/>
  <c r="L1790" i="1" s="1"/>
  <c r="J1790" i="1"/>
  <c r="K1790" i="1"/>
  <c r="H1791" i="1"/>
  <c r="I1791" i="1"/>
  <c r="L1791" i="1" s="1"/>
  <c r="J1791" i="1"/>
  <c r="K1791" i="1"/>
  <c r="H1792" i="1"/>
  <c r="I1792" i="1"/>
  <c r="L1792" i="1" s="1"/>
  <c r="J1792" i="1"/>
  <c r="K1792" i="1"/>
  <c r="H1793" i="1"/>
  <c r="I1793" i="1"/>
  <c r="L1793" i="1" s="1"/>
  <c r="J1793" i="1"/>
  <c r="K1793" i="1"/>
  <c r="H1794" i="1"/>
  <c r="I1794" i="1"/>
  <c r="L1794" i="1" s="1"/>
  <c r="J1794" i="1"/>
  <c r="K1794" i="1"/>
  <c r="H1795" i="1"/>
  <c r="I1795" i="1"/>
  <c r="L1795" i="1" s="1"/>
  <c r="J1795" i="1"/>
  <c r="K1795" i="1"/>
  <c r="H1796" i="1"/>
  <c r="I1796" i="1"/>
  <c r="L1796" i="1" s="1"/>
  <c r="J1796" i="1"/>
  <c r="K1796" i="1"/>
  <c r="H1797" i="1"/>
  <c r="I1797" i="1"/>
  <c r="L1797" i="1" s="1"/>
  <c r="J1797" i="1"/>
  <c r="K1797" i="1"/>
  <c r="H1798" i="1"/>
  <c r="I1798" i="1"/>
  <c r="L1798" i="1" s="1"/>
  <c r="J1798" i="1"/>
  <c r="K1798" i="1"/>
  <c r="H1799" i="1"/>
  <c r="I1799" i="1"/>
  <c r="L1799" i="1" s="1"/>
  <c r="J1799" i="1"/>
  <c r="K1799" i="1"/>
  <c r="H1800" i="1"/>
  <c r="I1800" i="1"/>
  <c r="L1800" i="1" s="1"/>
  <c r="J1800" i="1"/>
  <c r="K1800" i="1"/>
  <c r="H1801" i="1"/>
  <c r="I1801" i="1"/>
  <c r="L1801" i="1" s="1"/>
  <c r="J1801" i="1"/>
  <c r="K1801" i="1"/>
  <c r="H1802" i="1"/>
  <c r="I1802" i="1"/>
  <c r="L1802" i="1" s="1"/>
  <c r="J1802" i="1"/>
  <c r="K1802" i="1"/>
  <c r="H1803" i="1"/>
  <c r="I1803" i="1"/>
  <c r="L1803" i="1" s="1"/>
  <c r="J1803" i="1"/>
  <c r="K1803" i="1"/>
  <c r="H1804" i="1"/>
  <c r="I1804" i="1"/>
  <c r="L1804" i="1" s="1"/>
  <c r="J1804" i="1"/>
  <c r="K1804" i="1"/>
  <c r="H1805" i="1"/>
  <c r="I1805" i="1"/>
  <c r="L1805" i="1" s="1"/>
  <c r="J1805" i="1"/>
  <c r="K1805" i="1"/>
  <c r="H1806" i="1"/>
  <c r="I1806" i="1"/>
  <c r="L1806" i="1" s="1"/>
  <c r="J1806" i="1"/>
  <c r="K1806" i="1"/>
  <c r="H1807" i="1"/>
  <c r="I1807" i="1"/>
  <c r="L1807" i="1" s="1"/>
  <c r="J1807" i="1"/>
  <c r="K1807" i="1"/>
  <c r="H1808" i="1"/>
  <c r="I1808" i="1"/>
  <c r="L1808" i="1" s="1"/>
  <c r="J1808" i="1"/>
  <c r="K1808" i="1"/>
  <c r="H1809" i="1"/>
  <c r="I1809" i="1"/>
  <c r="L1809" i="1" s="1"/>
  <c r="J1809" i="1"/>
  <c r="K1809" i="1"/>
  <c r="H1810" i="1"/>
  <c r="I1810" i="1"/>
  <c r="L1810" i="1" s="1"/>
  <c r="J1810" i="1"/>
  <c r="K1810" i="1"/>
  <c r="H1811" i="1"/>
  <c r="I1811" i="1"/>
  <c r="L1811" i="1" s="1"/>
  <c r="J1811" i="1"/>
  <c r="K1811" i="1"/>
  <c r="H1812" i="1"/>
  <c r="I1812" i="1"/>
  <c r="L1812" i="1" s="1"/>
  <c r="J1812" i="1"/>
  <c r="K1812" i="1"/>
  <c r="H1813" i="1"/>
  <c r="I1813" i="1"/>
  <c r="L1813" i="1" s="1"/>
  <c r="J1813" i="1"/>
  <c r="K1813" i="1"/>
  <c r="H1814" i="1"/>
  <c r="I1814" i="1"/>
  <c r="L1814" i="1" s="1"/>
  <c r="J1814" i="1"/>
  <c r="K1814" i="1"/>
  <c r="H1815" i="1"/>
  <c r="I1815" i="1"/>
  <c r="L1815" i="1" s="1"/>
  <c r="J1815" i="1"/>
  <c r="K1815" i="1"/>
  <c r="H1816" i="1"/>
  <c r="I1816" i="1"/>
  <c r="L1816" i="1" s="1"/>
  <c r="J1816" i="1"/>
  <c r="K1816" i="1"/>
  <c r="H1817" i="1"/>
  <c r="I1817" i="1"/>
  <c r="L1817" i="1" s="1"/>
  <c r="J1817" i="1"/>
  <c r="K1817" i="1"/>
  <c r="H1818" i="1"/>
  <c r="I1818" i="1"/>
  <c r="L1818" i="1" s="1"/>
  <c r="J1818" i="1"/>
  <c r="K1818" i="1"/>
  <c r="H1819" i="1"/>
  <c r="I1819" i="1"/>
  <c r="L1819" i="1" s="1"/>
  <c r="J1819" i="1"/>
  <c r="K1819" i="1"/>
  <c r="H1820" i="1"/>
  <c r="I1820" i="1"/>
  <c r="L1820" i="1" s="1"/>
  <c r="J1820" i="1"/>
  <c r="K1820" i="1"/>
  <c r="H1821" i="1"/>
  <c r="I1821" i="1"/>
  <c r="L1821" i="1" s="1"/>
  <c r="J1821" i="1"/>
  <c r="K1821" i="1"/>
  <c r="H1822" i="1"/>
  <c r="I1822" i="1"/>
  <c r="L1822" i="1" s="1"/>
  <c r="J1822" i="1"/>
  <c r="K1822" i="1"/>
  <c r="H1823" i="1"/>
  <c r="I1823" i="1"/>
  <c r="L1823" i="1" s="1"/>
  <c r="J1823" i="1"/>
  <c r="K1823" i="1"/>
  <c r="H1824" i="1"/>
  <c r="I1824" i="1"/>
  <c r="L1824" i="1" s="1"/>
  <c r="J1824" i="1"/>
  <c r="K1824" i="1"/>
  <c r="H1825" i="1"/>
  <c r="I1825" i="1"/>
  <c r="L1825" i="1" s="1"/>
  <c r="J1825" i="1"/>
  <c r="K1825" i="1"/>
  <c r="H1826" i="1"/>
  <c r="I1826" i="1"/>
  <c r="L1826" i="1" s="1"/>
  <c r="J1826" i="1"/>
  <c r="K1826" i="1"/>
  <c r="H1827" i="1"/>
  <c r="I1827" i="1"/>
  <c r="L1827" i="1" s="1"/>
  <c r="J1827" i="1"/>
  <c r="K1827" i="1"/>
  <c r="H1828" i="1"/>
  <c r="I1828" i="1"/>
  <c r="L1828" i="1" s="1"/>
  <c r="J1828" i="1"/>
  <c r="K1828" i="1"/>
  <c r="H1829" i="1"/>
  <c r="I1829" i="1"/>
  <c r="L1829" i="1" s="1"/>
  <c r="J1829" i="1"/>
  <c r="K1829" i="1"/>
  <c r="H1830" i="1"/>
  <c r="I1830" i="1"/>
  <c r="L1830" i="1" s="1"/>
  <c r="J1830" i="1"/>
  <c r="K1830" i="1"/>
  <c r="H1831" i="1"/>
  <c r="I1831" i="1"/>
  <c r="L1831" i="1" s="1"/>
  <c r="J1831" i="1"/>
  <c r="K1831" i="1"/>
  <c r="H1832" i="1"/>
  <c r="I1832" i="1"/>
  <c r="L1832" i="1" s="1"/>
  <c r="J1832" i="1"/>
  <c r="K1832" i="1"/>
  <c r="H1833" i="1"/>
  <c r="I1833" i="1"/>
  <c r="L1833" i="1" s="1"/>
  <c r="J1833" i="1"/>
  <c r="K1833" i="1"/>
  <c r="H1834" i="1"/>
  <c r="I1834" i="1"/>
  <c r="L1834" i="1" s="1"/>
  <c r="J1834" i="1"/>
  <c r="K1834" i="1"/>
  <c r="H1835" i="1"/>
  <c r="I1835" i="1"/>
  <c r="L1835" i="1" s="1"/>
  <c r="J1835" i="1"/>
  <c r="K1835" i="1"/>
  <c r="H1836" i="1"/>
  <c r="I1836" i="1"/>
  <c r="L1836" i="1" s="1"/>
  <c r="J1836" i="1"/>
  <c r="K1836" i="1"/>
  <c r="H1837" i="1"/>
  <c r="I1837" i="1"/>
  <c r="L1837" i="1" s="1"/>
  <c r="J1837" i="1"/>
  <c r="K1837" i="1"/>
  <c r="H1838" i="1"/>
  <c r="I1838" i="1"/>
  <c r="L1838" i="1" s="1"/>
  <c r="J1838" i="1"/>
  <c r="K1838" i="1"/>
  <c r="H1839" i="1"/>
  <c r="I1839" i="1"/>
  <c r="L1839" i="1" s="1"/>
  <c r="J1839" i="1"/>
  <c r="K1839" i="1"/>
  <c r="H1840" i="1"/>
  <c r="I1840" i="1"/>
  <c r="L1840" i="1" s="1"/>
  <c r="J1840" i="1"/>
  <c r="K1840" i="1"/>
  <c r="H1841" i="1"/>
  <c r="I1841" i="1"/>
  <c r="L1841" i="1" s="1"/>
  <c r="J1841" i="1"/>
  <c r="K1841" i="1"/>
  <c r="H1842" i="1"/>
  <c r="I1842" i="1"/>
  <c r="L1842" i="1" s="1"/>
  <c r="J1842" i="1"/>
  <c r="K1842" i="1"/>
  <c r="H1843" i="1"/>
  <c r="I1843" i="1"/>
  <c r="L1843" i="1" s="1"/>
  <c r="J1843" i="1"/>
  <c r="K1843" i="1"/>
  <c r="H1844" i="1"/>
  <c r="I1844" i="1"/>
  <c r="L1844" i="1" s="1"/>
  <c r="J1844" i="1"/>
  <c r="K1844" i="1"/>
  <c r="H1845" i="1"/>
  <c r="I1845" i="1"/>
  <c r="L1845" i="1" s="1"/>
  <c r="J1845" i="1"/>
  <c r="K1845" i="1"/>
  <c r="H1846" i="1"/>
  <c r="I1846" i="1"/>
  <c r="L1846" i="1" s="1"/>
  <c r="J1846" i="1"/>
  <c r="K1846" i="1"/>
  <c r="H1847" i="1"/>
  <c r="I1847" i="1"/>
  <c r="L1847" i="1" s="1"/>
  <c r="J1847" i="1"/>
  <c r="K1847" i="1"/>
  <c r="H1848" i="1"/>
  <c r="I1848" i="1"/>
  <c r="L1848" i="1" s="1"/>
  <c r="J1848" i="1"/>
  <c r="K1848" i="1"/>
  <c r="H1849" i="1"/>
  <c r="I1849" i="1"/>
  <c r="L1849" i="1" s="1"/>
  <c r="J1849" i="1"/>
  <c r="K1849" i="1"/>
  <c r="H1850" i="1"/>
  <c r="I1850" i="1"/>
  <c r="L1850" i="1" s="1"/>
  <c r="J1850" i="1"/>
  <c r="K1850" i="1"/>
  <c r="H1851" i="1"/>
  <c r="I1851" i="1"/>
  <c r="L1851" i="1" s="1"/>
  <c r="J1851" i="1"/>
  <c r="K1851" i="1"/>
  <c r="H1852" i="1"/>
  <c r="I1852" i="1"/>
  <c r="L1852" i="1" s="1"/>
  <c r="J1852" i="1"/>
  <c r="K1852" i="1"/>
  <c r="H1853" i="1"/>
  <c r="I1853" i="1"/>
  <c r="L1853" i="1" s="1"/>
  <c r="J1853" i="1"/>
  <c r="K1853" i="1"/>
  <c r="H1854" i="1"/>
  <c r="I1854" i="1"/>
  <c r="L1854" i="1" s="1"/>
  <c r="J1854" i="1"/>
  <c r="K1854" i="1"/>
  <c r="H1855" i="1"/>
  <c r="I1855" i="1"/>
  <c r="L1855" i="1" s="1"/>
  <c r="J1855" i="1"/>
  <c r="K1855" i="1"/>
  <c r="H1856" i="1"/>
  <c r="I1856" i="1"/>
  <c r="L1856" i="1" s="1"/>
  <c r="J1856" i="1"/>
  <c r="K1856" i="1"/>
  <c r="H1857" i="1"/>
  <c r="I1857" i="1"/>
  <c r="L1857" i="1" s="1"/>
  <c r="J1857" i="1"/>
  <c r="K1857" i="1"/>
  <c r="H1858" i="1"/>
  <c r="I1858" i="1"/>
  <c r="L1858" i="1" s="1"/>
  <c r="J1858" i="1"/>
  <c r="K1858" i="1"/>
  <c r="H1859" i="1"/>
  <c r="I1859" i="1"/>
  <c r="L1859" i="1" s="1"/>
  <c r="J1859" i="1"/>
  <c r="K1859" i="1"/>
  <c r="H1860" i="1"/>
  <c r="I1860" i="1"/>
  <c r="L1860" i="1" s="1"/>
  <c r="J1860" i="1"/>
  <c r="K1860" i="1"/>
  <c r="H1861" i="1"/>
  <c r="I1861" i="1"/>
  <c r="L1861" i="1" s="1"/>
  <c r="J1861" i="1"/>
  <c r="K1861" i="1"/>
  <c r="H1862" i="1"/>
  <c r="I1862" i="1"/>
  <c r="L1862" i="1" s="1"/>
  <c r="J1862" i="1"/>
  <c r="K1862" i="1"/>
  <c r="H1863" i="1"/>
  <c r="I1863" i="1"/>
  <c r="L1863" i="1" s="1"/>
  <c r="J1863" i="1"/>
  <c r="K1863" i="1"/>
  <c r="H1864" i="1"/>
  <c r="I1864" i="1"/>
  <c r="L1864" i="1" s="1"/>
  <c r="J1864" i="1"/>
  <c r="K1864" i="1"/>
  <c r="H1865" i="1"/>
  <c r="I1865" i="1"/>
  <c r="L1865" i="1" s="1"/>
  <c r="J1865" i="1"/>
  <c r="K1865" i="1"/>
  <c r="H1866" i="1"/>
  <c r="I1866" i="1"/>
  <c r="L1866" i="1" s="1"/>
  <c r="J1866" i="1"/>
  <c r="K1866" i="1"/>
  <c r="H1867" i="1"/>
  <c r="I1867" i="1"/>
  <c r="L1867" i="1" s="1"/>
  <c r="J1867" i="1"/>
  <c r="K1867" i="1"/>
  <c r="H1868" i="1"/>
  <c r="I1868" i="1"/>
  <c r="L1868" i="1" s="1"/>
  <c r="J1868" i="1"/>
  <c r="K1868" i="1"/>
  <c r="H1869" i="1"/>
  <c r="I1869" i="1"/>
  <c r="L1869" i="1" s="1"/>
  <c r="J1869" i="1"/>
  <c r="K1869" i="1"/>
  <c r="H1870" i="1"/>
  <c r="I1870" i="1"/>
  <c r="L1870" i="1" s="1"/>
  <c r="J1870" i="1"/>
  <c r="K1870" i="1"/>
  <c r="H1871" i="1"/>
  <c r="I1871" i="1"/>
  <c r="L1871" i="1" s="1"/>
  <c r="J1871" i="1"/>
  <c r="K1871" i="1"/>
  <c r="H1872" i="1"/>
  <c r="I1872" i="1"/>
  <c r="L1872" i="1" s="1"/>
  <c r="J1872" i="1"/>
  <c r="K1872" i="1"/>
  <c r="H1873" i="1"/>
  <c r="I1873" i="1"/>
  <c r="L1873" i="1" s="1"/>
  <c r="J1873" i="1"/>
  <c r="K1873" i="1"/>
  <c r="H1874" i="1"/>
  <c r="I1874" i="1"/>
  <c r="L1874" i="1" s="1"/>
  <c r="J1874" i="1"/>
  <c r="K1874" i="1"/>
  <c r="H1875" i="1"/>
  <c r="I1875" i="1"/>
  <c r="L1875" i="1" s="1"/>
  <c r="J1875" i="1"/>
  <c r="K1875" i="1"/>
  <c r="H1876" i="1"/>
  <c r="I1876" i="1"/>
  <c r="L1876" i="1" s="1"/>
  <c r="J1876" i="1"/>
  <c r="K1876" i="1"/>
  <c r="H1877" i="1"/>
  <c r="I1877" i="1"/>
  <c r="L1877" i="1" s="1"/>
  <c r="J1877" i="1"/>
  <c r="K1877" i="1"/>
  <c r="H1878" i="1"/>
  <c r="I1878" i="1"/>
  <c r="L1878" i="1" s="1"/>
  <c r="J1878" i="1"/>
  <c r="K1878" i="1"/>
  <c r="H1879" i="1"/>
  <c r="I1879" i="1"/>
  <c r="L1879" i="1" s="1"/>
  <c r="J1879" i="1"/>
  <c r="K1879" i="1"/>
  <c r="H1880" i="1"/>
  <c r="I1880" i="1"/>
  <c r="L1880" i="1" s="1"/>
  <c r="J1880" i="1"/>
  <c r="K1880" i="1"/>
  <c r="H1881" i="1"/>
  <c r="I1881" i="1"/>
  <c r="L1881" i="1" s="1"/>
  <c r="J1881" i="1"/>
  <c r="K1881" i="1"/>
  <c r="H1882" i="1"/>
  <c r="I1882" i="1"/>
  <c r="L1882" i="1" s="1"/>
  <c r="J1882" i="1"/>
  <c r="K1882" i="1"/>
  <c r="H1883" i="1"/>
  <c r="I1883" i="1"/>
  <c r="L1883" i="1" s="1"/>
  <c r="J1883" i="1"/>
  <c r="K1883" i="1"/>
  <c r="H1884" i="1"/>
  <c r="I1884" i="1"/>
  <c r="L1884" i="1" s="1"/>
  <c r="J1884" i="1"/>
  <c r="K1884" i="1"/>
  <c r="H1885" i="1"/>
  <c r="I1885" i="1"/>
  <c r="L1885" i="1" s="1"/>
  <c r="J1885" i="1"/>
  <c r="K1885" i="1"/>
  <c r="H1886" i="1"/>
  <c r="I1886" i="1"/>
  <c r="L1886" i="1" s="1"/>
  <c r="J1886" i="1"/>
  <c r="K1886" i="1"/>
  <c r="H1887" i="1"/>
  <c r="I1887" i="1"/>
  <c r="L1887" i="1" s="1"/>
  <c r="J1887" i="1"/>
  <c r="K1887" i="1"/>
  <c r="H1888" i="1"/>
  <c r="I1888" i="1"/>
  <c r="L1888" i="1" s="1"/>
  <c r="J1888" i="1"/>
  <c r="K1888" i="1"/>
  <c r="H1889" i="1"/>
  <c r="I1889" i="1"/>
  <c r="L1889" i="1" s="1"/>
  <c r="J1889" i="1"/>
  <c r="K1889" i="1"/>
  <c r="H1890" i="1"/>
  <c r="I1890" i="1"/>
  <c r="L1890" i="1" s="1"/>
  <c r="J1890" i="1"/>
  <c r="K1890" i="1"/>
  <c r="H1891" i="1"/>
  <c r="I1891" i="1"/>
  <c r="L1891" i="1" s="1"/>
  <c r="J1891" i="1"/>
  <c r="K1891" i="1"/>
  <c r="H1892" i="1"/>
  <c r="I1892" i="1"/>
  <c r="L1892" i="1" s="1"/>
  <c r="J1892" i="1"/>
  <c r="K1892" i="1"/>
  <c r="H1893" i="1"/>
  <c r="I1893" i="1"/>
  <c r="L1893" i="1" s="1"/>
  <c r="J1893" i="1"/>
  <c r="K1893" i="1"/>
  <c r="H1894" i="1"/>
  <c r="I1894" i="1"/>
  <c r="L1894" i="1" s="1"/>
  <c r="J1894" i="1"/>
  <c r="K1894" i="1"/>
  <c r="H1895" i="1"/>
  <c r="I1895" i="1"/>
  <c r="L1895" i="1" s="1"/>
  <c r="J1895" i="1"/>
  <c r="K1895" i="1"/>
  <c r="H1896" i="1"/>
  <c r="I1896" i="1"/>
  <c r="L1896" i="1" s="1"/>
  <c r="J1896" i="1"/>
  <c r="K1896" i="1"/>
  <c r="H1897" i="1"/>
  <c r="I1897" i="1"/>
  <c r="L1897" i="1" s="1"/>
  <c r="J1897" i="1"/>
  <c r="K1897" i="1"/>
  <c r="H1898" i="1"/>
  <c r="I1898" i="1"/>
  <c r="L1898" i="1" s="1"/>
  <c r="J1898" i="1"/>
  <c r="K1898" i="1"/>
  <c r="H1899" i="1"/>
  <c r="I1899" i="1"/>
  <c r="L1899" i="1" s="1"/>
  <c r="J1899" i="1"/>
  <c r="K1899" i="1"/>
  <c r="H1900" i="1"/>
  <c r="I1900" i="1"/>
  <c r="L1900" i="1" s="1"/>
  <c r="J1900" i="1"/>
  <c r="K1900" i="1"/>
  <c r="H1901" i="1"/>
  <c r="I1901" i="1"/>
  <c r="L1901" i="1" s="1"/>
  <c r="J1901" i="1"/>
  <c r="K1901" i="1"/>
  <c r="H1902" i="1"/>
  <c r="I1902" i="1"/>
  <c r="L1902" i="1" s="1"/>
  <c r="J1902" i="1"/>
  <c r="K1902" i="1"/>
  <c r="H1903" i="1"/>
  <c r="I1903" i="1"/>
  <c r="L1903" i="1" s="1"/>
  <c r="J1903" i="1"/>
  <c r="K1903" i="1"/>
  <c r="H1904" i="1"/>
  <c r="I1904" i="1"/>
  <c r="L1904" i="1" s="1"/>
  <c r="J1904" i="1"/>
  <c r="K1904" i="1"/>
  <c r="H1905" i="1"/>
  <c r="I1905" i="1"/>
  <c r="L1905" i="1" s="1"/>
  <c r="J1905" i="1"/>
  <c r="K1905" i="1"/>
  <c r="H1906" i="1"/>
  <c r="I1906" i="1"/>
  <c r="L1906" i="1" s="1"/>
  <c r="J1906" i="1"/>
  <c r="K1906" i="1"/>
  <c r="H1907" i="1"/>
  <c r="I1907" i="1"/>
  <c r="L1907" i="1" s="1"/>
  <c r="J1907" i="1"/>
  <c r="K1907" i="1"/>
  <c r="H1908" i="1"/>
  <c r="I1908" i="1"/>
  <c r="L1908" i="1" s="1"/>
  <c r="J1908" i="1"/>
  <c r="K1908" i="1"/>
  <c r="H1909" i="1"/>
  <c r="I1909" i="1"/>
  <c r="L1909" i="1" s="1"/>
  <c r="J1909" i="1"/>
  <c r="K1909" i="1"/>
  <c r="H1910" i="1"/>
  <c r="I1910" i="1"/>
  <c r="L1910" i="1" s="1"/>
  <c r="J1910" i="1"/>
  <c r="K1910" i="1"/>
  <c r="H1911" i="1"/>
  <c r="I1911" i="1"/>
  <c r="L1911" i="1" s="1"/>
  <c r="J1911" i="1"/>
  <c r="K1911" i="1"/>
  <c r="H1912" i="1"/>
  <c r="I1912" i="1"/>
  <c r="L1912" i="1" s="1"/>
  <c r="J1912" i="1"/>
  <c r="K1912" i="1"/>
  <c r="H1913" i="1"/>
  <c r="I1913" i="1"/>
  <c r="L1913" i="1" s="1"/>
  <c r="J1913" i="1"/>
  <c r="K1913" i="1"/>
  <c r="H1914" i="1"/>
  <c r="I1914" i="1"/>
  <c r="L1914" i="1" s="1"/>
  <c r="J1914" i="1"/>
  <c r="K1914" i="1"/>
  <c r="H1915" i="1"/>
  <c r="I1915" i="1"/>
  <c r="L1915" i="1" s="1"/>
  <c r="J1915" i="1"/>
  <c r="K1915" i="1"/>
  <c r="H1916" i="1"/>
  <c r="I1916" i="1"/>
  <c r="L1916" i="1" s="1"/>
  <c r="J1916" i="1"/>
  <c r="K1916" i="1"/>
  <c r="H1917" i="1"/>
  <c r="I1917" i="1"/>
  <c r="L1917" i="1" s="1"/>
  <c r="J1917" i="1"/>
  <c r="K1917" i="1"/>
  <c r="H1918" i="1"/>
  <c r="I1918" i="1"/>
  <c r="L1918" i="1" s="1"/>
  <c r="J1918" i="1"/>
  <c r="K1918" i="1"/>
  <c r="H1919" i="1"/>
  <c r="I1919" i="1"/>
  <c r="L1919" i="1" s="1"/>
  <c r="J1919" i="1"/>
  <c r="K1919" i="1"/>
  <c r="H1920" i="1"/>
  <c r="I1920" i="1"/>
  <c r="L1920" i="1" s="1"/>
  <c r="J1920" i="1"/>
  <c r="K1920" i="1"/>
  <c r="H1921" i="1"/>
  <c r="I1921" i="1"/>
  <c r="L1921" i="1" s="1"/>
  <c r="J1921" i="1"/>
  <c r="K1921" i="1"/>
  <c r="H1922" i="1"/>
  <c r="I1922" i="1"/>
  <c r="L1922" i="1" s="1"/>
  <c r="J1922" i="1"/>
  <c r="K1922" i="1"/>
  <c r="H1923" i="1"/>
  <c r="I1923" i="1"/>
  <c r="L1923" i="1" s="1"/>
  <c r="J1923" i="1"/>
  <c r="K1923" i="1"/>
  <c r="H1924" i="1"/>
  <c r="I1924" i="1"/>
  <c r="L1924" i="1" s="1"/>
  <c r="J1924" i="1"/>
  <c r="K1924" i="1"/>
  <c r="H1925" i="1"/>
  <c r="I1925" i="1"/>
  <c r="L1925" i="1" s="1"/>
  <c r="J1925" i="1"/>
  <c r="K1925" i="1"/>
  <c r="H1926" i="1"/>
  <c r="I1926" i="1"/>
  <c r="L1926" i="1" s="1"/>
  <c r="J1926" i="1"/>
  <c r="K1926" i="1"/>
  <c r="H1927" i="1"/>
  <c r="I1927" i="1"/>
  <c r="L1927" i="1" s="1"/>
  <c r="J1927" i="1"/>
  <c r="K1927" i="1"/>
  <c r="H1928" i="1"/>
  <c r="I1928" i="1"/>
  <c r="L1928" i="1" s="1"/>
  <c r="J1928" i="1"/>
  <c r="K1928" i="1"/>
  <c r="H1929" i="1"/>
  <c r="I1929" i="1"/>
  <c r="L1929" i="1" s="1"/>
  <c r="J1929" i="1"/>
  <c r="K1929" i="1"/>
  <c r="H1930" i="1"/>
  <c r="I1930" i="1"/>
  <c r="L1930" i="1" s="1"/>
  <c r="J1930" i="1"/>
  <c r="K1930" i="1"/>
  <c r="H1931" i="1"/>
  <c r="I1931" i="1"/>
  <c r="L1931" i="1" s="1"/>
  <c r="J1931" i="1"/>
  <c r="K1931" i="1"/>
  <c r="H1932" i="1"/>
  <c r="I1932" i="1"/>
  <c r="L1932" i="1" s="1"/>
  <c r="J1932" i="1"/>
  <c r="K1932" i="1"/>
  <c r="H1933" i="1"/>
  <c r="I1933" i="1"/>
  <c r="L1933" i="1" s="1"/>
  <c r="J1933" i="1"/>
  <c r="K1933" i="1"/>
  <c r="H1934" i="1"/>
  <c r="I1934" i="1"/>
  <c r="L1934" i="1" s="1"/>
  <c r="J1934" i="1"/>
  <c r="K1934" i="1"/>
  <c r="H1935" i="1"/>
  <c r="I1935" i="1"/>
  <c r="L1935" i="1" s="1"/>
  <c r="J1935" i="1"/>
  <c r="K1935" i="1"/>
  <c r="H1936" i="1"/>
  <c r="I1936" i="1"/>
  <c r="L1936" i="1" s="1"/>
  <c r="J1936" i="1"/>
  <c r="K1936" i="1"/>
  <c r="H1937" i="1"/>
  <c r="I1937" i="1"/>
  <c r="L1937" i="1" s="1"/>
  <c r="J1937" i="1"/>
  <c r="K1937" i="1"/>
  <c r="H1938" i="1"/>
  <c r="I1938" i="1"/>
  <c r="L1938" i="1" s="1"/>
  <c r="J1938" i="1"/>
  <c r="K1938" i="1"/>
  <c r="H1939" i="1"/>
  <c r="I1939" i="1"/>
  <c r="L1939" i="1" s="1"/>
  <c r="J1939" i="1"/>
  <c r="K1939" i="1"/>
  <c r="H1940" i="1"/>
  <c r="I1940" i="1"/>
  <c r="L1940" i="1" s="1"/>
  <c r="J1940" i="1"/>
  <c r="K1940" i="1"/>
  <c r="H1941" i="1"/>
  <c r="I1941" i="1"/>
  <c r="L1941" i="1" s="1"/>
  <c r="J1941" i="1"/>
  <c r="K1941" i="1"/>
  <c r="H1942" i="1"/>
  <c r="I1942" i="1"/>
  <c r="L1942" i="1" s="1"/>
  <c r="J1942" i="1"/>
  <c r="K1942" i="1"/>
  <c r="H1943" i="1"/>
  <c r="I1943" i="1"/>
  <c r="L1943" i="1" s="1"/>
  <c r="J1943" i="1"/>
  <c r="K1943" i="1"/>
  <c r="H1944" i="1"/>
  <c r="I1944" i="1"/>
  <c r="L1944" i="1" s="1"/>
  <c r="J1944" i="1"/>
  <c r="K1944" i="1"/>
  <c r="H1945" i="1"/>
  <c r="I1945" i="1"/>
  <c r="L1945" i="1" s="1"/>
  <c r="J1945" i="1"/>
  <c r="K1945" i="1"/>
  <c r="H1946" i="1"/>
  <c r="I1946" i="1"/>
  <c r="L1946" i="1" s="1"/>
  <c r="J1946" i="1"/>
  <c r="K1946" i="1"/>
  <c r="H1947" i="1"/>
  <c r="I1947" i="1"/>
  <c r="L1947" i="1" s="1"/>
  <c r="J1947" i="1"/>
  <c r="K1947" i="1"/>
  <c r="H1948" i="1"/>
  <c r="I1948" i="1"/>
  <c r="L1948" i="1" s="1"/>
  <c r="J1948" i="1"/>
  <c r="K1948" i="1"/>
  <c r="H1949" i="1"/>
  <c r="I1949" i="1"/>
  <c r="L1949" i="1" s="1"/>
  <c r="J1949" i="1"/>
  <c r="K1949" i="1"/>
  <c r="H1950" i="1"/>
  <c r="I1950" i="1"/>
  <c r="L1950" i="1" s="1"/>
  <c r="J1950" i="1"/>
  <c r="K1950" i="1"/>
  <c r="H1951" i="1"/>
  <c r="I1951" i="1"/>
  <c r="L1951" i="1" s="1"/>
  <c r="J1951" i="1"/>
  <c r="K1951" i="1"/>
  <c r="H1952" i="1"/>
  <c r="I1952" i="1"/>
  <c r="L1952" i="1" s="1"/>
  <c r="J1952" i="1"/>
  <c r="K1952" i="1"/>
  <c r="H1953" i="1"/>
  <c r="I1953" i="1"/>
  <c r="L1953" i="1" s="1"/>
  <c r="J1953" i="1"/>
  <c r="K1953" i="1"/>
  <c r="H1954" i="1"/>
  <c r="I1954" i="1"/>
  <c r="L1954" i="1" s="1"/>
  <c r="J1954" i="1"/>
  <c r="K1954" i="1"/>
  <c r="H1955" i="1"/>
  <c r="I1955" i="1"/>
  <c r="L1955" i="1" s="1"/>
  <c r="J1955" i="1"/>
  <c r="K1955" i="1"/>
  <c r="H1956" i="1"/>
  <c r="I1956" i="1"/>
  <c r="L1956" i="1" s="1"/>
  <c r="J1956" i="1"/>
  <c r="K1956" i="1"/>
  <c r="H1957" i="1"/>
  <c r="I1957" i="1"/>
  <c r="L1957" i="1" s="1"/>
  <c r="J1957" i="1"/>
  <c r="K1957" i="1"/>
  <c r="H1958" i="1"/>
  <c r="I1958" i="1"/>
  <c r="L1958" i="1" s="1"/>
  <c r="J1958" i="1"/>
  <c r="K1958" i="1"/>
  <c r="H1959" i="1"/>
  <c r="I1959" i="1"/>
  <c r="L1959" i="1" s="1"/>
  <c r="J1959" i="1"/>
  <c r="K1959" i="1"/>
  <c r="H1960" i="1"/>
  <c r="I1960" i="1"/>
  <c r="L1960" i="1" s="1"/>
  <c r="J1960" i="1"/>
  <c r="K1960" i="1"/>
  <c r="H1961" i="1"/>
  <c r="I1961" i="1"/>
  <c r="L1961" i="1" s="1"/>
  <c r="J1961" i="1"/>
  <c r="K1961" i="1"/>
  <c r="H1962" i="1"/>
  <c r="I1962" i="1"/>
  <c r="L1962" i="1" s="1"/>
  <c r="J1962" i="1"/>
  <c r="K1962" i="1"/>
  <c r="H1963" i="1"/>
  <c r="I1963" i="1"/>
  <c r="L1963" i="1" s="1"/>
  <c r="J1963" i="1"/>
  <c r="K1963" i="1"/>
  <c r="H1964" i="1"/>
  <c r="I1964" i="1"/>
  <c r="L1964" i="1" s="1"/>
  <c r="J1964" i="1"/>
  <c r="K1964" i="1"/>
  <c r="H1965" i="1"/>
  <c r="I1965" i="1"/>
  <c r="L1965" i="1" s="1"/>
  <c r="J1965" i="1"/>
  <c r="K1965" i="1"/>
  <c r="H1966" i="1"/>
  <c r="I1966" i="1"/>
  <c r="L1966" i="1" s="1"/>
  <c r="J1966" i="1"/>
  <c r="K1966" i="1"/>
  <c r="H1967" i="1"/>
  <c r="I1967" i="1"/>
  <c r="L1967" i="1" s="1"/>
  <c r="J1967" i="1"/>
  <c r="K1967" i="1"/>
  <c r="H1968" i="1"/>
  <c r="I1968" i="1"/>
  <c r="L1968" i="1" s="1"/>
  <c r="J1968" i="1"/>
  <c r="K1968" i="1"/>
  <c r="H1969" i="1"/>
  <c r="I1969" i="1"/>
  <c r="L1969" i="1" s="1"/>
  <c r="J1969" i="1"/>
  <c r="K1969" i="1"/>
  <c r="H1970" i="1"/>
  <c r="I1970" i="1"/>
  <c r="L1970" i="1" s="1"/>
  <c r="J1970" i="1"/>
  <c r="K1970" i="1"/>
  <c r="H1971" i="1"/>
  <c r="I1971" i="1"/>
  <c r="L1971" i="1" s="1"/>
  <c r="J1971" i="1"/>
  <c r="K1971" i="1"/>
  <c r="H1972" i="1"/>
  <c r="I1972" i="1"/>
  <c r="L1972" i="1" s="1"/>
  <c r="J1972" i="1"/>
  <c r="K1972" i="1"/>
  <c r="H1973" i="1"/>
  <c r="I1973" i="1"/>
  <c r="L1973" i="1" s="1"/>
  <c r="J1973" i="1"/>
  <c r="K1973" i="1"/>
  <c r="H1974" i="1"/>
  <c r="I1974" i="1"/>
  <c r="L1974" i="1" s="1"/>
  <c r="J1974" i="1"/>
  <c r="K1974" i="1"/>
  <c r="H1975" i="1"/>
  <c r="I1975" i="1"/>
  <c r="L1975" i="1" s="1"/>
  <c r="J1975" i="1"/>
  <c r="K1975" i="1"/>
  <c r="H1976" i="1"/>
  <c r="I1976" i="1"/>
  <c r="L1976" i="1" s="1"/>
  <c r="J1976" i="1"/>
  <c r="K1976" i="1"/>
  <c r="H1977" i="1"/>
  <c r="I1977" i="1"/>
  <c r="L1977" i="1" s="1"/>
  <c r="J1977" i="1"/>
  <c r="K1977" i="1"/>
  <c r="H1978" i="1"/>
  <c r="I1978" i="1"/>
  <c r="L1978" i="1" s="1"/>
  <c r="J1978" i="1"/>
  <c r="K1978" i="1"/>
  <c r="H1979" i="1"/>
  <c r="I1979" i="1"/>
  <c r="L1979" i="1" s="1"/>
  <c r="J1979" i="1"/>
  <c r="K1979" i="1"/>
  <c r="H1980" i="1"/>
  <c r="I1980" i="1"/>
  <c r="L1980" i="1" s="1"/>
  <c r="J1980" i="1"/>
  <c r="K1980" i="1"/>
  <c r="H1981" i="1"/>
  <c r="I1981" i="1"/>
  <c r="L1981" i="1" s="1"/>
  <c r="J1981" i="1"/>
  <c r="K1981" i="1"/>
  <c r="H1982" i="1"/>
  <c r="I1982" i="1"/>
  <c r="L1982" i="1" s="1"/>
  <c r="J1982" i="1"/>
  <c r="K1982" i="1"/>
  <c r="H1983" i="1"/>
  <c r="I1983" i="1"/>
  <c r="L1983" i="1" s="1"/>
  <c r="J1983" i="1"/>
  <c r="K1983" i="1"/>
  <c r="H1984" i="1"/>
  <c r="I1984" i="1"/>
  <c r="L1984" i="1" s="1"/>
  <c r="J1984" i="1"/>
  <c r="K1984" i="1"/>
  <c r="H1985" i="1"/>
  <c r="I1985" i="1"/>
  <c r="L1985" i="1" s="1"/>
  <c r="J1985" i="1"/>
  <c r="K1985" i="1"/>
  <c r="H1986" i="1"/>
  <c r="I1986" i="1"/>
  <c r="L1986" i="1" s="1"/>
  <c r="J1986" i="1"/>
  <c r="K1986" i="1"/>
  <c r="H1987" i="1"/>
  <c r="I1987" i="1"/>
  <c r="L1987" i="1" s="1"/>
  <c r="J1987" i="1"/>
  <c r="K1987" i="1"/>
  <c r="H1988" i="1"/>
  <c r="I1988" i="1"/>
  <c r="L1988" i="1" s="1"/>
  <c r="J1988" i="1"/>
  <c r="K1988" i="1"/>
  <c r="H1989" i="1"/>
  <c r="I1989" i="1"/>
  <c r="L1989" i="1" s="1"/>
  <c r="J1989" i="1"/>
  <c r="K1989" i="1"/>
  <c r="H1990" i="1"/>
  <c r="I1990" i="1"/>
  <c r="L1990" i="1" s="1"/>
  <c r="J1990" i="1"/>
  <c r="K1990" i="1"/>
  <c r="H1991" i="1"/>
  <c r="I1991" i="1"/>
  <c r="L1991" i="1" s="1"/>
  <c r="J1991" i="1"/>
  <c r="K1991" i="1"/>
  <c r="H1992" i="1"/>
  <c r="I1992" i="1"/>
  <c r="L1992" i="1" s="1"/>
  <c r="J1992" i="1"/>
  <c r="K1992" i="1"/>
  <c r="H1993" i="1"/>
  <c r="I1993" i="1"/>
  <c r="L1993" i="1" s="1"/>
  <c r="J1993" i="1"/>
  <c r="K1993" i="1"/>
  <c r="H1994" i="1"/>
  <c r="I1994" i="1"/>
  <c r="L1994" i="1" s="1"/>
  <c r="J1994" i="1"/>
  <c r="K1994" i="1"/>
  <c r="H1995" i="1"/>
  <c r="I1995" i="1"/>
  <c r="L1995" i="1" s="1"/>
  <c r="J1995" i="1"/>
  <c r="K1995" i="1"/>
  <c r="H1996" i="1"/>
  <c r="I1996" i="1"/>
  <c r="L1996" i="1" s="1"/>
  <c r="J1996" i="1"/>
  <c r="K1996" i="1"/>
  <c r="H1997" i="1"/>
  <c r="I1997" i="1"/>
  <c r="L1997" i="1" s="1"/>
  <c r="J1997" i="1"/>
  <c r="K1997" i="1"/>
  <c r="H1998" i="1"/>
  <c r="I1998" i="1"/>
  <c r="L1998" i="1" s="1"/>
  <c r="J1998" i="1"/>
  <c r="K1998" i="1"/>
  <c r="H1999" i="1"/>
  <c r="I1999" i="1"/>
  <c r="L1999" i="1" s="1"/>
  <c r="J1999" i="1"/>
  <c r="K1999" i="1"/>
  <c r="H2000" i="1"/>
  <c r="I2000" i="1"/>
  <c r="L2000" i="1" s="1"/>
  <c r="J2000" i="1"/>
  <c r="K2000" i="1"/>
  <c r="H2001" i="1"/>
  <c r="I2001" i="1"/>
  <c r="L2001" i="1" s="1"/>
  <c r="J2001" i="1"/>
  <c r="K2001" i="1"/>
  <c r="H2002" i="1"/>
  <c r="I2002" i="1"/>
  <c r="L2002" i="1" s="1"/>
  <c r="J2002" i="1"/>
  <c r="K2002" i="1"/>
  <c r="H2003" i="1"/>
  <c r="I2003" i="1"/>
  <c r="L2003" i="1" s="1"/>
  <c r="J2003" i="1"/>
  <c r="K2003" i="1"/>
  <c r="H2004" i="1"/>
  <c r="I2004" i="1"/>
  <c r="L2004" i="1" s="1"/>
  <c r="J2004" i="1"/>
  <c r="K2004" i="1"/>
  <c r="H2005" i="1"/>
  <c r="I2005" i="1"/>
  <c r="L2005" i="1" s="1"/>
  <c r="J2005" i="1"/>
  <c r="K2005" i="1"/>
  <c r="H2006" i="1"/>
  <c r="I2006" i="1"/>
  <c r="L2006" i="1" s="1"/>
  <c r="J2006" i="1"/>
  <c r="K2006" i="1"/>
  <c r="H2007" i="1"/>
  <c r="I2007" i="1"/>
  <c r="L2007" i="1" s="1"/>
  <c r="J2007" i="1"/>
  <c r="K2007" i="1"/>
  <c r="H2008" i="1"/>
  <c r="I2008" i="1"/>
  <c r="L2008" i="1" s="1"/>
  <c r="J2008" i="1"/>
  <c r="K2008" i="1"/>
  <c r="H2009" i="1"/>
  <c r="I2009" i="1"/>
  <c r="L2009" i="1" s="1"/>
  <c r="J2009" i="1"/>
  <c r="K2009" i="1"/>
  <c r="H2010" i="1"/>
  <c r="I2010" i="1"/>
  <c r="L2010" i="1" s="1"/>
  <c r="J2010" i="1"/>
  <c r="K2010" i="1"/>
  <c r="H2011" i="1"/>
  <c r="I2011" i="1"/>
  <c r="L2011" i="1" s="1"/>
  <c r="J2011" i="1"/>
  <c r="K2011" i="1"/>
  <c r="H2012" i="1"/>
  <c r="I2012" i="1"/>
  <c r="L2012" i="1" s="1"/>
  <c r="J2012" i="1"/>
  <c r="K2012" i="1"/>
  <c r="H2013" i="1"/>
  <c r="I2013" i="1"/>
  <c r="L2013" i="1" s="1"/>
  <c r="J2013" i="1"/>
  <c r="K2013" i="1"/>
  <c r="H2014" i="1"/>
  <c r="I2014" i="1"/>
  <c r="L2014" i="1" s="1"/>
  <c r="J2014" i="1"/>
  <c r="K2014" i="1"/>
  <c r="H2015" i="1"/>
  <c r="I2015" i="1"/>
  <c r="L2015" i="1" s="1"/>
  <c r="J2015" i="1"/>
  <c r="K2015" i="1"/>
  <c r="H2016" i="1"/>
  <c r="I2016" i="1"/>
  <c r="L2016" i="1" s="1"/>
  <c r="J2016" i="1"/>
  <c r="K2016" i="1"/>
  <c r="H2017" i="1"/>
  <c r="I2017" i="1"/>
  <c r="L2017" i="1" s="1"/>
  <c r="J2017" i="1"/>
  <c r="K2017" i="1"/>
  <c r="H2018" i="1"/>
  <c r="I2018" i="1"/>
  <c r="L2018" i="1" s="1"/>
  <c r="J2018" i="1"/>
  <c r="K2018" i="1"/>
  <c r="H2019" i="1"/>
  <c r="I2019" i="1"/>
  <c r="L2019" i="1" s="1"/>
  <c r="J2019" i="1"/>
  <c r="K2019" i="1"/>
  <c r="H2020" i="1"/>
  <c r="I2020" i="1"/>
  <c r="L2020" i="1" s="1"/>
  <c r="J2020" i="1"/>
  <c r="K2020" i="1"/>
  <c r="H2021" i="1"/>
  <c r="I2021" i="1"/>
  <c r="L2021" i="1" s="1"/>
  <c r="J2021" i="1"/>
  <c r="K2021" i="1"/>
  <c r="H2022" i="1"/>
  <c r="I2022" i="1"/>
  <c r="L2022" i="1" s="1"/>
  <c r="J2022" i="1"/>
  <c r="K2022" i="1"/>
  <c r="H2023" i="1"/>
  <c r="I2023" i="1"/>
  <c r="L2023" i="1" s="1"/>
  <c r="J2023" i="1"/>
  <c r="K2023" i="1"/>
  <c r="H2024" i="1"/>
  <c r="I2024" i="1"/>
  <c r="L2024" i="1" s="1"/>
  <c r="J2024" i="1"/>
  <c r="K2024" i="1"/>
  <c r="H2025" i="1"/>
  <c r="I2025" i="1"/>
  <c r="L2025" i="1" s="1"/>
  <c r="J2025" i="1"/>
  <c r="K2025" i="1"/>
  <c r="H2026" i="1"/>
  <c r="I2026" i="1"/>
  <c r="L2026" i="1" s="1"/>
  <c r="J2026" i="1"/>
  <c r="K2026" i="1"/>
  <c r="H2027" i="1"/>
  <c r="I2027" i="1"/>
  <c r="L2027" i="1" s="1"/>
  <c r="J2027" i="1"/>
  <c r="K2027" i="1"/>
  <c r="H2028" i="1"/>
  <c r="I2028" i="1"/>
  <c r="L2028" i="1" s="1"/>
  <c r="J2028" i="1"/>
  <c r="K2028" i="1"/>
  <c r="H2029" i="1"/>
  <c r="I2029" i="1"/>
  <c r="L2029" i="1" s="1"/>
  <c r="J2029" i="1"/>
  <c r="K2029" i="1"/>
  <c r="H2030" i="1"/>
  <c r="I2030" i="1"/>
  <c r="L2030" i="1" s="1"/>
  <c r="J2030" i="1"/>
  <c r="K2030" i="1"/>
  <c r="H2031" i="1"/>
  <c r="I2031" i="1"/>
  <c r="L2031" i="1" s="1"/>
  <c r="J2031" i="1"/>
  <c r="K2031" i="1"/>
  <c r="H2032" i="1"/>
  <c r="I2032" i="1"/>
  <c r="L2032" i="1" s="1"/>
  <c r="J2032" i="1"/>
  <c r="K2032" i="1"/>
  <c r="H2033" i="1"/>
  <c r="I2033" i="1"/>
  <c r="L2033" i="1" s="1"/>
  <c r="J2033" i="1"/>
  <c r="K2033" i="1"/>
  <c r="H2034" i="1"/>
  <c r="I2034" i="1"/>
  <c r="L2034" i="1" s="1"/>
  <c r="J2034" i="1"/>
  <c r="K2034" i="1"/>
  <c r="H2035" i="1"/>
  <c r="I2035" i="1"/>
  <c r="L2035" i="1" s="1"/>
  <c r="J2035" i="1"/>
  <c r="K2035" i="1"/>
  <c r="H2036" i="1"/>
  <c r="I2036" i="1"/>
  <c r="L2036" i="1" s="1"/>
  <c r="J2036" i="1"/>
  <c r="K2036" i="1"/>
  <c r="H2037" i="1"/>
  <c r="I2037" i="1"/>
  <c r="L2037" i="1" s="1"/>
  <c r="J2037" i="1"/>
  <c r="K2037" i="1"/>
  <c r="H2038" i="1"/>
  <c r="I2038" i="1"/>
  <c r="L2038" i="1" s="1"/>
  <c r="J2038" i="1"/>
  <c r="K2038" i="1"/>
  <c r="H2039" i="1"/>
  <c r="I2039" i="1"/>
  <c r="L2039" i="1" s="1"/>
  <c r="J2039" i="1"/>
  <c r="K2039" i="1"/>
  <c r="H2040" i="1"/>
  <c r="I2040" i="1"/>
  <c r="L2040" i="1" s="1"/>
  <c r="J2040" i="1"/>
  <c r="K2040" i="1"/>
  <c r="H2041" i="1"/>
  <c r="I2041" i="1"/>
  <c r="L2041" i="1" s="1"/>
  <c r="J2041" i="1"/>
  <c r="K2041" i="1"/>
  <c r="H2042" i="1"/>
  <c r="I2042" i="1"/>
  <c r="L2042" i="1" s="1"/>
  <c r="J2042" i="1"/>
  <c r="K2042" i="1"/>
  <c r="H2043" i="1"/>
  <c r="I2043" i="1"/>
  <c r="L2043" i="1" s="1"/>
  <c r="J2043" i="1"/>
  <c r="K2043" i="1"/>
  <c r="H2044" i="1"/>
  <c r="I2044" i="1"/>
  <c r="L2044" i="1" s="1"/>
  <c r="J2044" i="1"/>
  <c r="K2044" i="1"/>
  <c r="H2045" i="1"/>
  <c r="I2045" i="1"/>
  <c r="L2045" i="1" s="1"/>
  <c r="J2045" i="1"/>
  <c r="K2045" i="1"/>
  <c r="H2046" i="1"/>
  <c r="I2046" i="1"/>
  <c r="L2046" i="1" s="1"/>
  <c r="J2046" i="1"/>
  <c r="K2046" i="1"/>
  <c r="H2047" i="1"/>
  <c r="I2047" i="1"/>
  <c r="L2047" i="1" s="1"/>
  <c r="J2047" i="1"/>
  <c r="K2047" i="1"/>
  <c r="H2048" i="1"/>
  <c r="I2048" i="1"/>
  <c r="L2048" i="1" s="1"/>
  <c r="J2048" i="1"/>
  <c r="K2048" i="1"/>
  <c r="H2049" i="1"/>
  <c r="I2049" i="1"/>
  <c r="L2049" i="1" s="1"/>
  <c r="J2049" i="1"/>
  <c r="K2049" i="1"/>
  <c r="H2050" i="1"/>
  <c r="I2050" i="1"/>
  <c r="L2050" i="1" s="1"/>
  <c r="J2050" i="1"/>
  <c r="K2050" i="1"/>
  <c r="H2051" i="1"/>
  <c r="I2051" i="1"/>
  <c r="L2051" i="1" s="1"/>
  <c r="J2051" i="1"/>
  <c r="K2051" i="1"/>
  <c r="H2052" i="1"/>
  <c r="I2052" i="1"/>
  <c r="L2052" i="1" s="1"/>
  <c r="J2052" i="1"/>
  <c r="K2052" i="1"/>
  <c r="H2053" i="1"/>
  <c r="I2053" i="1"/>
  <c r="L2053" i="1" s="1"/>
  <c r="J2053" i="1"/>
  <c r="K2053" i="1"/>
  <c r="H2054" i="1"/>
  <c r="I2054" i="1"/>
  <c r="L2054" i="1" s="1"/>
  <c r="J2054" i="1"/>
  <c r="K2054" i="1"/>
  <c r="H2055" i="1"/>
  <c r="I2055" i="1"/>
  <c r="L2055" i="1" s="1"/>
  <c r="J2055" i="1"/>
  <c r="K2055" i="1"/>
  <c r="H2056" i="1"/>
  <c r="I2056" i="1"/>
  <c r="L2056" i="1" s="1"/>
  <c r="J2056" i="1"/>
  <c r="K2056" i="1"/>
  <c r="H2057" i="1"/>
  <c r="I2057" i="1"/>
  <c r="L2057" i="1" s="1"/>
  <c r="J2057" i="1"/>
  <c r="K2057" i="1"/>
  <c r="H2058" i="1"/>
  <c r="I2058" i="1"/>
  <c r="L2058" i="1" s="1"/>
  <c r="J2058" i="1"/>
  <c r="K2058" i="1"/>
  <c r="H2059" i="1"/>
  <c r="I2059" i="1"/>
  <c r="L2059" i="1" s="1"/>
  <c r="J2059" i="1"/>
  <c r="K2059" i="1"/>
  <c r="H2060" i="1"/>
  <c r="I2060" i="1"/>
  <c r="L2060" i="1" s="1"/>
  <c r="J2060" i="1"/>
  <c r="K2060" i="1"/>
  <c r="H2061" i="1"/>
  <c r="I2061" i="1"/>
  <c r="L2061" i="1" s="1"/>
  <c r="J2061" i="1"/>
  <c r="K2061" i="1"/>
  <c r="H2062" i="1"/>
  <c r="I2062" i="1"/>
  <c r="L2062" i="1" s="1"/>
  <c r="J2062" i="1"/>
  <c r="K2062" i="1"/>
  <c r="H2063" i="1"/>
  <c r="I2063" i="1"/>
  <c r="L2063" i="1" s="1"/>
  <c r="J2063" i="1"/>
  <c r="K2063" i="1"/>
  <c r="H2064" i="1"/>
  <c r="I2064" i="1"/>
  <c r="L2064" i="1" s="1"/>
  <c r="J2064" i="1"/>
  <c r="K2064" i="1"/>
  <c r="H2065" i="1"/>
  <c r="I2065" i="1"/>
  <c r="L2065" i="1" s="1"/>
  <c r="J2065" i="1"/>
  <c r="K2065" i="1"/>
  <c r="H2066" i="1"/>
  <c r="I2066" i="1"/>
  <c r="L2066" i="1" s="1"/>
  <c r="J2066" i="1"/>
  <c r="K2066" i="1"/>
  <c r="H2067" i="1"/>
  <c r="I2067" i="1"/>
  <c r="L2067" i="1" s="1"/>
  <c r="J2067" i="1"/>
  <c r="K2067" i="1"/>
  <c r="H2068" i="1"/>
  <c r="I2068" i="1"/>
  <c r="L2068" i="1" s="1"/>
  <c r="J2068" i="1"/>
  <c r="K2068" i="1"/>
  <c r="H2069" i="1"/>
  <c r="I2069" i="1"/>
  <c r="L2069" i="1" s="1"/>
  <c r="J2069" i="1"/>
  <c r="K2069" i="1"/>
  <c r="H2070" i="1"/>
  <c r="I2070" i="1"/>
  <c r="L2070" i="1" s="1"/>
  <c r="J2070" i="1"/>
  <c r="K2070" i="1"/>
  <c r="H2071" i="1"/>
  <c r="I2071" i="1"/>
  <c r="L2071" i="1" s="1"/>
  <c r="J2071" i="1"/>
  <c r="K2071" i="1"/>
  <c r="H2072" i="1"/>
  <c r="I2072" i="1"/>
  <c r="L2072" i="1" s="1"/>
  <c r="J2072" i="1"/>
  <c r="K2072" i="1"/>
  <c r="H2073" i="1"/>
  <c r="I2073" i="1"/>
  <c r="L2073" i="1" s="1"/>
  <c r="J2073" i="1"/>
  <c r="K2073" i="1"/>
  <c r="H2074" i="1"/>
  <c r="I2074" i="1"/>
  <c r="L2074" i="1" s="1"/>
  <c r="J2074" i="1"/>
  <c r="K2074" i="1"/>
  <c r="H2075" i="1"/>
  <c r="I2075" i="1"/>
  <c r="L2075" i="1" s="1"/>
  <c r="J2075" i="1"/>
  <c r="K2075" i="1"/>
  <c r="H2076" i="1"/>
  <c r="I2076" i="1"/>
  <c r="L2076" i="1" s="1"/>
  <c r="J2076" i="1"/>
  <c r="K2076" i="1"/>
  <c r="H2077" i="1"/>
  <c r="I2077" i="1"/>
  <c r="L2077" i="1" s="1"/>
  <c r="J2077" i="1"/>
  <c r="K2077" i="1"/>
  <c r="H2078" i="1"/>
  <c r="I2078" i="1"/>
  <c r="L2078" i="1" s="1"/>
  <c r="J2078" i="1"/>
  <c r="K2078" i="1"/>
  <c r="H2079" i="1"/>
  <c r="I2079" i="1"/>
  <c r="L2079" i="1" s="1"/>
  <c r="J2079" i="1"/>
  <c r="K2079" i="1"/>
  <c r="H2080" i="1"/>
  <c r="I2080" i="1"/>
  <c r="L2080" i="1" s="1"/>
  <c r="J2080" i="1"/>
  <c r="K2080" i="1"/>
  <c r="H2081" i="1"/>
  <c r="I2081" i="1"/>
  <c r="L2081" i="1" s="1"/>
  <c r="J2081" i="1"/>
  <c r="K2081" i="1"/>
  <c r="H2082" i="1"/>
  <c r="I2082" i="1"/>
  <c r="L2082" i="1" s="1"/>
  <c r="J2082" i="1"/>
  <c r="K2082" i="1"/>
  <c r="H2083" i="1"/>
  <c r="I2083" i="1"/>
  <c r="L2083" i="1" s="1"/>
  <c r="J2083" i="1"/>
  <c r="K2083" i="1"/>
  <c r="H2084" i="1"/>
  <c r="I2084" i="1"/>
  <c r="L2084" i="1" s="1"/>
  <c r="J2084" i="1"/>
  <c r="K2084" i="1"/>
  <c r="H2085" i="1"/>
  <c r="I2085" i="1"/>
  <c r="L2085" i="1" s="1"/>
  <c r="J2085" i="1"/>
  <c r="K2085" i="1"/>
  <c r="H2086" i="1"/>
  <c r="I2086" i="1"/>
  <c r="L2086" i="1" s="1"/>
  <c r="J2086" i="1"/>
  <c r="K2086" i="1"/>
  <c r="H2087" i="1"/>
  <c r="I2087" i="1"/>
  <c r="L2087" i="1" s="1"/>
  <c r="J2087" i="1"/>
  <c r="K2087" i="1"/>
  <c r="H2088" i="1"/>
  <c r="I2088" i="1"/>
  <c r="L2088" i="1" s="1"/>
  <c r="J2088" i="1"/>
  <c r="K2088" i="1"/>
  <c r="H2089" i="1"/>
  <c r="I2089" i="1"/>
  <c r="L2089" i="1" s="1"/>
  <c r="J2089" i="1"/>
  <c r="K2089" i="1"/>
  <c r="H2090" i="1"/>
  <c r="I2090" i="1"/>
  <c r="L2090" i="1" s="1"/>
  <c r="J2090" i="1"/>
  <c r="K2090" i="1"/>
  <c r="H2091" i="1"/>
  <c r="I2091" i="1"/>
  <c r="L2091" i="1" s="1"/>
  <c r="J2091" i="1"/>
  <c r="K2091" i="1"/>
  <c r="H2092" i="1"/>
  <c r="I2092" i="1"/>
  <c r="L2092" i="1" s="1"/>
  <c r="J2092" i="1"/>
  <c r="K2092" i="1"/>
  <c r="H2093" i="1"/>
  <c r="I2093" i="1"/>
  <c r="L2093" i="1" s="1"/>
  <c r="J2093" i="1"/>
  <c r="K2093" i="1"/>
  <c r="H2094" i="1"/>
  <c r="I2094" i="1"/>
  <c r="L2094" i="1" s="1"/>
  <c r="J2094" i="1"/>
  <c r="K2094" i="1"/>
  <c r="H2095" i="1"/>
  <c r="I2095" i="1"/>
  <c r="L2095" i="1" s="1"/>
  <c r="J2095" i="1"/>
  <c r="K2095" i="1"/>
  <c r="H2096" i="1"/>
  <c r="I2096" i="1"/>
  <c r="L2096" i="1" s="1"/>
  <c r="J2096" i="1"/>
  <c r="K2096" i="1"/>
  <c r="H2097" i="1"/>
  <c r="I2097" i="1"/>
  <c r="L2097" i="1" s="1"/>
  <c r="J2097" i="1"/>
  <c r="K2097" i="1"/>
  <c r="H2098" i="1"/>
  <c r="I2098" i="1"/>
  <c r="L2098" i="1" s="1"/>
  <c r="J2098" i="1"/>
  <c r="K2098" i="1"/>
  <c r="H2099" i="1"/>
  <c r="I2099" i="1"/>
  <c r="L2099" i="1" s="1"/>
  <c r="J2099" i="1"/>
  <c r="K2099" i="1"/>
  <c r="H2100" i="1"/>
  <c r="I2100" i="1"/>
  <c r="L2100" i="1" s="1"/>
  <c r="J2100" i="1"/>
  <c r="K2100" i="1"/>
  <c r="K2" i="1"/>
  <c r="J2" i="1"/>
  <c r="I2" i="1"/>
  <c r="L2" i="1" s="1"/>
  <c r="H2" i="1"/>
</calcChain>
</file>

<file path=xl/sharedStrings.xml><?xml version="1.0" encoding="utf-8"?>
<sst xmlns="http://schemas.openxmlformats.org/spreadsheetml/2006/main" count="16" uniqueCount="16">
  <si>
    <t>date</t>
  </si>
  <si>
    <t>open_price</t>
  </si>
  <si>
    <t>high_price</t>
  </si>
  <si>
    <t>low_price</t>
  </si>
  <si>
    <t>close_price</t>
  </si>
  <si>
    <t>adj_close</t>
  </si>
  <si>
    <t>volume</t>
  </si>
  <si>
    <t>7e+06</t>
  </si>
  <si>
    <t>year</t>
  </si>
  <si>
    <t>month</t>
  </si>
  <si>
    <t>day</t>
  </si>
  <si>
    <t>weekday</t>
  </si>
  <si>
    <t>NEXT_MONTH</t>
  </si>
  <si>
    <t>lag_adj_close</t>
  </si>
  <si>
    <t>1DAY RETURN</t>
  </si>
  <si>
    <t>LAG_offset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</si>
</sst>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 x14ac:knownFonts="1">
    <font>
      <sz val="24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24"/>
      <color rgb="FF006100"/>
      <name val="Aptos Narrow"/>
      <family val="2"/>
      <scheme val="minor"/>
    </font>
    <font>
      <sz val="24"/>
      <color rgb="FF9C0006"/>
      <name val="Aptos Narrow"/>
      <family val="2"/>
      <scheme val="minor"/>
    </font>
    <font>
      <sz val="24"/>
      <color rgb="FF9C5700"/>
      <name val="Aptos Narrow"/>
      <family val="2"/>
      <scheme val="minor"/>
    </font>
    <font>
      <sz val="24"/>
      <color rgb="FF3F3F76"/>
      <name val="Aptos Narrow"/>
      <family val="2"/>
      <scheme val="minor"/>
    </font>
    <font>
      <b/>
      <sz val="24"/>
      <color rgb="FF3F3F3F"/>
      <name val="Aptos Narrow"/>
      <family val="2"/>
      <scheme val="minor"/>
    </font>
    <font>
      <b/>
      <sz val="24"/>
      <color rgb="FFFA7D00"/>
      <name val="Aptos Narrow"/>
      <family val="2"/>
      <scheme val="minor"/>
    </font>
    <font>
      <sz val="24"/>
      <color rgb="FFFA7D00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sz val="24"/>
      <color rgb="FFFF0000"/>
      <name val="Aptos Narrow"/>
      <family val="2"/>
      <scheme val="minor"/>
    </font>
    <font>
      <i/>
      <sz val="24"/>
      <color rgb="FF7F7F7F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24"/>
      <color theme="0"/>
      <name val="Aptos Narrow"/>
      <family val="2"/>
      <scheme val="minor"/>
    </font>
    <font>
      <sz val="24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4" fontId="18" fillId="0" borderId="0" xfId="1" applyFont="1"/>
    <xf numFmtId="0" fontId="18" fillId="0" borderId="0" xfId="0" applyFont="1"/>
    <xf numFmtId="44" fontId="18" fillId="0" borderId="0" xfId="0" applyNumberFormat="1" applyFont="1"/>
    <xf numFmtId="0" fontId="18" fillId="0" borderId="0" xfId="0" quotePrefix="1" applyFont="1"/>
    <xf numFmtId="10" fontId="18" fillId="0" borderId="0" xfId="2" applyNumberFormat="1" applyFont="1"/>
    <xf numFmtId="14" fontId="18" fillId="0" borderId="0" xfId="0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98609-D2AE-4468-A0D2-14D189A23144}">
  <dimension ref="A1:O2100"/>
  <sheetViews>
    <sheetView tabSelected="1" zoomScaleNormal="100" workbookViewId="0">
      <pane ySplit="1" topLeftCell="A2" activePane="bottomLeft" state="frozen"/>
      <selection pane="bottomLeft" activeCell="Q9" sqref="Q9"/>
    </sheetView>
  </sheetViews>
  <sheetFormatPr defaultRowHeight="31.5" x14ac:dyDescent="0.5"/>
  <cols>
    <col min="1" max="1" width="9.9375" style="2" bestFit="1" customWidth="1"/>
    <col min="2" max="2" width="10.75" style="1" bestFit="1" customWidth="1"/>
    <col min="3" max="3" width="10.0625" style="1" bestFit="1" customWidth="1"/>
    <col min="4" max="4" width="9.5625" style="1" customWidth="1"/>
    <col min="5" max="5" width="11.0625" style="1" bestFit="1" customWidth="1"/>
    <col min="6" max="6" width="9.5" style="1" bestFit="1" customWidth="1"/>
    <col min="7" max="7" width="8.6875" style="2" bestFit="1" customWidth="1"/>
    <col min="8" max="8" width="5.375" style="2" bestFit="1" customWidth="1"/>
    <col min="9" max="9" width="7.0625" style="2" bestFit="1" customWidth="1"/>
    <col min="10" max="10" width="4.75" style="2" bestFit="1" customWidth="1"/>
    <col min="11" max="11" width="8.9375" style="2" bestFit="1" customWidth="1"/>
    <col min="12" max="12" width="13.25" style="2" bestFit="1" customWidth="1"/>
    <col min="13" max="13" width="12.75" style="2" bestFit="1" customWidth="1"/>
    <col min="14" max="14" width="10.625" style="1" bestFit="1" customWidth="1"/>
    <col min="15" max="15" width="12.0625" style="5" bestFit="1" customWidth="1"/>
    <col min="16" max="16384" width="9" style="2"/>
  </cols>
  <sheetData>
    <row r="1" spans="1:15" s="2" customFormat="1" x14ac:dyDescent="0.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  <c r="O1" s="5" t="s">
        <v>14</v>
      </c>
    </row>
    <row r="2" spans="1:15" s="2" customFormat="1" x14ac:dyDescent="0.5">
      <c r="A2" s="6">
        <v>40358</v>
      </c>
      <c r="B2" s="1">
        <v>19</v>
      </c>
      <c r="C2" s="1">
        <v>25</v>
      </c>
      <c r="D2" s="1">
        <v>17.540001</v>
      </c>
      <c r="E2" s="1">
        <v>23.889999</v>
      </c>
      <c r="F2" s="1">
        <v>23.889999</v>
      </c>
      <c r="G2" s="2">
        <v>18766300</v>
      </c>
      <c r="H2" s="2">
        <f t="shared" ref="H2:H65" si="0">YEAR(A2)</f>
        <v>2010</v>
      </c>
      <c r="I2" s="2">
        <f t="shared" ref="I2:I65" si="1">MONTH(A2)</f>
        <v>6</v>
      </c>
      <c r="J2" s="2">
        <f t="shared" ref="J2:J65" si="2">DAY(A2)</f>
        <v>29</v>
      </c>
      <c r="K2" s="2">
        <f t="shared" ref="K2:K65" si="3">WEEKDAY(A2)</f>
        <v>3</v>
      </c>
      <c r="L2" s="2">
        <f>I2+1</f>
        <v>7</v>
      </c>
      <c r="N2" s="1"/>
      <c r="O2" s="5"/>
    </row>
    <row r="3" spans="1:15" s="2" customFormat="1" x14ac:dyDescent="0.5">
      <c r="A3" s="6">
        <v>40359</v>
      </c>
      <c r="B3" s="1">
        <v>25.790001</v>
      </c>
      <c r="C3" s="1">
        <v>30.42</v>
      </c>
      <c r="D3" s="1">
        <v>23.299999</v>
      </c>
      <c r="E3" s="1">
        <v>23.83</v>
      </c>
      <c r="F3" s="1">
        <v>23.83</v>
      </c>
      <c r="G3" s="2">
        <v>17187100</v>
      </c>
      <c r="H3" s="2">
        <f t="shared" si="0"/>
        <v>2010</v>
      </c>
      <c r="I3" s="2">
        <f t="shared" si="1"/>
        <v>6</v>
      </c>
      <c r="J3" s="2">
        <f t="shared" si="2"/>
        <v>30</v>
      </c>
      <c r="K3" s="2">
        <f t="shared" si="3"/>
        <v>4</v>
      </c>
      <c r="L3" s="2">
        <f t="shared" ref="L3:L66" si="4">I3+1</f>
        <v>7</v>
      </c>
      <c r="M3" s="3">
        <f t="shared" ref="M3:M66" si="5">F2</f>
        <v>23.889999</v>
      </c>
      <c r="N3" s="1">
        <f t="shared" ref="N3:N66" ca="1" si="6">OFFSET(F3, -1, 0)</f>
        <v>23.889999</v>
      </c>
      <c r="O3" s="5">
        <f t="shared" ref="O3:O66" si="7">(F3/M3)-1</f>
        <v>-2.5114693391155019E-3</v>
      </c>
    </row>
    <row r="4" spans="1:15" s="2" customFormat="1" x14ac:dyDescent="0.5">
      <c r="A4" s="6">
        <v>40360</v>
      </c>
      <c r="B4" s="1">
        <v>25</v>
      </c>
      <c r="C4" s="1">
        <v>25.92</v>
      </c>
      <c r="D4" s="1">
        <v>20.27</v>
      </c>
      <c r="E4" s="1">
        <v>21.959999</v>
      </c>
      <c r="F4" s="1">
        <v>21.959999</v>
      </c>
      <c r="G4" s="2">
        <v>8218800</v>
      </c>
      <c r="H4" s="2">
        <f t="shared" si="0"/>
        <v>2010</v>
      </c>
      <c r="I4" s="2">
        <f t="shared" si="1"/>
        <v>7</v>
      </c>
      <c r="J4" s="2">
        <f t="shared" si="2"/>
        <v>1</v>
      </c>
      <c r="K4" s="2">
        <f t="shared" si="3"/>
        <v>5</v>
      </c>
      <c r="L4" s="2">
        <f t="shared" si="4"/>
        <v>8</v>
      </c>
      <c r="M4" s="3">
        <f t="shared" si="5"/>
        <v>23.83</v>
      </c>
      <c r="N4" s="1">
        <f t="shared" ca="1" si="6"/>
        <v>23.83</v>
      </c>
      <c r="O4" s="5">
        <f t="shared" si="7"/>
        <v>-7.8472555602182026E-2</v>
      </c>
    </row>
    <row r="5" spans="1:15" s="2" customFormat="1" x14ac:dyDescent="0.5">
      <c r="A5" s="6">
        <v>40361</v>
      </c>
      <c r="B5" s="1">
        <v>23</v>
      </c>
      <c r="C5" s="1">
        <v>23.1</v>
      </c>
      <c r="D5" s="1">
        <v>18.709999</v>
      </c>
      <c r="E5" s="1">
        <v>19.200001</v>
      </c>
      <c r="F5" s="1">
        <v>19.200001</v>
      </c>
      <c r="G5" s="2">
        <v>5139800</v>
      </c>
      <c r="H5" s="2">
        <f t="shared" si="0"/>
        <v>2010</v>
      </c>
      <c r="I5" s="2">
        <f t="shared" si="1"/>
        <v>7</v>
      </c>
      <c r="J5" s="2">
        <f t="shared" si="2"/>
        <v>2</v>
      </c>
      <c r="K5" s="2">
        <f t="shared" si="3"/>
        <v>6</v>
      </c>
      <c r="L5" s="2">
        <f t="shared" si="4"/>
        <v>8</v>
      </c>
      <c r="M5" s="3">
        <f t="shared" si="5"/>
        <v>21.959999</v>
      </c>
      <c r="N5" s="1">
        <f t="shared" ca="1" si="6"/>
        <v>21.959999</v>
      </c>
      <c r="O5" s="5">
        <f t="shared" si="7"/>
        <v>-0.12568297475787682</v>
      </c>
    </row>
    <row r="6" spans="1:15" s="2" customFormat="1" x14ac:dyDescent="0.5">
      <c r="A6" s="6">
        <v>40365</v>
      </c>
      <c r="B6" s="1">
        <v>20</v>
      </c>
      <c r="C6" s="1">
        <v>20</v>
      </c>
      <c r="D6" s="1">
        <v>15.83</v>
      </c>
      <c r="E6" s="1">
        <v>16.110001</v>
      </c>
      <c r="F6" s="1">
        <v>16.110001</v>
      </c>
      <c r="G6" s="2">
        <v>6866900</v>
      </c>
      <c r="H6" s="2">
        <f t="shared" si="0"/>
        <v>2010</v>
      </c>
      <c r="I6" s="2">
        <f t="shared" si="1"/>
        <v>7</v>
      </c>
      <c r="J6" s="2">
        <f t="shared" si="2"/>
        <v>6</v>
      </c>
      <c r="K6" s="2">
        <f t="shared" si="3"/>
        <v>3</v>
      </c>
      <c r="L6" s="2">
        <f t="shared" si="4"/>
        <v>8</v>
      </c>
      <c r="M6" s="3">
        <f t="shared" si="5"/>
        <v>19.200001</v>
      </c>
      <c r="N6" s="1">
        <f t="shared" ca="1" si="6"/>
        <v>19.200001</v>
      </c>
      <c r="O6" s="5">
        <f t="shared" si="7"/>
        <v>-0.16093749161783899</v>
      </c>
    </row>
    <row r="7" spans="1:15" s="2" customFormat="1" x14ac:dyDescent="0.5">
      <c r="A7" s="6">
        <v>40366</v>
      </c>
      <c r="B7" s="1">
        <v>16.399999999999999</v>
      </c>
      <c r="C7" s="1">
        <v>16.629999000000002</v>
      </c>
      <c r="D7" s="1">
        <v>14.98</v>
      </c>
      <c r="E7" s="1">
        <v>15.8</v>
      </c>
      <c r="F7" s="1">
        <v>15.8</v>
      </c>
      <c r="G7" s="2">
        <v>6921700</v>
      </c>
      <c r="H7" s="2">
        <f t="shared" si="0"/>
        <v>2010</v>
      </c>
      <c r="I7" s="2">
        <f t="shared" si="1"/>
        <v>7</v>
      </c>
      <c r="J7" s="2">
        <f t="shared" si="2"/>
        <v>7</v>
      </c>
      <c r="K7" s="2">
        <f t="shared" si="3"/>
        <v>4</v>
      </c>
      <c r="L7" s="2">
        <f t="shared" si="4"/>
        <v>8</v>
      </c>
      <c r="M7" s="3">
        <f t="shared" si="5"/>
        <v>16.110001</v>
      </c>
      <c r="N7" s="1">
        <f t="shared" ca="1" si="6"/>
        <v>16.110001</v>
      </c>
      <c r="O7" s="5">
        <f t="shared" si="7"/>
        <v>-1.9242767272329764E-2</v>
      </c>
    </row>
    <row r="8" spans="1:15" s="2" customFormat="1" x14ac:dyDescent="0.5">
      <c r="A8" s="6">
        <v>40367</v>
      </c>
      <c r="B8" s="1">
        <v>16.139999</v>
      </c>
      <c r="C8" s="1">
        <v>17.52</v>
      </c>
      <c r="D8" s="1">
        <v>15.57</v>
      </c>
      <c r="E8" s="1">
        <v>17.459999</v>
      </c>
      <c r="F8" s="1">
        <v>17.459999</v>
      </c>
      <c r="G8" s="2">
        <v>7711400</v>
      </c>
      <c r="H8" s="2">
        <f t="shared" si="0"/>
        <v>2010</v>
      </c>
      <c r="I8" s="2">
        <f t="shared" si="1"/>
        <v>7</v>
      </c>
      <c r="J8" s="2">
        <f t="shared" si="2"/>
        <v>8</v>
      </c>
      <c r="K8" s="2">
        <f t="shared" si="3"/>
        <v>5</v>
      </c>
      <c r="L8" s="2">
        <f t="shared" si="4"/>
        <v>8</v>
      </c>
      <c r="M8" s="3">
        <f t="shared" si="5"/>
        <v>15.8</v>
      </c>
      <c r="N8" s="1">
        <f t="shared" ca="1" si="6"/>
        <v>15.8</v>
      </c>
      <c r="O8" s="5">
        <f t="shared" si="7"/>
        <v>0.10506322784810118</v>
      </c>
    </row>
    <row r="9" spans="1:15" s="2" customFormat="1" x14ac:dyDescent="0.5">
      <c r="A9" s="6">
        <v>40368</v>
      </c>
      <c r="B9" s="1">
        <v>17.579999999999998</v>
      </c>
      <c r="C9" s="1">
        <v>17.899999999999999</v>
      </c>
      <c r="D9" s="1">
        <v>16.549999</v>
      </c>
      <c r="E9" s="1">
        <v>17.399999999999999</v>
      </c>
      <c r="F9" s="1">
        <v>17.399999999999999</v>
      </c>
      <c r="G9" s="2">
        <v>4050600</v>
      </c>
      <c r="H9" s="2">
        <f t="shared" si="0"/>
        <v>2010</v>
      </c>
      <c r="I9" s="2">
        <f t="shared" si="1"/>
        <v>7</v>
      </c>
      <c r="J9" s="2">
        <f t="shared" si="2"/>
        <v>9</v>
      </c>
      <c r="K9" s="2">
        <f t="shared" si="3"/>
        <v>6</v>
      </c>
      <c r="L9" s="2">
        <f t="shared" si="4"/>
        <v>8</v>
      </c>
      <c r="M9" s="3">
        <f t="shared" si="5"/>
        <v>17.459999</v>
      </c>
      <c r="N9" s="1">
        <f t="shared" ca="1" si="6"/>
        <v>17.459999</v>
      </c>
      <c r="O9" s="5">
        <f t="shared" si="7"/>
        <v>-3.4363690398837576E-3</v>
      </c>
    </row>
    <row r="10" spans="1:15" s="2" customFormat="1" x14ac:dyDescent="0.5">
      <c r="A10" s="6">
        <v>40371</v>
      </c>
      <c r="B10" s="1">
        <v>17.950001</v>
      </c>
      <c r="C10" s="1">
        <v>18.07</v>
      </c>
      <c r="D10" s="1">
        <v>17</v>
      </c>
      <c r="E10" s="1">
        <v>17.049999</v>
      </c>
      <c r="F10" s="1">
        <v>17.049999</v>
      </c>
      <c r="G10" s="2">
        <v>2202500</v>
      </c>
      <c r="H10" s="2">
        <f t="shared" si="0"/>
        <v>2010</v>
      </c>
      <c r="I10" s="2">
        <f t="shared" si="1"/>
        <v>7</v>
      </c>
      <c r="J10" s="2">
        <f t="shared" si="2"/>
        <v>12</v>
      </c>
      <c r="K10" s="2">
        <f t="shared" si="3"/>
        <v>2</v>
      </c>
      <c r="L10" s="2">
        <f t="shared" si="4"/>
        <v>8</v>
      </c>
      <c r="M10" s="3">
        <f t="shared" si="5"/>
        <v>17.399999999999999</v>
      </c>
      <c r="N10" s="1">
        <f t="shared" ca="1" si="6"/>
        <v>17.399999999999999</v>
      </c>
      <c r="O10" s="5">
        <f t="shared" si="7"/>
        <v>-2.0114999999999883E-2</v>
      </c>
    </row>
    <row r="11" spans="1:15" s="2" customFormat="1" x14ac:dyDescent="0.5">
      <c r="A11" s="6">
        <v>40372</v>
      </c>
      <c r="B11" s="1">
        <v>17.389999</v>
      </c>
      <c r="C11" s="1">
        <v>18.639999</v>
      </c>
      <c r="D11" s="1">
        <v>16.899999999999999</v>
      </c>
      <c r="E11" s="1">
        <v>18.139999</v>
      </c>
      <c r="F11" s="1">
        <v>18.139999</v>
      </c>
      <c r="G11" s="2">
        <v>2680100</v>
      </c>
      <c r="H11" s="2">
        <f t="shared" si="0"/>
        <v>2010</v>
      </c>
      <c r="I11" s="2">
        <f t="shared" si="1"/>
        <v>7</v>
      </c>
      <c r="J11" s="2">
        <f t="shared" si="2"/>
        <v>13</v>
      </c>
      <c r="K11" s="2">
        <f t="shared" si="3"/>
        <v>3</v>
      </c>
      <c r="L11" s="2">
        <f t="shared" si="4"/>
        <v>8</v>
      </c>
      <c r="M11" s="3">
        <f t="shared" si="5"/>
        <v>17.049999</v>
      </c>
      <c r="N11" s="1">
        <f t="shared" ca="1" si="6"/>
        <v>17.049999</v>
      </c>
      <c r="O11" s="5">
        <f t="shared" si="7"/>
        <v>6.3929622517866491E-2</v>
      </c>
    </row>
    <row r="12" spans="1:15" s="2" customFormat="1" x14ac:dyDescent="0.5">
      <c r="A12" s="6">
        <v>40373</v>
      </c>
      <c r="B12" s="1">
        <v>17.940000999999999</v>
      </c>
      <c r="C12" s="1">
        <v>20.149999999999999</v>
      </c>
      <c r="D12" s="1">
        <v>17.760000000000002</v>
      </c>
      <c r="E12" s="1">
        <v>19.84</v>
      </c>
      <c r="F12" s="1">
        <v>19.84</v>
      </c>
      <c r="G12" s="2">
        <v>4195200</v>
      </c>
      <c r="H12" s="2">
        <f t="shared" si="0"/>
        <v>2010</v>
      </c>
      <c r="I12" s="2">
        <f t="shared" si="1"/>
        <v>7</v>
      </c>
      <c r="J12" s="2">
        <f t="shared" si="2"/>
        <v>14</v>
      </c>
      <c r="K12" s="2">
        <f t="shared" si="3"/>
        <v>4</v>
      </c>
      <c r="L12" s="2">
        <f t="shared" si="4"/>
        <v>8</v>
      </c>
      <c r="M12" s="3">
        <f t="shared" si="5"/>
        <v>18.139999</v>
      </c>
      <c r="N12" s="1">
        <f t="shared" ca="1" si="6"/>
        <v>18.139999</v>
      </c>
      <c r="O12" s="5">
        <f t="shared" si="7"/>
        <v>9.371560604826934E-2</v>
      </c>
    </row>
    <row r="13" spans="1:15" s="2" customFormat="1" x14ac:dyDescent="0.5">
      <c r="A13" s="6">
        <v>40374</v>
      </c>
      <c r="B13" s="1">
        <v>19.940000999999999</v>
      </c>
      <c r="C13" s="1">
        <v>21.5</v>
      </c>
      <c r="D13" s="1">
        <v>19</v>
      </c>
      <c r="E13" s="1">
        <v>19.889999</v>
      </c>
      <c r="F13" s="1">
        <v>19.889999</v>
      </c>
      <c r="G13" s="2">
        <v>3739800</v>
      </c>
      <c r="H13" s="2">
        <f t="shared" si="0"/>
        <v>2010</v>
      </c>
      <c r="I13" s="2">
        <f t="shared" si="1"/>
        <v>7</v>
      </c>
      <c r="J13" s="2">
        <f t="shared" si="2"/>
        <v>15</v>
      </c>
      <c r="K13" s="2">
        <f t="shared" si="3"/>
        <v>5</v>
      </c>
      <c r="L13" s="2">
        <f t="shared" si="4"/>
        <v>8</v>
      </c>
      <c r="M13" s="3">
        <f t="shared" si="5"/>
        <v>19.84</v>
      </c>
      <c r="N13" s="1">
        <f t="shared" ca="1" si="6"/>
        <v>19.84</v>
      </c>
      <c r="O13" s="5">
        <f t="shared" si="7"/>
        <v>2.5201108870966937E-3</v>
      </c>
    </row>
    <row r="14" spans="1:15" s="2" customFormat="1" x14ac:dyDescent="0.5">
      <c r="A14" s="6">
        <v>40375</v>
      </c>
      <c r="B14" s="1">
        <v>20.700001</v>
      </c>
      <c r="C14" s="1">
        <v>21.299999</v>
      </c>
      <c r="D14" s="1">
        <v>20.049999</v>
      </c>
      <c r="E14" s="1">
        <v>20.639999</v>
      </c>
      <c r="F14" s="1">
        <v>20.639999</v>
      </c>
      <c r="G14" s="2">
        <v>2621300</v>
      </c>
      <c r="H14" s="2">
        <f t="shared" si="0"/>
        <v>2010</v>
      </c>
      <c r="I14" s="2">
        <f t="shared" si="1"/>
        <v>7</v>
      </c>
      <c r="J14" s="2">
        <f t="shared" si="2"/>
        <v>16</v>
      </c>
      <c r="K14" s="2">
        <f t="shared" si="3"/>
        <v>6</v>
      </c>
      <c r="L14" s="2">
        <f t="shared" si="4"/>
        <v>8</v>
      </c>
      <c r="M14" s="3">
        <f t="shared" si="5"/>
        <v>19.889999</v>
      </c>
      <c r="N14" s="1">
        <f t="shared" ca="1" si="6"/>
        <v>19.889999</v>
      </c>
      <c r="O14" s="5">
        <f t="shared" si="7"/>
        <v>3.7707392544363616E-2</v>
      </c>
    </row>
    <row r="15" spans="1:15" s="2" customFormat="1" x14ac:dyDescent="0.5">
      <c r="A15" s="6">
        <v>40378</v>
      </c>
      <c r="B15" s="1">
        <v>21.370000999999998</v>
      </c>
      <c r="C15" s="1">
        <v>22.25</v>
      </c>
      <c r="D15" s="1">
        <v>20.92</v>
      </c>
      <c r="E15" s="1">
        <v>21.91</v>
      </c>
      <c r="F15" s="1">
        <v>21.91</v>
      </c>
      <c r="G15" s="2">
        <v>2486500</v>
      </c>
      <c r="H15" s="2">
        <f t="shared" si="0"/>
        <v>2010</v>
      </c>
      <c r="I15" s="2">
        <f t="shared" si="1"/>
        <v>7</v>
      </c>
      <c r="J15" s="2">
        <f t="shared" si="2"/>
        <v>19</v>
      </c>
      <c r="K15" s="2">
        <f t="shared" si="3"/>
        <v>2</v>
      </c>
      <c r="L15" s="2">
        <f t="shared" si="4"/>
        <v>8</v>
      </c>
      <c r="M15" s="3">
        <f t="shared" si="5"/>
        <v>20.639999</v>
      </c>
      <c r="N15" s="1">
        <f t="shared" ca="1" si="6"/>
        <v>20.639999</v>
      </c>
      <c r="O15" s="5">
        <f t="shared" si="7"/>
        <v>6.1531059182706294E-2</v>
      </c>
    </row>
    <row r="16" spans="1:15" s="2" customFormat="1" x14ac:dyDescent="0.5">
      <c r="A16" s="6">
        <v>40379</v>
      </c>
      <c r="B16" s="1">
        <v>21.85</v>
      </c>
      <c r="C16" s="1">
        <v>21.85</v>
      </c>
      <c r="D16" s="1">
        <v>20.049999</v>
      </c>
      <c r="E16" s="1">
        <v>20.299999</v>
      </c>
      <c r="F16" s="1">
        <v>20.299999</v>
      </c>
      <c r="G16" s="2">
        <v>1825300</v>
      </c>
      <c r="H16" s="2">
        <f t="shared" si="0"/>
        <v>2010</v>
      </c>
      <c r="I16" s="2">
        <f t="shared" si="1"/>
        <v>7</v>
      </c>
      <c r="J16" s="2">
        <f t="shared" si="2"/>
        <v>20</v>
      </c>
      <c r="K16" s="2">
        <f t="shared" si="3"/>
        <v>3</v>
      </c>
      <c r="L16" s="2">
        <f t="shared" si="4"/>
        <v>8</v>
      </c>
      <c r="M16" s="3">
        <f t="shared" si="5"/>
        <v>21.91</v>
      </c>
      <c r="N16" s="1">
        <f t="shared" ca="1" si="6"/>
        <v>21.91</v>
      </c>
      <c r="O16" s="5">
        <f t="shared" si="7"/>
        <v>-7.3482473756275701E-2</v>
      </c>
    </row>
    <row r="17" spans="1:15" s="2" customFormat="1" x14ac:dyDescent="0.5">
      <c r="A17" s="6">
        <v>40380</v>
      </c>
      <c r="B17" s="1">
        <v>20.66</v>
      </c>
      <c r="C17" s="1">
        <v>20.9</v>
      </c>
      <c r="D17" s="1">
        <v>19.5</v>
      </c>
      <c r="E17" s="1">
        <v>20.219999000000001</v>
      </c>
      <c r="F17" s="1">
        <v>20.219999000000001</v>
      </c>
      <c r="G17" s="2">
        <v>1252500</v>
      </c>
      <c r="H17" s="2">
        <f t="shared" si="0"/>
        <v>2010</v>
      </c>
      <c r="I17" s="2">
        <f t="shared" si="1"/>
        <v>7</v>
      </c>
      <c r="J17" s="2">
        <f t="shared" si="2"/>
        <v>21</v>
      </c>
      <c r="K17" s="2">
        <f t="shared" si="3"/>
        <v>4</v>
      </c>
      <c r="L17" s="2">
        <f t="shared" si="4"/>
        <v>8</v>
      </c>
      <c r="M17" s="3">
        <f t="shared" si="5"/>
        <v>20.299999</v>
      </c>
      <c r="N17" s="1">
        <f t="shared" ca="1" si="6"/>
        <v>20.299999</v>
      </c>
      <c r="O17" s="5">
        <f t="shared" si="7"/>
        <v>-3.9408868936396946E-3</v>
      </c>
    </row>
    <row r="18" spans="1:15" s="2" customFormat="1" x14ac:dyDescent="0.5">
      <c r="A18" s="6">
        <v>40381</v>
      </c>
      <c r="B18" s="1">
        <v>20.5</v>
      </c>
      <c r="C18" s="1">
        <v>21.25</v>
      </c>
      <c r="D18" s="1">
        <v>20.370000999999998</v>
      </c>
      <c r="E18" s="1">
        <v>21</v>
      </c>
      <c r="F18" s="1">
        <v>21</v>
      </c>
      <c r="G18" s="2">
        <v>957800</v>
      </c>
      <c r="H18" s="2">
        <f t="shared" si="0"/>
        <v>2010</v>
      </c>
      <c r="I18" s="2">
        <f t="shared" si="1"/>
        <v>7</v>
      </c>
      <c r="J18" s="2">
        <f t="shared" si="2"/>
        <v>22</v>
      </c>
      <c r="K18" s="2">
        <f t="shared" si="3"/>
        <v>5</v>
      </c>
      <c r="L18" s="2">
        <f t="shared" si="4"/>
        <v>8</v>
      </c>
      <c r="M18" s="3">
        <f t="shared" si="5"/>
        <v>20.219999000000001</v>
      </c>
      <c r="N18" s="1">
        <f t="shared" ca="1" si="6"/>
        <v>20.219999000000001</v>
      </c>
      <c r="O18" s="5">
        <f t="shared" si="7"/>
        <v>3.8575719019570576E-2</v>
      </c>
    </row>
    <row r="19" spans="1:15" s="2" customFormat="1" x14ac:dyDescent="0.5">
      <c r="A19" s="6">
        <v>40382</v>
      </c>
      <c r="B19" s="1">
        <v>21.190000999999999</v>
      </c>
      <c r="C19" s="1">
        <v>21.559999000000001</v>
      </c>
      <c r="D19" s="1">
        <v>21.059999000000001</v>
      </c>
      <c r="E19" s="1">
        <v>21.290001</v>
      </c>
      <c r="F19" s="1">
        <v>21.290001</v>
      </c>
      <c r="G19" s="2">
        <v>653600</v>
      </c>
      <c r="H19" s="2">
        <f t="shared" si="0"/>
        <v>2010</v>
      </c>
      <c r="I19" s="2">
        <f t="shared" si="1"/>
        <v>7</v>
      </c>
      <c r="J19" s="2">
        <f t="shared" si="2"/>
        <v>23</v>
      </c>
      <c r="K19" s="2">
        <f t="shared" si="3"/>
        <v>6</v>
      </c>
      <c r="L19" s="2">
        <f t="shared" si="4"/>
        <v>8</v>
      </c>
      <c r="M19" s="3">
        <f t="shared" si="5"/>
        <v>21</v>
      </c>
      <c r="N19" s="1">
        <f t="shared" ca="1" si="6"/>
        <v>21</v>
      </c>
      <c r="O19" s="5">
        <f t="shared" si="7"/>
        <v>1.3809571428571532E-2</v>
      </c>
    </row>
    <row r="20" spans="1:15" s="2" customFormat="1" x14ac:dyDescent="0.5">
      <c r="A20" s="6">
        <v>40385</v>
      </c>
      <c r="B20" s="1">
        <v>21.5</v>
      </c>
      <c r="C20" s="1">
        <v>21.5</v>
      </c>
      <c r="D20" s="1">
        <v>20.299999</v>
      </c>
      <c r="E20" s="1">
        <v>20.950001</v>
      </c>
      <c r="F20" s="1">
        <v>20.950001</v>
      </c>
      <c r="G20" s="2">
        <v>922200</v>
      </c>
      <c r="H20" s="2">
        <f t="shared" si="0"/>
        <v>2010</v>
      </c>
      <c r="I20" s="2">
        <f t="shared" si="1"/>
        <v>7</v>
      </c>
      <c r="J20" s="2">
        <f t="shared" si="2"/>
        <v>26</v>
      </c>
      <c r="K20" s="2">
        <f t="shared" si="3"/>
        <v>2</v>
      </c>
      <c r="L20" s="2">
        <f t="shared" si="4"/>
        <v>8</v>
      </c>
      <c r="M20" s="3">
        <f t="shared" si="5"/>
        <v>21.290001</v>
      </c>
      <c r="N20" s="1">
        <f t="shared" ca="1" si="6"/>
        <v>21.290001</v>
      </c>
      <c r="O20" s="5">
        <f t="shared" si="7"/>
        <v>-1.5969938188354238E-2</v>
      </c>
    </row>
    <row r="21" spans="1:15" s="2" customFormat="1" x14ac:dyDescent="0.5">
      <c r="A21" s="6">
        <v>40386</v>
      </c>
      <c r="B21" s="1">
        <v>20.91</v>
      </c>
      <c r="C21" s="1">
        <v>21.18</v>
      </c>
      <c r="D21" s="1">
        <v>20.260000000000002</v>
      </c>
      <c r="E21" s="1">
        <v>20.549999</v>
      </c>
      <c r="F21" s="1">
        <v>20.549999</v>
      </c>
      <c r="G21" s="2">
        <v>619700</v>
      </c>
      <c r="H21" s="2">
        <f t="shared" si="0"/>
        <v>2010</v>
      </c>
      <c r="I21" s="2">
        <f t="shared" si="1"/>
        <v>7</v>
      </c>
      <c r="J21" s="2">
        <f t="shared" si="2"/>
        <v>27</v>
      </c>
      <c r="K21" s="2">
        <f t="shared" si="3"/>
        <v>3</v>
      </c>
      <c r="L21" s="2">
        <f t="shared" si="4"/>
        <v>8</v>
      </c>
      <c r="M21" s="3">
        <f t="shared" si="5"/>
        <v>20.950001</v>
      </c>
      <c r="N21" s="1">
        <f t="shared" ca="1" si="6"/>
        <v>20.950001</v>
      </c>
      <c r="O21" s="5">
        <f t="shared" si="7"/>
        <v>-1.9093173312974998E-2</v>
      </c>
    </row>
    <row r="22" spans="1:15" s="2" customFormat="1" x14ac:dyDescent="0.5">
      <c r="A22" s="6">
        <v>40387</v>
      </c>
      <c r="B22" s="1">
        <v>20.549999</v>
      </c>
      <c r="C22" s="1">
        <v>20.9</v>
      </c>
      <c r="D22" s="1">
        <v>20.51</v>
      </c>
      <c r="E22" s="1">
        <v>20.719999000000001</v>
      </c>
      <c r="F22" s="1">
        <v>20.719999000000001</v>
      </c>
      <c r="G22" s="2">
        <v>467200</v>
      </c>
      <c r="H22" s="2">
        <f t="shared" si="0"/>
        <v>2010</v>
      </c>
      <c r="I22" s="2">
        <f t="shared" si="1"/>
        <v>7</v>
      </c>
      <c r="J22" s="2">
        <f t="shared" si="2"/>
        <v>28</v>
      </c>
      <c r="K22" s="2">
        <f t="shared" si="3"/>
        <v>4</v>
      </c>
      <c r="L22" s="2">
        <f t="shared" si="4"/>
        <v>8</v>
      </c>
      <c r="M22" s="3">
        <f t="shared" si="5"/>
        <v>20.549999</v>
      </c>
      <c r="N22" s="1">
        <f t="shared" ca="1" si="6"/>
        <v>20.549999</v>
      </c>
      <c r="O22" s="5">
        <f t="shared" si="7"/>
        <v>8.2725064852802177E-3</v>
      </c>
    </row>
    <row r="23" spans="1:15" s="2" customFormat="1" x14ac:dyDescent="0.5">
      <c r="A23" s="6">
        <v>40388</v>
      </c>
      <c r="B23" s="1">
        <v>20.77</v>
      </c>
      <c r="C23" s="1">
        <v>20.879999000000002</v>
      </c>
      <c r="D23" s="1">
        <v>20</v>
      </c>
      <c r="E23" s="1">
        <v>20.350000000000001</v>
      </c>
      <c r="F23" s="1">
        <v>20.350000000000001</v>
      </c>
      <c r="G23" s="2">
        <v>616000</v>
      </c>
      <c r="H23" s="2">
        <f t="shared" si="0"/>
        <v>2010</v>
      </c>
      <c r="I23" s="2">
        <f t="shared" si="1"/>
        <v>7</v>
      </c>
      <c r="J23" s="2">
        <f t="shared" si="2"/>
        <v>29</v>
      </c>
      <c r="K23" s="2">
        <f t="shared" si="3"/>
        <v>5</v>
      </c>
      <c r="L23" s="2">
        <f t="shared" si="4"/>
        <v>8</v>
      </c>
      <c r="M23" s="3">
        <f t="shared" si="5"/>
        <v>20.719999000000001</v>
      </c>
      <c r="N23" s="1">
        <f t="shared" ca="1" si="6"/>
        <v>20.719999000000001</v>
      </c>
      <c r="O23" s="5">
        <f t="shared" si="7"/>
        <v>-1.7857095456423555E-2</v>
      </c>
    </row>
    <row r="24" spans="1:15" s="2" customFormat="1" x14ac:dyDescent="0.5">
      <c r="A24" s="6">
        <v>40389</v>
      </c>
      <c r="B24" s="1">
        <v>20.200001</v>
      </c>
      <c r="C24" s="1">
        <v>20.440000999999999</v>
      </c>
      <c r="D24" s="1">
        <v>19.549999</v>
      </c>
      <c r="E24" s="1">
        <v>19.940000999999999</v>
      </c>
      <c r="F24" s="1">
        <v>19.940000999999999</v>
      </c>
      <c r="G24" s="2">
        <v>426900</v>
      </c>
      <c r="H24" s="2">
        <f t="shared" si="0"/>
        <v>2010</v>
      </c>
      <c r="I24" s="2">
        <f t="shared" si="1"/>
        <v>7</v>
      </c>
      <c r="J24" s="2">
        <f t="shared" si="2"/>
        <v>30</v>
      </c>
      <c r="K24" s="2">
        <f t="shared" si="3"/>
        <v>6</v>
      </c>
      <c r="L24" s="2">
        <f t="shared" si="4"/>
        <v>8</v>
      </c>
      <c r="M24" s="3">
        <f t="shared" si="5"/>
        <v>20.350000000000001</v>
      </c>
      <c r="N24" s="1">
        <f t="shared" ca="1" si="6"/>
        <v>20.350000000000001</v>
      </c>
      <c r="O24" s="5">
        <f t="shared" si="7"/>
        <v>-2.0147371007371184E-2</v>
      </c>
    </row>
    <row r="25" spans="1:15" s="2" customFormat="1" x14ac:dyDescent="0.5">
      <c r="A25" s="6">
        <v>40392</v>
      </c>
      <c r="B25" s="1">
        <v>20.5</v>
      </c>
      <c r="C25" s="1">
        <v>20.969999000000001</v>
      </c>
      <c r="D25" s="1">
        <v>20.329999999999998</v>
      </c>
      <c r="E25" s="1">
        <v>20.92</v>
      </c>
      <c r="F25" s="1">
        <v>20.92</v>
      </c>
      <c r="G25" s="2">
        <v>718100</v>
      </c>
      <c r="H25" s="2">
        <f t="shared" si="0"/>
        <v>2010</v>
      </c>
      <c r="I25" s="2">
        <f t="shared" si="1"/>
        <v>8</v>
      </c>
      <c r="J25" s="2">
        <f t="shared" si="2"/>
        <v>2</v>
      </c>
      <c r="K25" s="2">
        <f t="shared" si="3"/>
        <v>2</v>
      </c>
      <c r="L25" s="2">
        <f t="shared" si="4"/>
        <v>9</v>
      </c>
      <c r="M25" s="3">
        <f t="shared" si="5"/>
        <v>19.940000999999999</v>
      </c>
      <c r="N25" s="1">
        <f t="shared" ca="1" si="6"/>
        <v>19.940000999999999</v>
      </c>
      <c r="O25" s="5">
        <f t="shared" si="7"/>
        <v>4.9147389711766021E-2</v>
      </c>
    </row>
    <row r="26" spans="1:15" s="2" customFormat="1" x14ac:dyDescent="0.5">
      <c r="A26" s="6">
        <v>40393</v>
      </c>
      <c r="B26" s="1">
        <v>21</v>
      </c>
      <c r="C26" s="1">
        <v>21.950001</v>
      </c>
      <c r="D26" s="1">
        <v>20.82</v>
      </c>
      <c r="E26" s="1">
        <v>21.950001</v>
      </c>
      <c r="F26" s="1">
        <v>21.950001</v>
      </c>
      <c r="G26" s="2">
        <v>1230500</v>
      </c>
      <c r="H26" s="2">
        <f t="shared" si="0"/>
        <v>2010</v>
      </c>
      <c r="I26" s="2">
        <f t="shared" si="1"/>
        <v>8</v>
      </c>
      <c r="J26" s="2">
        <f t="shared" si="2"/>
        <v>3</v>
      </c>
      <c r="K26" s="2">
        <f t="shared" si="3"/>
        <v>3</v>
      </c>
      <c r="L26" s="2">
        <f t="shared" si="4"/>
        <v>9</v>
      </c>
      <c r="M26" s="3">
        <f t="shared" si="5"/>
        <v>20.92</v>
      </c>
      <c r="N26" s="1">
        <f t="shared" ca="1" si="6"/>
        <v>20.92</v>
      </c>
      <c r="O26" s="5">
        <f t="shared" si="7"/>
        <v>4.9235229445506512E-2</v>
      </c>
    </row>
    <row r="27" spans="1:15" s="2" customFormat="1" x14ac:dyDescent="0.5">
      <c r="A27" s="6">
        <v>40394</v>
      </c>
      <c r="B27" s="1">
        <v>21.950001</v>
      </c>
      <c r="C27" s="1">
        <v>22.18</v>
      </c>
      <c r="D27" s="1">
        <v>20.85</v>
      </c>
      <c r="E27" s="1">
        <v>21.26</v>
      </c>
      <c r="F27" s="1">
        <v>21.26</v>
      </c>
      <c r="G27" s="2">
        <v>913000</v>
      </c>
      <c r="H27" s="2">
        <f t="shared" si="0"/>
        <v>2010</v>
      </c>
      <c r="I27" s="2">
        <f t="shared" si="1"/>
        <v>8</v>
      </c>
      <c r="J27" s="2">
        <f t="shared" si="2"/>
        <v>4</v>
      </c>
      <c r="K27" s="2">
        <f t="shared" si="3"/>
        <v>4</v>
      </c>
      <c r="L27" s="2">
        <f t="shared" si="4"/>
        <v>9</v>
      </c>
      <c r="M27" s="3">
        <f t="shared" si="5"/>
        <v>21.950001</v>
      </c>
      <c r="N27" s="1">
        <f t="shared" ca="1" si="6"/>
        <v>21.950001</v>
      </c>
      <c r="O27" s="5">
        <f t="shared" si="7"/>
        <v>-3.1435123852613933E-2</v>
      </c>
    </row>
    <row r="28" spans="1:15" s="2" customFormat="1" x14ac:dyDescent="0.5">
      <c r="A28" s="6">
        <v>40395</v>
      </c>
      <c r="B28" s="1">
        <v>21.540001</v>
      </c>
      <c r="C28" s="1">
        <v>21.549999</v>
      </c>
      <c r="D28" s="1">
        <v>20.049999</v>
      </c>
      <c r="E28" s="1">
        <v>20.450001</v>
      </c>
      <c r="F28" s="1">
        <v>20.450001</v>
      </c>
      <c r="G28" s="2">
        <v>796200</v>
      </c>
      <c r="H28" s="2">
        <f t="shared" si="0"/>
        <v>2010</v>
      </c>
      <c r="I28" s="2">
        <f t="shared" si="1"/>
        <v>8</v>
      </c>
      <c r="J28" s="2">
        <f t="shared" si="2"/>
        <v>5</v>
      </c>
      <c r="K28" s="2">
        <f t="shared" si="3"/>
        <v>5</v>
      </c>
      <c r="L28" s="2">
        <f t="shared" si="4"/>
        <v>9</v>
      </c>
      <c r="M28" s="3">
        <f t="shared" si="5"/>
        <v>21.26</v>
      </c>
      <c r="N28" s="1">
        <f t="shared" ca="1" si="6"/>
        <v>21.26</v>
      </c>
      <c r="O28" s="5">
        <f t="shared" si="7"/>
        <v>-3.809967074317977E-2</v>
      </c>
    </row>
    <row r="29" spans="1:15" s="2" customFormat="1" x14ac:dyDescent="0.5">
      <c r="A29" s="6">
        <v>40396</v>
      </c>
      <c r="B29" s="1">
        <v>20.100000000000001</v>
      </c>
      <c r="C29" s="1">
        <v>20.16</v>
      </c>
      <c r="D29" s="1">
        <v>19.52</v>
      </c>
      <c r="E29" s="1">
        <v>19.59</v>
      </c>
      <c r="F29" s="1">
        <v>19.59</v>
      </c>
      <c r="G29" s="2">
        <v>741900</v>
      </c>
      <c r="H29" s="2">
        <f t="shared" si="0"/>
        <v>2010</v>
      </c>
      <c r="I29" s="2">
        <f t="shared" si="1"/>
        <v>8</v>
      </c>
      <c r="J29" s="2">
        <f t="shared" si="2"/>
        <v>6</v>
      </c>
      <c r="K29" s="2">
        <f t="shared" si="3"/>
        <v>6</v>
      </c>
      <c r="L29" s="2">
        <f t="shared" si="4"/>
        <v>9</v>
      </c>
      <c r="M29" s="3">
        <f t="shared" si="5"/>
        <v>20.450001</v>
      </c>
      <c r="N29" s="1">
        <f t="shared" ca="1" si="6"/>
        <v>20.450001</v>
      </c>
      <c r="O29" s="5">
        <f t="shared" si="7"/>
        <v>-4.2053836574384551E-2</v>
      </c>
    </row>
    <row r="30" spans="1:15" s="2" customFormat="1" x14ac:dyDescent="0.5">
      <c r="A30" s="6">
        <v>40399</v>
      </c>
      <c r="B30" s="1">
        <v>19.899999999999999</v>
      </c>
      <c r="C30" s="1">
        <v>19.98</v>
      </c>
      <c r="D30" s="1">
        <v>19.450001</v>
      </c>
      <c r="E30" s="1">
        <v>19.600000000000001</v>
      </c>
      <c r="F30" s="1">
        <v>19.600000000000001</v>
      </c>
      <c r="G30" s="2">
        <v>812700</v>
      </c>
      <c r="H30" s="2">
        <f t="shared" si="0"/>
        <v>2010</v>
      </c>
      <c r="I30" s="2">
        <f t="shared" si="1"/>
        <v>8</v>
      </c>
      <c r="J30" s="2">
        <f t="shared" si="2"/>
        <v>9</v>
      </c>
      <c r="K30" s="2">
        <f t="shared" si="3"/>
        <v>2</v>
      </c>
      <c r="L30" s="2">
        <f t="shared" si="4"/>
        <v>9</v>
      </c>
      <c r="M30" s="3">
        <f t="shared" si="5"/>
        <v>19.59</v>
      </c>
      <c r="N30" s="1">
        <f t="shared" ca="1" si="6"/>
        <v>19.59</v>
      </c>
      <c r="O30" s="5">
        <f t="shared" si="7"/>
        <v>5.1046452271585885E-4</v>
      </c>
    </row>
    <row r="31" spans="1:15" s="2" customFormat="1" x14ac:dyDescent="0.5">
      <c r="A31" s="6">
        <v>40400</v>
      </c>
      <c r="B31" s="1">
        <v>19.649999999999999</v>
      </c>
      <c r="C31" s="1">
        <v>19.649999999999999</v>
      </c>
      <c r="D31" s="1">
        <v>18.82</v>
      </c>
      <c r="E31" s="1">
        <v>19.030000999999999</v>
      </c>
      <c r="F31" s="1">
        <v>19.030000999999999</v>
      </c>
      <c r="G31" s="2">
        <v>1281300</v>
      </c>
      <c r="H31" s="2">
        <f t="shared" si="0"/>
        <v>2010</v>
      </c>
      <c r="I31" s="2">
        <f t="shared" si="1"/>
        <v>8</v>
      </c>
      <c r="J31" s="2">
        <f t="shared" si="2"/>
        <v>10</v>
      </c>
      <c r="K31" s="2">
        <f t="shared" si="3"/>
        <v>3</v>
      </c>
      <c r="L31" s="2">
        <f t="shared" si="4"/>
        <v>9</v>
      </c>
      <c r="M31" s="3">
        <f t="shared" si="5"/>
        <v>19.600000000000001</v>
      </c>
      <c r="N31" s="1">
        <f t="shared" ca="1" si="6"/>
        <v>19.600000000000001</v>
      </c>
      <c r="O31" s="5">
        <f t="shared" si="7"/>
        <v>-2.9081581632653175E-2</v>
      </c>
    </row>
    <row r="32" spans="1:15" s="2" customFormat="1" x14ac:dyDescent="0.5">
      <c r="A32" s="6">
        <v>40401</v>
      </c>
      <c r="B32" s="1">
        <v>18.690000999999999</v>
      </c>
      <c r="C32" s="1">
        <v>18.879999000000002</v>
      </c>
      <c r="D32" s="1">
        <v>17.850000000000001</v>
      </c>
      <c r="E32" s="1">
        <v>17.899999999999999</v>
      </c>
      <c r="F32" s="1">
        <v>17.899999999999999</v>
      </c>
      <c r="G32" s="2">
        <v>797600</v>
      </c>
      <c r="H32" s="2">
        <f t="shared" si="0"/>
        <v>2010</v>
      </c>
      <c r="I32" s="2">
        <f t="shared" si="1"/>
        <v>8</v>
      </c>
      <c r="J32" s="2">
        <f t="shared" si="2"/>
        <v>11</v>
      </c>
      <c r="K32" s="2">
        <f t="shared" si="3"/>
        <v>4</v>
      </c>
      <c r="L32" s="2">
        <f t="shared" si="4"/>
        <v>9</v>
      </c>
      <c r="M32" s="3">
        <f t="shared" si="5"/>
        <v>19.030000999999999</v>
      </c>
      <c r="N32" s="1">
        <f t="shared" ca="1" si="6"/>
        <v>19.030000999999999</v>
      </c>
      <c r="O32" s="5">
        <f t="shared" si="7"/>
        <v>-5.9379975860222034E-2</v>
      </c>
    </row>
    <row r="33" spans="1:15" s="2" customFormat="1" x14ac:dyDescent="0.5">
      <c r="A33" s="6">
        <v>40402</v>
      </c>
      <c r="B33" s="1">
        <v>17.799999</v>
      </c>
      <c r="C33" s="1">
        <v>17.899999999999999</v>
      </c>
      <c r="D33" s="1">
        <v>17.389999</v>
      </c>
      <c r="E33" s="1">
        <v>17.600000000000001</v>
      </c>
      <c r="F33" s="1">
        <v>17.600000000000001</v>
      </c>
      <c r="G33" s="2">
        <v>691000</v>
      </c>
      <c r="H33" s="2">
        <f t="shared" si="0"/>
        <v>2010</v>
      </c>
      <c r="I33" s="2">
        <f t="shared" si="1"/>
        <v>8</v>
      </c>
      <c r="J33" s="2">
        <f t="shared" si="2"/>
        <v>12</v>
      </c>
      <c r="K33" s="2">
        <f t="shared" si="3"/>
        <v>5</v>
      </c>
      <c r="L33" s="2">
        <f t="shared" si="4"/>
        <v>9</v>
      </c>
      <c r="M33" s="3">
        <f t="shared" si="5"/>
        <v>17.899999999999999</v>
      </c>
      <c r="N33" s="1">
        <f t="shared" ca="1" si="6"/>
        <v>17.899999999999999</v>
      </c>
      <c r="O33" s="5">
        <f t="shared" si="7"/>
        <v>-1.6759776536312665E-2</v>
      </c>
    </row>
    <row r="34" spans="1:15" s="2" customFormat="1" x14ac:dyDescent="0.5">
      <c r="A34" s="6">
        <v>40403</v>
      </c>
      <c r="B34" s="1">
        <v>18.18</v>
      </c>
      <c r="C34" s="1">
        <v>18.450001</v>
      </c>
      <c r="D34" s="1">
        <v>17.66</v>
      </c>
      <c r="E34" s="1">
        <v>18.32</v>
      </c>
      <c r="F34" s="1">
        <v>18.32</v>
      </c>
      <c r="G34" s="2">
        <v>634000</v>
      </c>
      <c r="H34" s="2">
        <f t="shared" si="0"/>
        <v>2010</v>
      </c>
      <c r="I34" s="2">
        <f t="shared" si="1"/>
        <v>8</v>
      </c>
      <c r="J34" s="2">
        <f t="shared" si="2"/>
        <v>13</v>
      </c>
      <c r="K34" s="2">
        <f t="shared" si="3"/>
        <v>6</v>
      </c>
      <c r="L34" s="2">
        <f t="shared" si="4"/>
        <v>9</v>
      </c>
      <c r="M34" s="3">
        <f t="shared" si="5"/>
        <v>17.600000000000001</v>
      </c>
      <c r="N34" s="1">
        <f t="shared" ca="1" si="6"/>
        <v>17.600000000000001</v>
      </c>
      <c r="O34" s="5">
        <f t="shared" si="7"/>
        <v>4.0909090909090784E-2</v>
      </c>
    </row>
    <row r="35" spans="1:15" s="2" customFormat="1" x14ac:dyDescent="0.5">
      <c r="A35" s="6">
        <v>40406</v>
      </c>
      <c r="B35" s="1">
        <v>18.450001</v>
      </c>
      <c r="C35" s="1">
        <v>18.799999</v>
      </c>
      <c r="D35" s="1">
        <v>18.260000000000002</v>
      </c>
      <c r="E35" s="1">
        <v>18.780000999999999</v>
      </c>
      <c r="F35" s="1">
        <v>18.780000999999999</v>
      </c>
      <c r="G35" s="2">
        <v>485800</v>
      </c>
      <c r="H35" s="2">
        <f t="shared" si="0"/>
        <v>2010</v>
      </c>
      <c r="I35" s="2">
        <f t="shared" si="1"/>
        <v>8</v>
      </c>
      <c r="J35" s="2">
        <f t="shared" si="2"/>
        <v>16</v>
      </c>
      <c r="K35" s="2">
        <f t="shared" si="3"/>
        <v>2</v>
      </c>
      <c r="L35" s="2">
        <f t="shared" si="4"/>
        <v>9</v>
      </c>
      <c r="M35" s="3">
        <f t="shared" si="5"/>
        <v>18.32</v>
      </c>
      <c r="N35" s="1">
        <f t="shared" ca="1" si="6"/>
        <v>18.32</v>
      </c>
      <c r="O35" s="5">
        <f t="shared" si="7"/>
        <v>2.5109224890829562E-2</v>
      </c>
    </row>
    <row r="36" spans="1:15" s="2" customFormat="1" x14ac:dyDescent="0.5">
      <c r="A36" s="6">
        <v>40407</v>
      </c>
      <c r="B36" s="1">
        <v>18.959999</v>
      </c>
      <c r="C36" s="1">
        <v>19.399999999999999</v>
      </c>
      <c r="D36" s="1">
        <v>18.780000999999999</v>
      </c>
      <c r="E36" s="1">
        <v>19.149999999999999</v>
      </c>
      <c r="F36" s="1">
        <v>19.149999999999999</v>
      </c>
      <c r="G36" s="2">
        <v>447900</v>
      </c>
      <c r="H36" s="2">
        <f t="shared" si="0"/>
        <v>2010</v>
      </c>
      <c r="I36" s="2">
        <f t="shared" si="1"/>
        <v>8</v>
      </c>
      <c r="J36" s="2">
        <f t="shared" si="2"/>
        <v>17</v>
      </c>
      <c r="K36" s="2">
        <f t="shared" si="3"/>
        <v>3</v>
      </c>
      <c r="L36" s="2">
        <f t="shared" si="4"/>
        <v>9</v>
      </c>
      <c r="M36" s="3">
        <f t="shared" si="5"/>
        <v>18.780000999999999</v>
      </c>
      <c r="N36" s="1">
        <f t="shared" ca="1" si="6"/>
        <v>18.780000999999999</v>
      </c>
      <c r="O36" s="5">
        <f t="shared" si="7"/>
        <v>1.9701756139416604E-2</v>
      </c>
    </row>
    <row r="37" spans="1:15" s="2" customFormat="1" x14ac:dyDescent="0.5">
      <c r="A37" s="6">
        <v>40408</v>
      </c>
      <c r="B37" s="1">
        <v>19.59</v>
      </c>
      <c r="C37" s="1">
        <v>19.59</v>
      </c>
      <c r="D37" s="1">
        <v>18.600000000000001</v>
      </c>
      <c r="E37" s="1">
        <v>18.77</v>
      </c>
      <c r="F37" s="1">
        <v>18.77</v>
      </c>
      <c r="G37" s="2">
        <v>601300</v>
      </c>
      <c r="H37" s="2">
        <f t="shared" si="0"/>
        <v>2010</v>
      </c>
      <c r="I37" s="2">
        <f t="shared" si="1"/>
        <v>8</v>
      </c>
      <c r="J37" s="2">
        <f t="shared" si="2"/>
        <v>18</v>
      </c>
      <c r="K37" s="2">
        <f t="shared" si="3"/>
        <v>4</v>
      </c>
      <c r="L37" s="2">
        <f t="shared" si="4"/>
        <v>9</v>
      </c>
      <c r="M37" s="3">
        <f t="shared" si="5"/>
        <v>19.149999999999999</v>
      </c>
      <c r="N37" s="1">
        <f t="shared" ca="1" si="6"/>
        <v>19.149999999999999</v>
      </c>
      <c r="O37" s="5">
        <f t="shared" si="7"/>
        <v>-1.9843342036553469E-2</v>
      </c>
    </row>
    <row r="38" spans="1:15" s="2" customFormat="1" x14ac:dyDescent="0.5">
      <c r="A38" s="6">
        <v>40409</v>
      </c>
      <c r="B38" s="1">
        <v>18.540001</v>
      </c>
      <c r="C38" s="1">
        <v>19.25</v>
      </c>
      <c r="D38" s="1">
        <v>18.329999999999998</v>
      </c>
      <c r="E38" s="1">
        <v>18.790001</v>
      </c>
      <c r="F38" s="1">
        <v>18.790001</v>
      </c>
      <c r="G38" s="2">
        <v>579100</v>
      </c>
      <c r="H38" s="2">
        <f t="shared" si="0"/>
        <v>2010</v>
      </c>
      <c r="I38" s="2">
        <f t="shared" si="1"/>
        <v>8</v>
      </c>
      <c r="J38" s="2">
        <f t="shared" si="2"/>
        <v>19</v>
      </c>
      <c r="K38" s="2">
        <f t="shared" si="3"/>
        <v>5</v>
      </c>
      <c r="L38" s="2">
        <f t="shared" si="4"/>
        <v>9</v>
      </c>
      <c r="M38" s="3">
        <f t="shared" si="5"/>
        <v>18.77</v>
      </c>
      <c r="N38" s="1">
        <f t="shared" ca="1" si="6"/>
        <v>18.77</v>
      </c>
      <c r="O38" s="5">
        <f t="shared" si="7"/>
        <v>1.0655833777304391E-3</v>
      </c>
    </row>
    <row r="39" spans="1:15" s="2" customFormat="1" x14ac:dyDescent="0.5">
      <c r="A39" s="6">
        <v>40410</v>
      </c>
      <c r="B39" s="1">
        <v>18.649999999999999</v>
      </c>
      <c r="C39" s="1">
        <v>19.110001</v>
      </c>
      <c r="D39" s="1">
        <v>18.510000000000002</v>
      </c>
      <c r="E39" s="1">
        <v>19.100000000000001</v>
      </c>
      <c r="F39" s="1">
        <v>19.100000000000001</v>
      </c>
      <c r="G39" s="2">
        <v>296000</v>
      </c>
      <c r="H39" s="2">
        <f t="shared" si="0"/>
        <v>2010</v>
      </c>
      <c r="I39" s="2">
        <f t="shared" si="1"/>
        <v>8</v>
      </c>
      <c r="J39" s="2">
        <f t="shared" si="2"/>
        <v>20</v>
      </c>
      <c r="K39" s="2">
        <f t="shared" si="3"/>
        <v>6</v>
      </c>
      <c r="L39" s="2">
        <f t="shared" si="4"/>
        <v>9</v>
      </c>
      <c r="M39" s="3">
        <f t="shared" si="5"/>
        <v>18.790001</v>
      </c>
      <c r="N39" s="1">
        <f t="shared" ca="1" si="6"/>
        <v>18.790001</v>
      </c>
      <c r="O39" s="5">
        <f t="shared" si="7"/>
        <v>1.6498083209255832E-2</v>
      </c>
    </row>
    <row r="40" spans="1:15" s="2" customFormat="1" x14ac:dyDescent="0.5">
      <c r="A40" s="6">
        <v>40413</v>
      </c>
      <c r="B40" s="1">
        <v>19.09</v>
      </c>
      <c r="C40" s="1">
        <v>20.389999</v>
      </c>
      <c r="D40" s="1">
        <v>19</v>
      </c>
      <c r="E40" s="1">
        <v>20.129999000000002</v>
      </c>
      <c r="F40" s="1">
        <v>20.129999000000002</v>
      </c>
      <c r="G40" s="2">
        <v>1088100</v>
      </c>
      <c r="H40" s="2">
        <f t="shared" si="0"/>
        <v>2010</v>
      </c>
      <c r="I40" s="2">
        <f t="shared" si="1"/>
        <v>8</v>
      </c>
      <c r="J40" s="2">
        <f t="shared" si="2"/>
        <v>23</v>
      </c>
      <c r="K40" s="2">
        <f t="shared" si="3"/>
        <v>2</v>
      </c>
      <c r="L40" s="2">
        <f t="shared" si="4"/>
        <v>9</v>
      </c>
      <c r="M40" s="3">
        <f t="shared" si="5"/>
        <v>19.100000000000001</v>
      </c>
      <c r="N40" s="1">
        <f t="shared" ca="1" si="6"/>
        <v>19.100000000000001</v>
      </c>
      <c r="O40" s="5">
        <f t="shared" si="7"/>
        <v>5.3926649214659728E-2</v>
      </c>
    </row>
    <row r="41" spans="1:15" s="2" customFormat="1" x14ac:dyDescent="0.5">
      <c r="A41" s="6">
        <v>40414</v>
      </c>
      <c r="B41" s="1">
        <v>19.25</v>
      </c>
      <c r="C41" s="1">
        <v>19.709999</v>
      </c>
      <c r="D41" s="1">
        <v>18.950001</v>
      </c>
      <c r="E41" s="1">
        <v>19.200001</v>
      </c>
      <c r="F41" s="1">
        <v>19.200001</v>
      </c>
      <c r="G41" s="2">
        <v>673100</v>
      </c>
      <c r="H41" s="2">
        <f t="shared" si="0"/>
        <v>2010</v>
      </c>
      <c r="I41" s="2">
        <f t="shared" si="1"/>
        <v>8</v>
      </c>
      <c r="J41" s="2">
        <f t="shared" si="2"/>
        <v>24</v>
      </c>
      <c r="K41" s="2">
        <f t="shared" si="3"/>
        <v>3</v>
      </c>
      <c r="L41" s="2">
        <f t="shared" si="4"/>
        <v>9</v>
      </c>
      <c r="M41" s="3">
        <f t="shared" si="5"/>
        <v>20.129999000000002</v>
      </c>
      <c r="N41" s="1">
        <f t="shared" ca="1" si="6"/>
        <v>20.129999000000002</v>
      </c>
      <c r="O41" s="5">
        <f t="shared" si="7"/>
        <v>-4.6199604878271572E-2</v>
      </c>
    </row>
    <row r="42" spans="1:15" s="2" customFormat="1" x14ac:dyDescent="0.5">
      <c r="A42" s="6">
        <v>40415</v>
      </c>
      <c r="B42" s="1">
        <v>19.16</v>
      </c>
      <c r="C42" s="1">
        <v>19.98</v>
      </c>
      <c r="D42" s="1">
        <v>18.559999000000001</v>
      </c>
      <c r="E42" s="1">
        <v>19.899999999999999</v>
      </c>
      <c r="F42" s="1">
        <v>19.899999999999999</v>
      </c>
      <c r="G42" s="2">
        <v>503300</v>
      </c>
      <c r="H42" s="2">
        <f t="shared" si="0"/>
        <v>2010</v>
      </c>
      <c r="I42" s="2">
        <f t="shared" si="1"/>
        <v>8</v>
      </c>
      <c r="J42" s="2">
        <f t="shared" si="2"/>
        <v>25</v>
      </c>
      <c r="K42" s="2">
        <f t="shared" si="3"/>
        <v>4</v>
      </c>
      <c r="L42" s="2">
        <f t="shared" si="4"/>
        <v>9</v>
      </c>
      <c r="M42" s="3">
        <f t="shared" si="5"/>
        <v>19.200001</v>
      </c>
      <c r="N42" s="1">
        <f t="shared" ca="1" si="6"/>
        <v>19.200001</v>
      </c>
      <c r="O42" s="5">
        <f t="shared" si="7"/>
        <v>3.6458279351131218E-2</v>
      </c>
    </row>
    <row r="43" spans="1:15" s="2" customFormat="1" x14ac:dyDescent="0.5">
      <c r="A43" s="6">
        <v>40416</v>
      </c>
      <c r="B43" s="1">
        <v>19.889999</v>
      </c>
      <c r="C43" s="1">
        <v>20.27</v>
      </c>
      <c r="D43" s="1">
        <v>19.600000000000001</v>
      </c>
      <c r="E43" s="1">
        <v>19.75</v>
      </c>
      <c r="F43" s="1">
        <v>19.75</v>
      </c>
      <c r="G43" s="2">
        <v>433800</v>
      </c>
      <c r="H43" s="2">
        <f t="shared" si="0"/>
        <v>2010</v>
      </c>
      <c r="I43" s="2">
        <f t="shared" si="1"/>
        <v>8</v>
      </c>
      <c r="J43" s="2">
        <f t="shared" si="2"/>
        <v>26</v>
      </c>
      <c r="K43" s="2">
        <f t="shared" si="3"/>
        <v>5</v>
      </c>
      <c r="L43" s="2">
        <f t="shared" si="4"/>
        <v>9</v>
      </c>
      <c r="M43" s="3">
        <f t="shared" si="5"/>
        <v>19.899999999999999</v>
      </c>
      <c r="N43" s="1">
        <f t="shared" ca="1" si="6"/>
        <v>19.899999999999999</v>
      </c>
      <c r="O43" s="5">
        <f t="shared" si="7"/>
        <v>-7.5376884422110324E-3</v>
      </c>
    </row>
    <row r="44" spans="1:15" s="2" customFormat="1" x14ac:dyDescent="0.5">
      <c r="A44" s="6">
        <v>40417</v>
      </c>
      <c r="B44" s="1">
        <v>19.75</v>
      </c>
      <c r="C44" s="1">
        <v>19.870000999999998</v>
      </c>
      <c r="D44" s="1">
        <v>19.5</v>
      </c>
      <c r="E44" s="1">
        <v>19.700001</v>
      </c>
      <c r="F44" s="1">
        <v>19.700001</v>
      </c>
      <c r="G44" s="2">
        <v>379600</v>
      </c>
      <c r="H44" s="2">
        <f t="shared" si="0"/>
        <v>2010</v>
      </c>
      <c r="I44" s="2">
        <f t="shared" si="1"/>
        <v>8</v>
      </c>
      <c r="J44" s="2">
        <f t="shared" si="2"/>
        <v>27</v>
      </c>
      <c r="K44" s="2">
        <f t="shared" si="3"/>
        <v>6</v>
      </c>
      <c r="L44" s="2">
        <f t="shared" si="4"/>
        <v>9</v>
      </c>
      <c r="M44" s="3">
        <f t="shared" si="5"/>
        <v>19.75</v>
      </c>
      <c r="N44" s="1">
        <f t="shared" ca="1" si="6"/>
        <v>19.75</v>
      </c>
      <c r="O44" s="5">
        <f t="shared" si="7"/>
        <v>-2.5315949367088475E-3</v>
      </c>
    </row>
    <row r="45" spans="1:15" s="2" customFormat="1" x14ac:dyDescent="0.5">
      <c r="A45" s="6">
        <v>40420</v>
      </c>
      <c r="B45" s="1">
        <v>19.700001</v>
      </c>
      <c r="C45" s="1">
        <v>20.190000999999999</v>
      </c>
      <c r="D45" s="1">
        <v>19.610001</v>
      </c>
      <c r="E45" s="1">
        <v>19.870000999999998</v>
      </c>
      <c r="F45" s="1">
        <v>19.870000999999998</v>
      </c>
      <c r="G45" s="2">
        <v>732800</v>
      </c>
      <c r="H45" s="2">
        <f t="shared" si="0"/>
        <v>2010</v>
      </c>
      <c r="I45" s="2">
        <f t="shared" si="1"/>
        <v>8</v>
      </c>
      <c r="J45" s="2">
        <f t="shared" si="2"/>
        <v>30</v>
      </c>
      <c r="K45" s="2">
        <f t="shared" si="3"/>
        <v>2</v>
      </c>
      <c r="L45" s="2">
        <f t="shared" si="4"/>
        <v>9</v>
      </c>
      <c r="M45" s="3">
        <f t="shared" si="5"/>
        <v>19.700001</v>
      </c>
      <c r="N45" s="1">
        <f t="shared" ca="1" si="6"/>
        <v>19.700001</v>
      </c>
      <c r="O45" s="5">
        <f t="shared" si="7"/>
        <v>8.6294411863225839E-3</v>
      </c>
    </row>
    <row r="46" spans="1:15" s="2" customFormat="1" x14ac:dyDescent="0.5">
      <c r="A46" s="6">
        <v>40421</v>
      </c>
      <c r="B46" s="1">
        <v>19.66</v>
      </c>
      <c r="C46" s="1">
        <v>19.790001</v>
      </c>
      <c r="D46" s="1">
        <v>19.329999999999998</v>
      </c>
      <c r="E46" s="1">
        <v>19.48</v>
      </c>
      <c r="F46" s="1">
        <v>19.48</v>
      </c>
      <c r="G46" s="2">
        <v>201100</v>
      </c>
      <c r="H46" s="2">
        <f t="shared" si="0"/>
        <v>2010</v>
      </c>
      <c r="I46" s="2">
        <f t="shared" si="1"/>
        <v>8</v>
      </c>
      <c r="J46" s="2">
        <f t="shared" si="2"/>
        <v>31</v>
      </c>
      <c r="K46" s="2">
        <f t="shared" si="3"/>
        <v>3</v>
      </c>
      <c r="L46" s="2">
        <f t="shared" si="4"/>
        <v>9</v>
      </c>
      <c r="M46" s="3">
        <f t="shared" si="5"/>
        <v>19.870000999999998</v>
      </c>
      <c r="N46" s="1">
        <f t="shared" ca="1" si="6"/>
        <v>19.870000999999998</v>
      </c>
      <c r="O46" s="5">
        <f t="shared" si="7"/>
        <v>-1.9627628604548031E-2</v>
      </c>
    </row>
    <row r="47" spans="1:15" s="2" customFormat="1" x14ac:dyDescent="0.5">
      <c r="A47" s="6">
        <v>40422</v>
      </c>
      <c r="B47" s="1">
        <v>19.620000999999998</v>
      </c>
      <c r="C47" s="1">
        <v>20.690000999999999</v>
      </c>
      <c r="D47" s="1">
        <v>19.600000000000001</v>
      </c>
      <c r="E47" s="1">
        <v>20.450001</v>
      </c>
      <c r="F47" s="1">
        <v>20.450001</v>
      </c>
      <c r="G47" s="2">
        <v>494900</v>
      </c>
      <c r="H47" s="2">
        <f t="shared" si="0"/>
        <v>2010</v>
      </c>
      <c r="I47" s="2">
        <f t="shared" si="1"/>
        <v>9</v>
      </c>
      <c r="J47" s="2">
        <f t="shared" si="2"/>
        <v>1</v>
      </c>
      <c r="K47" s="2">
        <f t="shared" si="3"/>
        <v>4</v>
      </c>
      <c r="L47" s="2">
        <f t="shared" si="4"/>
        <v>10</v>
      </c>
      <c r="M47" s="3">
        <f t="shared" si="5"/>
        <v>19.48</v>
      </c>
      <c r="N47" s="1">
        <f t="shared" ca="1" si="6"/>
        <v>19.48</v>
      </c>
      <c r="O47" s="5">
        <f t="shared" si="7"/>
        <v>4.9794712525667251E-2</v>
      </c>
    </row>
    <row r="48" spans="1:15" s="2" customFormat="1" x14ac:dyDescent="0.5">
      <c r="A48" s="6">
        <v>40423</v>
      </c>
      <c r="B48" s="1">
        <v>20.370000999999998</v>
      </c>
      <c r="C48" s="1">
        <v>21.24</v>
      </c>
      <c r="D48" s="1">
        <v>20.309999000000001</v>
      </c>
      <c r="E48" s="1">
        <v>21.059999000000001</v>
      </c>
      <c r="F48" s="1">
        <v>21.059999000000001</v>
      </c>
      <c r="G48" s="2">
        <v>487100</v>
      </c>
      <c r="H48" s="2">
        <f t="shared" si="0"/>
        <v>2010</v>
      </c>
      <c r="I48" s="2">
        <f t="shared" si="1"/>
        <v>9</v>
      </c>
      <c r="J48" s="2">
        <f t="shared" si="2"/>
        <v>2</v>
      </c>
      <c r="K48" s="2">
        <f t="shared" si="3"/>
        <v>5</v>
      </c>
      <c r="L48" s="2">
        <f t="shared" si="4"/>
        <v>10</v>
      </c>
      <c r="M48" s="3">
        <f t="shared" si="5"/>
        <v>20.450001</v>
      </c>
      <c r="N48" s="1">
        <f t="shared" ca="1" si="6"/>
        <v>20.450001</v>
      </c>
      <c r="O48" s="5">
        <f t="shared" si="7"/>
        <v>2.982875159761611E-2</v>
      </c>
    </row>
    <row r="49" spans="1:15" s="2" customFormat="1" x14ac:dyDescent="0.5">
      <c r="A49" s="6">
        <v>40424</v>
      </c>
      <c r="B49" s="1">
        <v>20.870000999999998</v>
      </c>
      <c r="C49" s="1">
        <v>21.299999</v>
      </c>
      <c r="D49" s="1">
        <v>20.66</v>
      </c>
      <c r="E49" s="1">
        <v>21.049999</v>
      </c>
      <c r="F49" s="1">
        <v>21.049999</v>
      </c>
      <c r="G49" s="2">
        <v>434600</v>
      </c>
      <c r="H49" s="2">
        <f t="shared" si="0"/>
        <v>2010</v>
      </c>
      <c r="I49" s="2">
        <f t="shared" si="1"/>
        <v>9</v>
      </c>
      <c r="J49" s="2">
        <f t="shared" si="2"/>
        <v>3</v>
      </c>
      <c r="K49" s="2">
        <f t="shared" si="3"/>
        <v>6</v>
      </c>
      <c r="L49" s="2">
        <f t="shared" si="4"/>
        <v>10</v>
      </c>
      <c r="M49" s="3">
        <f t="shared" si="5"/>
        <v>21.059999000000001</v>
      </c>
      <c r="N49" s="1">
        <f t="shared" ca="1" si="6"/>
        <v>21.059999000000001</v>
      </c>
      <c r="O49" s="5">
        <f t="shared" si="7"/>
        <v>-4.748338307138944E-4</v>
      </c>
    </row>
    <row r="50" spans="1:15" s="2" customFormat="1" x14ac:dyDescent="0.5">
      <c r="A50" s="6">
        <v>40428</v>
      </c>
      <c r="B50" s="1">
        <v>20.610001</v>
      </c>
      <c r="C50" s="1">
        <v>21</v>
      </c>
      <c r="D50" s="1">
        <v>20.5</v>
      </c>
      <c r="E50" s="1">
        <v>20.540001</v>
      </c>
      <c r="F50" s="1">
        <v>20.540001</v>
      </c>
      <c r="G50" s="2">
        <v>243400</v>
      </c>
      <c r="H50" s="2">
        <f t="shared" si="0"/>
        <v>2010</v>
      </c>
      <c r="I50" s="2">
        <f t="shared" si="1"/>
        <v>9</v>
      </c>
      <c r="J50" s="2">
        <f t="shared" si="2"/>
        <v>7</v>
      </c>
      <c r="K50" s="2">
        <f t="shared" si="3"/>
        <v>3</v>
      </c>
      <c r="L50" s="2">
        <f t="shared" si="4"/>
        <v>10</v>
      </c>
      <c r="M50" s="3">
        <f t="shared" si="5"/>
        <v>21.049999</v>
      </c>
      <c r="N50" s="1">
        <f t="shared" ca="1" si="6"/>
        <v>21.049999</v>
      </c>
      <c r="O50" s="5">
        <f t="shared" si="7"/>
        <v>-2.4227934642657156E-2</v>
      </c>
    </row>
    <row r="51" spans="1:15" s="2" customFormat="1" x14ac:dyDescent="0.5">
      <c r="A51" s="6">
        <v>40429</v>
      </c>
      <c r="B51" s="1">
        <v>20.66</v>
      </c>
      <c r="C51" s="1">
        <v>20.950001</v>
      </c>
      <c r="D51" s="1">
        <v>20.6</v>
      </c>
      <c r="E51" s="1">
        <v>20.9</v>
      </c>
      <c r="F51" s="1">
        <v>20.9</v>
      </c>
      <c r="G51" s="2">
        <v>288400</v>
      </c>
      <c r="H51" s="2">
        <f t="shared" si="0"/>
        <v>2010</v>
      </c>
      <c r="I51" s="2">
        <f t="shared" si="1"/>
        <v>9</v>
      </c>
      <c r="J51" s="2">
        <f t="shared" si="2"/>
        <v>8</v>
      </c>
      <c r="K51" s="2">
        <f t="shared" si="3"/>
        <v>4</v>
      </c>
      <c r="L51" s="2">
        <f t="shared" si="4"/>
        <v>10</v>
      </c>
      <c r="M51" s="3">
        <f t="shared" si="5"/>
        <v>20.540001</v>
      </c>
      <c r="N51" s="1">
        <f t="shared" ca="1" si="6"/>
        <v>20.540001</v>
      </c>
      <c r="O51" s="5">
        <f t="shared" si="7"/>
        <v>1.7526727481658844E-2</v>
      </c>
    </row>
    <row r="52" spans="1:15" s="2" customFormat="1" x14ac:dyDescent="0.5">
      <c r="A52" s="6">
        <v>40430</v>
      </c>
      <c r="B52" s="1">
        <v>21</v>
      </c>
      <c r="C52" s="1">
        <v>21.049999</v>
      </c>
      <c r="D52" s="1">
        <v>20.690000999999999</v>
      </c>
      <c r="E52" s="1">
        <v>20.709999</v>
      </c>
      <c r="F52" s="1">
        <v>20.709999</v>
      </c>
      <c r="G52" s="2">
        <v>376200</v>
      </c>
      <c r="H52" s="2">
        <f t="shared" si="0"/>
        <v>2010</v>
      </c>
      <c r="I52" s="2">
        <f t="shared" si="1"/>
        <v>9</v>
      </c>
      <c r="J52" s="2">
        <f t="shared" si="2"/>
        <v>9</v>
      </c>
      <c r="K52" s="2">
        <f t="shared" si="3"/>
        <v>5</v>
      </c>
      <c r="L52" s="2">
        <f t="shared" si="4"/>
        <v>10</v>
      </c>
      <c r="M52" s="3">
        <f t="shared" si="5"/>
        <v>20.9</v>
      </c>
      <c r="N52" s="1">
        <f t="shared" ca="1" si="6"/>
        <v>20.9</v>
      </c>
      <c r="O52" s="5">
        <f t="shared" si="7"/>
        <v>-9.090956937798933E-3</v>
      </c>
    </row>
    <row r="53" spans="1:15" s="2" customFormat="1" x14ac:dyDescent="0.5">
      <c r="A53" s="6">
        <v>40431</v>
      </c>
      <c r="B53" s="1">
        <v>20.75</v>
      </c>
      <c r="C53" s="1">
        <v>20.93</v>
      </c>
      <c r="D53" s="1">
        <v>19.760000000000002</v>
      </c>
      <c r="E53" s="1">
        <v>20.170000000000002</v>
      </c>
      <c r="F53" s="1">
        <v>20.170000000000002</v>
      </c>
      <c r="G53" s="2">
        <v>386600</v>
      </c>
      <c r="H53" s="2">
        <f t="shared" si="0"/>
        <v>2010</v>
      </c>
      <c r="I53" s="2">
        <f t="shared" si="1"/>
        <v>9</v>
      </c>
      <c r="J53" s="2">
        <f t="shared" si="2"/>
        <v>10</v>
      </c>
      <c r="K53" s="2">
        <f t="shared" si="3"/>
        <v>6</v>
      </c>
      <c r="L53" s="2">
        <f t="shared" si="4"/>
        <v>10</v>
      </c>
      <c r="M53" s="3">
        <f t="shared" si="5"/>
        <v>20.709999</v>
      </c>
      <c r="N53" s="1">
        <f t="shared" ca="1" si="6"/>
        <v>20.709999</v>
      </c>
      <c r="O53" s="5">
        <f t="shared" si="7"/>
        <v>-2.6074313185625808E-2</v>
      </c>
    </row>
    <row r="54" spans="1:15" s="2" customFormat="1" x14ac:dyDescent="0.5">
      <c r="A54" s="6">
        <v>40434</v>
      </c>
      <c r="B54" s="1">
        <v>20.889999</v>
      </c>
      <c r="C54" s="1">
        <v>20.9</v>
      </c>
      <c r="D54" s="1">
        <v>20.5</v>
      </c>
      <c r="E54" s="1">
        <v>20.719999000000001</v>
      </c>
      <c r="F54" s="1">
        <v>20.719999000000001</v>
      </c>
      <c r="G54" s="2">
        <v>360800</v>
      </c>
      <c r="H54" s="2">
        <f t="shared" si="0"/>
        <v>2010</v>
      </c>
      <c r="I54" s="2">
        <f t="shared" si="1"/>
        <v>9</v>
      </c>
      <c r="J54" s="2">
        <f t="shared" si="2"/>
        <v>13</v>
      </c>
      <c r="K54" s="2">
        <f t="shared" si="3"/>
        <v>2</v>
      </c>
      <c r="L54" s="2">
        <f t="shared" si="4"/>
        <v>10</v>
      </c>
      <c r="M54" s="3">
        <f t="shared" si="5"/>
        <v>20.170000000000002</v>
      </c>
      <c r="N54" s="1">
        <f t="shared" ca="1" si="6"/>
        <v>20.170000000000002</v>
      </c>
      <c r="O54" s="5">
        <f t="shared" si="7"/>
        <v>2.7268170550322157E-2</v>
      </c>
    </row>
    <row r="55" spans="1:15" s="2" customFormat="1" x14ac:dyDescent="0.5">
      <c r="A55" s="6">
        <v>40435</v>
      </c>
      <c r="B55" s="1">
        <v>20.540001</v>
      </c>
      <c r="C55" s="1">
        <v>21.6</v>
      </c>
      <c r="D55" s="1">
        <v>20.530000999999999</v>
      </c>
      <c r="E55" s="1">
        <v>21.120000999999998</v>
      </c>
      <c r="F55" s="1">
        <v>21.120000999999998</v>
      </c>
      <c r="G55" s="2">
        <v>654700</v>
      </c>
      <c r="H55" s="2">
        <f t="shared" si="0"/>
        <v>2010</v>
      </c>
      <c r="I55" s="2">
        <f t="shared" si="1"/>
        <v>9</v>
      </c>
      <c r="J55" s="2">
        <f t="shared" si="2"/>
        <v>14</v>
      </c>
      <c r="K55" s="2">
        <f t="shared" si="3"/>
        <v>3</v>
      </c>
      <c r="L55" s="2">
        <f t="shared" si="4"/>
        <v>10</v>
      </c>
      <c r="M55" s="3">
        <f t="shared" si="5"/>
        <v>20.719999000000001</v>
      </c>
      <c r="N55" s="1">
        <f t="shared" ca="1" si="6"/>
        <v>20.719999000000001</v>
      </c>
      <c r="O55" s="5">
        <f t="shared" si="7"/>
        <v>1.9305116761829888E-2</v>
      </c>
    </row>
    <row r="56" spans="1:15" s="2" customFormat="1" x14ac:dyDescent="0.5">
      <c r="A56" s="6">
        <v>40436</v>
      </c>
      <c r="B56" s="1">
        <v>20.98</v>
      </c>
      <c r="C56" s="1">
        <v>22</v>
      </c>
      <c r="D56" s="1">
        <v>20.790001</v>
      </c>
      <c r="E56" s="1">
        <v>21.98</v>
      </c>
      <c r="F56" s="1">
        <v>21.98</v>
      </c>
      <c r="G56" s="2">
        <v>684600</v>
      </c>
      <c r="H56" s="2">
        <f t="shared" si="0"/>
        <v>2010</v>
      </c>
      <c r="I56" s="2">
        <f t="shared" si="1"/>
        <v>9</v>
      </c>
      <c r="J56" s="2">
        <f t="shared" si="2"/>
        <v>15</v>
      </c>
      <c r="K56" s="2">
        <f t="shared" si="3"/>
        <v>4</v>
      </c>
      <c r="L56" s="2">
        <f t="shared" si="4"/>
        <v>10</v>
      </c>
      <c r="M56" s="3">
        <f t="shared" si="5"/>
        <v>21.120000999999998</v>
      </c>
      <c r="N56" s="1">
        <f t="shared" ca="1" si="6"/>
        <v>21.120000999999998</v>
      </c>
      <c r="O56" s="5">
        <f t="shared" si="7"/>
        <v>4.071964769319858E-2</v>
      </c>
    </row>
    <row r="57" spans="1:15" s="2" customFormat="1" x14ac:dyDescent="0.5">
      <c r="A57" s="6">
        <v>40437</v>
      </c>
      <c r="B57" s="1">
        <v>22.15</v>
      </c>
      <c r="C57" s="1">
        <v>23.16</v>
      </c>
      <c r="D57" s="1">
        <v>20.84</v>
      </c>
      <c r="E57" s="1">
        <v>20.940000999999999</v>
      </c>
      <c r="F57" s="1">
        <v>20.940000999999999</v>
      </c>
      <c r="G57" s="2">
        <v>2684500</v>
      </c>
      <c r="H57" s="2">
        <f t="shared" si="0"/>
        <v>2010</v>
      </c>
      <c r="I57" s="2">
        <f t="shared" si="1"/>
        <v>9</v>
      </c>
      <c r="J57" s="2">
        <f t="shared" si="2"/>
        <v>16</v>
      </c>
      <c r="K57" s="2">
        <f t="shared" si="3"/>
        <v>5</v>
      </c>
      <c r="L57" s="2">
        <f t="shared" si="4"/>
        <v>10</v>
      </c>
      <c r="M57" s="3">
        <f t="shared" si="5"/>
        <v>21.98</v>
      </c>
      <c r="N57" s="1">
        <f t="shared" ca="1" si="6"/>
        <v>21.98</v>
      </c>
      <c r="O57" s="5">
        <f t="shared" si="7"/>
        <v>-4.7315696087352199E-2</v>
      </c>
    </row>
    <row r="58" spans="1:15" s="2" customFormat="1" x14ac:dyDescent="0.5">
      <c r="A58" s="6">
        <v>40438</v>
      </c>
      <c r="B58" s="1">
        <v>21.02</v>
      </c>
      <c r="C58" s="1">
        <v>21.32</v>
      </c>
      <c r="D58" s="1">
        <v>19.799999</v>
      </c>
      <c r="E58" s="1">
        <v>20.23</v>
      </c>
      <c r="F58" s="1">
        <v>20.23</v>
      </c>
      <c r="G58" s="2">
        <v>1198500</v>
      </c>
      <c r="H58" s="2">
        <f t="shared" si="0"/>
        <v>2010</v>
      </c>
      <c r="I58" s="2">
        <f t="shared" si="1"/>
        <v>9</v>
      </c>
      <c r="J58" s="2">
        <f t="shared" si="2"/>
        <v>17</v>
      </c>
      <c r="K58" s="2">
        <f t="shared" si="3"/>
        <v>6</v>
      </c>
      <c r="L58" s="2">
        <f t="shared" si="4"/>
        <v>10</v>
      </c>
      <c r="M58" s="3">
        <f t="shared" si="5"/>
        <v>20.940000999999999</v>
      </c>
      <c r="N58" s="1">
        <f t="shared" ca="1" si="6"/>
        <v>20.940000999999999</v>
      </c>
      <c r="O58" s="5">
        <f t="shared" si="7"/>
        <v>-3.3906445372185012E-2</v>
      </c>
    </row>
    <row r="59" spans="1:15" s="2" customFormat="1" x14ac:dyDescent="0.5">
      <c r="A59" s="6">
        <v>40441</v>
      </c>
      <c r="B59" s="1">
        <v>20.67</v>
      </c>
      <c r="C59" s="1">
        <v>21.35</v>
      </c>
      <c r="D59" s="1">
        <v>20.16</v>
      </c>
      <c r="E59" s="1">
        <v>21.059999000000001</v>
      </c>
      <c r="F59" s="1">
        <v>21.059999000000001</v>
      </c>
      <c r="G59" s="2">
        <v>947500</v>
      </c>
      <c r="H59" s="2">
        <f t="shared" si="0"/>
        <v>2010</v>
      </c>
      <c r="I59" s="2">
        <f t="shared" si="1"/>
        <v>9</v>
      </c>
      <c r="J59" s="2">
        <f t="shared" si="2"/>
        <v>20</v>
      </c>
      <c r="K59" s="2">
        <f t="shared" si="3"/>
        <v>2</v>
      </c>
      <c r="L59" s="2">
        <f t="shared" si="4"/>
        <v>10</v>
      </c>
      <c r="M59" s="3">
        <f t="shared" si="5"/>
        <v>20.23</v>
      </c>
      <c r="N59" s="1">
        <f t="shared" ca="1" si="6"/>
        <v>20.23</v>
      </c>
      <c r="O59" s="5">
        <f t="shared" si="7"/>
        <v>4.1028126544735644E-2</v>
      </c>
    </row>
    <row r="60" spans="1:15" s="2" customFormat="1" x14ac:dyDescent="0.5">
      <c r="A60" s="6">
        <v>40442</v>
      </c>
      <c r="B60" s="1">
        <v>20.889999</v>
      </c>
      <c r="C60" s="1">
        <v>21.549999</v>
      </c>
      <c r="D60" s="1">
        <v>20.67</v>
      </c>
      <c r="E60" s="1">
        <v>20.77</v>
      </c>
      <c r="F60" s="1">
        <v>20.77</v>
      </c>
      <c r="G60" s="2">
        <v>796000</v>
      </c>
      <c r="H60" s="2">
        <f t="shared" si="0"/>
        <v>2010</v>
      </c>
      <c r="I60" s="2">
        <f t="shared" si="1"/>
        <v>9</v>
      </c>
      <c r="J60" s="2">
        <f t="shared" si="2"/>
        <v>21</v>
      </c>
      <c r="K60" s="2">
        <f t="shared" si="3"/>
        <v>3</v>
      </c>
      <c r="L60" s="2">
        <f t="shared" si="4"/>
        <v>10</v>
      </c>
      <c r="M60" s="3">
        <f t="shared" si="5"/>
        <v>21.059999000000001</v>
      </c>
      <c r="N60" s="1">
        <f t="shared" ca="1" si="6"/>
        <v>21.059999000000001</v>
      </c>
      <c r="O60" s="5">
        <f t="shared" si="7"/>
        <v>-1.3770133607318824E-2</v>
      </c>
    </row>
    <row r="61" spans="1:15" s="2" customFormat="1" x14ac:dyDescent="0.5">
      <c r="A61" s="6">
        <v>40443</v>
      </c>
      <c r="B61" s="1">
        <v>20.870000999999998</v>
      </c>
      <c r="C61" s="1">
        <v>20.950001</v>
      </c>
      <c r="D61" s="1">
        <v>19.799999</v>
      </c>
      <c r="E61" s="1">
        <v>19.870000999999998</v>
      </c>
      <c r="F61" s="1">
        <v>19.870000999999998</v>
      </c>
      <c r="G61" s="2">
        <v>962900</v>
      </c>
      <c r="H61" s="2">
        <f t="shared" si="0"/>
        <v>2010</v>
      </c>
      <c r="I61" s="2">
        <f t="shared" si="1"/>
        <v>9</v>
      </c>
      <c r="J61" s="2">
        <f t="shared" si="2"/>
        <v>22</v>
      </c>
      <c r="K61" s="2">
        <f t="shared" si="3"/>
        <v>4</v>
      </c>
      <c r="L61" s="2">
        <f t="shared" si="4"/>
        <v>10</v>
      </c>
      <c r="M61" s="3">
        <f t="shared" si="5"/>
        <v>20.77</v>
      </c>
      <c r="N61" s="1">
        <f t="shared" ca="1" si="6"/>
        <v>20.77</v>
      </c>
      <c r="O61" s="5">
        <f t="shared" si="7"/>
        <v>-4.3331680308136833E-2</v>
      </c>
    </row>
    <row r="62" spans="1:15" s="2" customFormat="1" x14ac:dyDescent="0.5">
      <c r="A62" s="6">
        <v>40444</v>
      </c>
      <c r="B62" s="1">
        <v>19.889999</v>
      </c>
      <c r="C62" s="1">
        <v>20.139999</v>
      </c>
      <c r="D62" s="1">
        <v>19.5</v>
      </c>
      <c r="E62" s="1">
        <v>19.559999000000001</v>
      </c>
      <c r="F62" s="1">
        <v>19.559999000000001</v>
      </c>
      <c r="G62" s="2">
        <v>668100</v>
      </c>
      <c r="H62" s="2">
        <f t="shared" si="0"/>
        <v>2010</v>
      </c>
      <c r="I62" s="2">
        <f t="shared" si="1"/>
        <v>9</v>
      </c>
      <c r="J62" s="2">
        <f t="shared" si="2"/>
        <v>23</v>
      </c>
      <c r="K62" s="2">
        <f t="shared" si="3"/>
        <v>5</v>
      </c>
      <c r="L62" s="2">
        <f t="shared" si="4"/>
        <v>10</v>
      </c>
      <c r="M62" s="3">
        <f t="shared" si="5"/>
        <v>19.870000999999998</v>
      </c>
      <c r="N62" s="1">
        <f t="shared" ca="1" si="6"/>
        <v>19.870000999999998</v>
      </c>
      <c r="O62" s="5">
        <f t="shared" si="7"/>
        <v>-1.560150902861035E-2</v>
      </c>
    </row>
    <row r="63" spans="1:15" s="2" customFormat="1" x14ac:dyDescent="0.5">
      <c r="A63" s="6">
        <v>40445</v>
      </c>
      <c r="B63" s="1">
        <v>19.950001</v>
      </c>
      <c r="C63" s="1">
        <v>20.190000999999999</v>
      </c>
      <c r="D63" s="1">
        <v>19.649999999999999</v>
      </c>
      <c r="E63" s="1">
        <v>20.100000000000001</v>
      </c>
      <c r="F63" s="1">
        <v>20.100000000000001</v>
      </c>
      <c r="G63" s="2">
        <v>578900</v>
      </c>
      <c r="H63" s="2">
        <f t="shared" si="0"/>
        <v>2010</v>
      </c>
      <c r="I63" s="2">
        <f t="shared" si="1"/>
        <v>9</v>
      </c>
      <c r="J63" s="2">
        <f t="shared" si="2"/>
        <v>24</v>
      </c>
      <c r="K63" s="2">
        <f t="shared" si="3"/>
        <v>6</v>
      </c>
      <c r="L63" s="2">
        <f t="shared" si="4"/>
        <v>10</v>
      </c>
      <c r="M63" s="3">
        <f t="shared" si="5"/>
        <v>19.559999000000001</v>
      </c>
      <c r="N63" s="1">
        <f t="shared" ca="1" si="6"/>
        <v>19.559999000000001</v>
      </c>
      <c r="O63" s="5">
        <f t="shared" si="7"/>
        <v>2.7607414499356553E-2</v>
      </c>
    </row>
    <row r="64" spans="1:15" s="2" customFormat="1" x14ac:dyDescent="0.5">
      <c r="A64" s="6">
        <v>40448</v>
      </c>
      <c r="B64" s="1">
        <v>20.399999999999999</v>
      </c>
      <c r="C64" s="1">
        <v>20.809999000000001</v>
      </c>
      <c r="D64" s="1">
        <v>20.049999</v>
      </c>
      <c r="E64" s="1">
        <v>20.530000999999999</v>
      </c>
      <c r="F64" s="1">
        <v>20.530000999999999</v>
      </c>
      <c r="G64" s="2">
        <v>418600</v>
      </c>
      <c r="H64" s="2">
        <f t="shared" si="0"/>
        <v>2010</v>
      </c>
      <c r="I64" s="2">
        <f t="shared" si="1"/>
        <v>9</v>
      </c>
      <c r="J64" s="2">
        <f t="shared" si="2"/>
        <v>27</v>
      </c>
      <c r="K64" s="2">
        <f t="shared" si="3"/>
        <v>2</v>
      </c>
      <c r="L64" s="2">
        <f t="shared" si="4"/>
        <v>10</v>
      </c>
      <c r="M64" s="3">
        <f t="shared" si="5"/>
        <v>20.100000000000001</v>
      </c>
      <c r="N64" s="1">
        <f t="shared" ca="1" si="6"/>
        <v>20.100000000000001</v>
      </c>
      <c r="O64" s="5">
        <f t="shared" si="7"/>
        <v>2.1393084577114196E-2</v>
      </c>
    </row>
    <row r="65" spans="1:15" s="2" customFormat="1" x14ac:dyDescent="0.5">
      <c r="A65" s="6">
        <v>40449</v>
      </c>
      <c r="B65" s="1">
        <v>21.040001</v>
      </c>
      <c r="C65" s="1">
        <v>21.49</v>
      </c>
      <c r="D65" s="1">
        <v>20.76</v>
      </c>
      <c r="E65" s="1">
        <v>21.4</v>
      </c>
      <c r="F65" s="1">
        <v>21.4</v>
      </c>
      <c r="G65" s="2">
        <v>1214500</v>
      </c>
      <c r="H65" s="2">
        <f t="shared" si="0"/>
        <v>2010</v>
      </c>
      <c r="I65" s="2">
        <f t="shared" si="1"/>
        <v>9</v>
      </c>
      <c r="J65" s="2">
        <f t="shared" si="2"/>
        <v>28</v>
      </c>
      <c r="K65" s="2">
        <f t="shared" si="3"/>
        <v>3</v>
      </c>
      <c r="L65" s="2">
        <f t="shared" si="4"/>
        <v>10</v>
      </c>
      <c r="M65" s="3">
        <f t="shared" si="5"/>
        <v>20.530000999999999</v>
      </c>
      <c r="N65" s="1">
        <f t="shared" ca="1" si="6"/>
        <v>20.530000999999999</v>
      </c>
      <c r="O65" s="5">
        <f t="shared" si="7"/>
        <v>4.2376958481395111E-2</v>
      </c>
    </row>
    <row r="66" spans="1:15" s="2" customFormat="1" x14ac:dyDescent="0.5">
      <c r="A66" s="6">
        <v>40450</v>
      </c>
      <c r="B66" s="1">
        <v>21.190000999999999</v>
      </c>
      <c r="C66" s="1">
        <v>22.030000999999999</v>
      </c>
      <c r="D66" s="1">
        <v>21.129999000000002</v>
      </c>
      <c r="E66" s="1">
        <v>21.98</v>
      </c>
      <c r="F66" s="1">
        <v>21.98</v>
      </c>
      <c r="G66" s="2">
        <v>1969300</v>
      </c>
      <c r="H66" s="2">
        <f t="shared" ref="H66:H129" si="8">YEAR(A66)</f>
        <v>2010</v>
      </c>
      <c r="I66" s="2">
        <f t="shared" ref="I66:I129" si="9">MONTH(A66)</f>
        <v>9</v>
      </c>
      <c r="J66" s="2">
        <f t="shared" ref="J66:J129" si="10">DAY(A66)</f>
        <v>29</v>
      </c>
      <c r="K66" s="2">
        <f t="shared" ref="K66:K129" si="11">WEEKDAY(A66)</f>
        <v>4</v>
      </c>
      <c r="L66" s="2">
        <f t="shared" si="4"/>
        <v>10</v>
      </c>
      <c r="M66" s="3">
        <f t="shared" si="5"/>
        <v>21.4</v>
      </c>
      <c r="N66" s="1">
        <f t="shared" ca="1" si="6"/>
        <v>21.4</v>
      </c>
      <c r="O66" s="5">
        <f t="shared" si="7"/>
        <v>2.710280373831786E-2</v>
      </c>
    </row>
    <row r="67" spans="1:15" s="2" customFormat="1" x14ac:dyDescent="0.5">
      <c r="A67" s="6">
        <v>40451</v>
      </c>
      <c r="B67" s="1">
        <v>22</v>
      </c>
      <c r="C67" s="1">
        <v>22.15</v>
      </c>
      <c r="D67" s="1">
        <v>20.190000999999999</v>
      </c>
      <c r="E67" s="1">
        <v>20.41</v>
      </c>
      <c r="F67" s="1">
        <v>20.41</v>
      </c>
      <c r="G67" s="2">
        <v>2195800</v>
      </c>
      <c r="H67" s="2">
        <f t="shared" si="8"/>
        <v>2010</v>
      </c>
      <c r="I67" s="2">
        <f t="shared" si="9"/>
        <v>9</v>
      </c>
      <c r="J67" s="2">
        <f t="shared" si="10"/>
        <v>30</v>
      </c>
      <c r="K67" s="2">
        <f t="shared" si="11"/>
        <v>5</v>
      </c>
      <c r="L67" s="2">
        <f t="shared" ref="L67:L130" si="12">I67+1</f>
        <v>10</v>
      </c>
      <c r="M67" s="3">
        <f t="shared" ref="M67:M130" si="13">F66</f>
        <v>21.98</v>
      </c>
      <c r="N67" s="1">
        <f t="shared" ref="N67:N130" ca="1" si="14">OFFSET(F67, -1, 0)</f>
        <v>21.98</v>
      </c>
      <c r="O67" s="5">
        <f t="shared" ref="O67:O130" si="15">(F67/M67)-1</f>
        <v>-7.1428571428571397E-2</v>
      </c>
    </row>
    <row r="68" spans="1:15" s="2" customFormat="1" x14ac:dyDescent="0.5">
      <c r="A68" s="6">
        <v>40452</v>
      </c>
      <c r="B68" s="1">
        <v>20.690000999999999</v>
      </c>
      <c r="C68" s="1">
        <v>20.75</v>
      </c>
      <c r="D68" s="1">
        <v>20.309999000000001</v>
      </c>
      <c r="E68" s="1">
        <v>20.6</v>
      </c>
      <c r="F68" s="1">
        <v>20.6</v>
      </c>
      <c r="G68" s="2">
        <v>597700</v>
      </c>
      <c r="H68" s="2">
        <f t="shared" si="8"/>
        <v>2010</v>
      </c>
      <c r="I68" s="2">
        <f t="shared" si="9"/>
        <v>10</v>
      </c>
      <c r="J68" s="2">
        <f t="shared" si="10"/>
        <v>1</v>
      </c>
      <c r="K68" s="2">
        <f t="shared" si="11"/>
        <v>6</v>
      </c>
      <c r="L68" s="2">
        <f t="shared" si="12"/>
        <v>11</v>
      </c>
      <c r="M68" s="3">
        <f t="shared" si="13"/>
        <v>20.41</v>
      </c>
      <c r="N68" s="1">
        <f t="shared" ca="1" si="14"/>
        <v>20.41</v>
      </c>
      <c r="O68" s="5">
        <f t="shared" si="15"/>
        <v>9.3091621754042286E-3</v>
      </c>
    </row>
    <row r="69" spans="1:15" s="2" customFormat="1" x14ac:dyDescent="0.5">
      <c r="A69" s="6">
        <v>40455</v>
      </c>
      <c r="B69" s="1">
        <v>20.43</v>
      </c>
      <c r="C69" s="1">
        <v>21.17</v>
      </c>
      <c r="D69" s="1">
        <v>20.299999</v>
      </c>
      <c r="E69" s="1">
        <v>20.99</v>
      </c>
      <c r="F69" s="1">
        <v>20.99</v>
      </c>
      <c r="G69" s="2">
        <v>643600</v>
      </c>
      <c r="H69" s="2">
        <f t="shared" si="8"/>
        <v>2010</v>
      </c>
      <c r="I69" s="2">
        <f t="shared" si="9"/>
        <v>10</v>
      </c>
      <c r="J69" s="2">
        <f t="shared" si="10"/>
        <v>4</v>
      </c>
      <c r="K69" s="2">
        <f t="shared" si="11"/>
        <v>2</v>
      </c>
      <c r="L69" s="2">
        <f t="shared" si="12"/>
        <v>11</v>
      </c>
      <c r="M69" s="3">
        <f t="shared" si="13"/>
        <v>20.6</v>
      </c>
      <c r="N69" s="1">
        <f t="shared" ca="1" si="14"/>
        <v>20.6</v>
      </c>
      <c r="O69" s="5">
        <f t="shared" si="15"/>
        <v>1.8932038834951204E-2</v>
      </c>
    </row>
    <row r="70" spans="1:15" s="2" customFormat="1" x14ac:dyDescent="0.5">
      <c r="A70" s="6">
        <v>40456</v>
      </c>
      <c r="B70" s="1">
        <v>21.15</v>
      </c>
      <c r="C70" s="1">
        <v>21.280000999999999</v>
      </c>
      <c r="D70" s="1">
        <v>21.01</v>
      </c>
      <c r="E70" s="1">
        <v>21.120000999999998</v>
      </c>
      <c r="F70" s="1">
        <v>21.120000999999998</v>
      </c>
      <c r="G70" s="2">
        <v>332000</v>
      </c>
      <c r="H70" s="2">
        <f t="shared" si="8"/>
        <v>2010</v>
      </c>
      <c r="I70" s="2">
        <f t="shared" si="9"/>
        <v>10</v>
      </c>
      <c r="J70" s="2">
        <f t="shared" si="10"/>
        <v>5</v>
      </c>
      <c r="K70" s="2">
        <f t="shared" si="11"/>
        <v>3</v>
      </c>
      <c r="L70" s="2">
        <f t="shared" si="12"/>
        <v>11</v>
      </c>
      <c r="M70" s="3">
        <f t="shared" si="13"/>
        <v>20.99</v>
      </c>
      <c r="N70" s="1">
        <f t="shared" ca="1" si="14"/>
        <v>20.99</v>
      </c>
      <c r="O70" s="5">
        <f t="shared" si="15"/>
        <v>6.1934730824202422E-3</v>
      </c>
    </row>
    <row r="71" spans="1:15" s="2" customFormat="1" x14ac:dyDescent="0.5">
      <c r="A71" s="6">
        <v>40457</v>
      </c>
      <c r="B71" s="1">
        <v>21.059999000000001</v>
      </c>
      <c r="C71" s="1">
        <v>21.26</v>
      </c>
      <c r="D71" s="1">
        <v>20.32</v>
      </c>
      <c r="E71" s="1">
        <v>20.459999</v>
      </c>
      <c r="F71" s="1">
        <v>20.459999</v>
      </c>
      <c r="G71" s="2">
        <v>313400</v>
      </c>
      <c r="H71" s="2">
        <f t="shared" si="8"/>
        <v>2010</v>
      </c>
      <c r="I71" s="2">
        <f t="shared" si="9"/>
        <v>10</v>
      </c>
      <c r="J71" s="2">
        <f t="shared" si="10"/>
        <v>6</v>
      </c>
      <c r="K71" s="2">
        <f t="shared" si="11"/>
        <v>4</v>
      </c>
      <c r="L71" s="2">
        <f t="shared" si="12"/>
        <v>11</v>
      </c>
      <c r="M71" s="3">
        <f t="shared" si="13"/>
        <v>21.120000999999998</v>
      </c>
      <c r="N71" s="1">
        <f t="shared" ca="1" si="14"/>
        <v>21.120000999999998</v>
      </c>
      <c r="O71" s="5">
        <f t="shared" si="15"/>
        <v>-3.1250093217325081E-2</v>
      </c>
    </row>
    <row r="72" spans="1:15" s="2" customFormat="1" x14ac:dyDescent="0.5">
      <c r="A72" s="6">
        <v>40458</v>
      </c>
      <c r="B72" s="1">
        <v>20.57</v>
      </c>
      <c r="C72" s="1">
        <v>20.639999</v>
      </c>
      <c r="D72" s="1">
        <v>20.34</v>
      </c>
      <c r="E72" s="1">
        <v>20.43</v>
      </c>
      <c r="F72" s="1">
        <v>20.43</v>
      </c>
      <c r="G72" s="2">
        <v>141000</v>
      </c>
      <c r="H72" s="2">
        <f t="shared" si="8"/>
        <v>2010</v>
      </c>
      <c r="I72" s="2">
        <f t="shared" si="9"/>
        <v>10</v>
      </c>
      <c r="J72" s="2">
        <f t="shared" si="10"/>
        <v>7</v>
      </c>
      <c r="K72" s="2">
        <f t="shared" si="11"/>
        <v>5</v>
      </c>
      <c r="L72" s="2">
        <f t="shared" si="12"/>
        <v>11</v>
      </c>
      <c r="M72" s="3">
        <f t="shared" si="13"/>
        <v>20.459999</v>
      </c>
      <c r="N72" s="1">
        <f t="shared" ca="1" si="14"/>
        <v>20.459999</v>
      </c>
      <c r="O72" s="5">
        <f t="shared" si="15"/>
        <v>-1.4662268556318026E-3</v>
      </c>
    </row>
    <row r="73" spans="1:15" s="2" customFormat="1" x14ac:dyDescent="0.5">
      <c r="A73" s="6">
        <v>40459</v>
      </c>
      <c r="B73" s="1">
        <v>20.43</v>
      </c>
      <c r="C73" s="1">
        <v>20.790001</v>
      </c>
      <c r="D73" s="1">
        <v>20.389999</v>
      </c>
      <c r="E73" s="1">
        <v>20.43</v>
      </c>
      <c r="F73" s="1">
        <v>20.43</v>
      </c>
      <c r="G73" s="2">
        <v>267800</v>
      </c>
      <c r="H73" s="2">
        <f t="shared" si="8"/>
        <v>2010</v>
      </c>
      <c r="I73" s="2">
        <f t="shared" si="9"/>
        <v>10</v>
      </c>
      <c r="J73" s="2">
        <f t="shared" si="10"/>
        <v>8</v>
      </c>
      <c r="K73" s="2">
        <f t="shared" si="11"/>
        <v>6</v>
      </c>
      <c r="L73" s="2">
        <f t="shared" si="12"/>
        <v>11</v>
      </c>
      <c r="M73" s="3">
        <f t="shared" si="13"/>
        <v>20.43</v>
      </c>
      <c r="N73" s="1">
        <f t="shared" ca="1" si="14"/>
        <v>20.43</v>
      </c>
      <c r="O73" s="5">
        <f t="shared" si="15"/>
        <v>0</v>
      </c>
    </row>
    <row r="74" spans="1:15" s="2" customFormat="1" x14ac:dyDescent="0.5">
      <c r="A74" s="6">
        <v>40462</v>
      </c>
      <c r="B74" s="1">
        <v>20.440000999999999</v>
      </c>
      <c r="C74" s="1">
        <v>20.700001</v>
      </c>
      <c r="D74" s="1">
        <v>20.07</v>
      </c>
      <c r="E74" s="1">
        <v>20.239999999999998</v>
      </c>
      <c r="F74" s="1">
        <v>20.239999999999998</v>
      </c>
      <c r="G74" s="2">
        <v>171200</v>
      </c>
      <c r="H74" s="2">
        <f t="shared" si="8"/>
        <v>2010</v>
      </c>
      <c r="I74" s="2">
        <f t="shared" si="9"/>
        <v>10</v>
      </c>
      <c r="J74" s="2">
        <f t="shared" si="10"/>
        <v>11</v>
      </c>
      <c r="K74" s="2">
        <f t="shared" si="11"/>
        <v>2</v>
      </c>
      <c r="L74" s="2">
        <f t="shared" si="12"/>
        <v>11</v>
      </c>
      <c r="M74" s="3">
        <f t="shared" si="13"/>
        <v>20.43</v>
      </c>
      <c r="N74" s="1">
        <f t="shared" ca="1" si="14"/>
        <v>20.43</v>
      </c>
      <c r="O74" s="5">
        <f t="shared" si="15"/>
        <v>-9.3000489476261494E-3</v>
      </c>
    </row>
    <row r="75" spans="1:15" s="2" customFormat="1" x14ac:dyDescent="0.5">
      <c r="A75" s="6">
        <v>40463</v>
      </c>
      <c r="B75" s="1">
        <v>20.200001</v>
      </c>
      <c r="C75" s="1">
        <v>20.280000999999999</v>
      </c>
      <c r="D75" s="1">
        <v>20.030000999999999</v>
      </c>
      <c r="E75" s="1">
        <v>20.239999999999998</v>
      </c>
      <c r="F75" s="1">
        <v>20.239999999999998</v>
      </c>
      <c r="G75" s="2">
        <v>244000</v>
      </c>
      <c r="H75" s="2">
        <f t="shared" si="8"/>
        <v>2010</v>
      </c>
      <c r="I75" s="2">
        <f t="shared" si="9"/>
        <v>10</v>
      </c>
      <c r="J75" s="2">
        <f t="shared" si="10"/>
        <v>12</v>
      </c>
      <c r="K75" s="2">
        <f t="shared" si="11"/>
        <v>3</v>
      </c>
      <c r="L75" s="2">
        <f t="shared" si="12"/>
        <v>11</v>
      </c>
      <c r="M75" s="3">
        <f t="shared" si="13"/>
        <v>20.239999999999998</v>
      </c>
      <c r="N75" s="1">
        <f t="shared" ca="1" si="14"/>
        <v>20.239999999999998</v>
      </c>
      <c r="O75" s="5">
        <f t="shared" si="15"/>
        <v>0</v>
      </c>
    </row>
    <row r="76" spans="1:15" s="2" customFormat="1" x14ac:dyDescent="0.5">
      <c r="A76" s="6">
        <v>40464</v>
      </c>
      <c r="B76" s="1">
        <v>20.639999</v>
      </c>
      <c r="C76" s="1">
        <v>20.85</v>
      </c>
      <c r="D76" s="1">
        <v>20.360001</v>
      </c>
      <c r="E76" s="1">
        <v>20.540001</v>
      </c>
      <c r="F76" s="1">
        <v>20.540001</v>
      </c>
      <c r="G76" s="2">
        <v>318200</v>
      </c>
      <c r="H76" s="2">
        <f t="shared" si="8"/>
        <v>2010</v>
      </c>
      <c r="I76" s="2">
        <f t="shared" si="9"/>
        <v>10</v>
      </c>
      <c r="J76" s="2">
        <f t="shared" si="10"/>
        <v>13</v>
      </c>
      <c r="K76" s="2">
        <f t="shared" si="11"/>
        <v>4</v>
      </c>
      <c r="L76" s="2">
        <f t="shared" si="12"/>
        <v>11</v>
      </c>
      <c r="M76" s="3">
        <f t="shared" si="13"/>
        <v>20.239999999999998</v>
      </c>
      <c r="N76" s="1">
        <f t="shared" ca="1" si="14"/>
        <v>20.239999999999998</v>
      </c>
      <c r="O76" s="5">
        <f t="shared" si="15"/>
        <v>1.4822183794466426E-2</v>
      </c>
    </row>
    <row r="77" spans="1:15" s="2" customFormat="1" x14ac:dyDescent="0.5">
      <c r="A77" s="6">
        <v>40465</v>
      </c>
      <c r="B77" s="1">
        <v>21</v>
      </c>
      <c r="C77" s="1">
        <v>21.030000999999999</v>
      </c>
      <c r="D77" s="1">
        <v>20.399999999999999</v>
      </c>
      <c r="E77" s="1">
        <v>20.75</v>
      </c>
      <c r="F77" s="1">
        <v>20.75</v>
      </c>
      <c r="G77" s="2">
        <v>294800</v>
      </c>
      <c r="H77" s="2">
        <f t="shared" si="8"/>
        <v>2010</v>
      </c>
      <c r="I77" s="2">
        <f t="shared" si="9"/>
        <v>10</v>
      </c>
      <c r="J77" s="2">
        <f t="shared" si="10"/>
        <v>14</v>
      </c>
      <c r="K77" s="2">
        <f t="shared" si="11"/>
        <v>5</v>
      </c>
      <c r="L77" s="2">
        <f t="shared" si="12"/>
        <v>11</v>
      </c>
      <c r="M77" s="3">
        <f t="shared" si="13"/>
        <v>20.540001</v>
      </c>
      <c r="N77" s="1">
        <f t="shared" ca="1" si="14"/>
        <v>20.540001</v>
      </c>
      <c r="O77" s="5">
        <f t="shared" si="15"/>
        <v>1.0223904078680457E-2</v>
      </c>
    </row>
    <row r="78" spans="1:15" s="2" customFormat="1" x14ac:dyDescent="0.5">
      <c r="A78" s="6">
        <v>40466</v>
      </c>
      <c r="B78" s="1">
        <v>20.889999</v>
      </c>
      <c r="C78" s="1">
        <v>20.9</v>
      </c>
      <c r="D78" s="1">
        <v>20.25</v>
      </c>
      <c r="E78" s="1">
        <v>20.540001</v>
      </c>
      <c r="F78" s="1">
        <v>20.540001</v>
      </c>
      <c r="G78" s="2">
        <v>284700</v>
      </c>
      <c r="H78" s="2">
        <f t="shared" si="8"/>
        <v>2010</v>
      </c>
      <c r="I78" s="2">
        <f t="shared" si="9"/>
        <v>10</v>
      </c>
      <c r="J78" s="2">
        <f t="shared" si="10"/>
        <v>15</v>
      </c>
      <c r="K78" s="2">
        <f t="shared" si="11"/>
        <v>6</v>
      </c>
      <c r="L78" s="2">
        <f t="shared" si="12"/>
        <v>11</v>
      </c>
      <c r="M78" s="3">
        <f t="shared" si="13"/>
        <v>20.75</v>
      </c>
      <c r="N78" s="1">
        <f t="shared" ca="1" si="14"/>
        <v>20.75</v>
      </c>
      <c r="O78" s="5">
        <f t="shared" si="15"/>
        <v>-1.012043373493976E-2</v>
      </c>
    </row>
    <row r="79" spans="1:15" s="2" customFormat="1" x14ac:dyDescent="0.5">
      <c r="A79" s="6">
        <v>40469</v>
      </c>
      <c r="B79" s="1">
        <v>20.52</v>
      </c>
      <c r="C79" s="1">
        <v>20.639999</v>
      </c>
      <c r="D79" s="1">
        <v>20.219999000000001</v>
      </c>
      <c r="E79" s="1">
        <v>20.23</v>
      </c>
      <c r="F79" s="1">
        <v>20.23</v>
      </c>
      <c r="G79" s="2">
        <v>162800</v>
      </c>
      <c r="H79" s="2">
        <f t="shared" si="8"/>
        <v>2010</v>
      </c>
      <c r="I79" s="2">
        <f t="shared" si="9"/>
        <v>10</v>
      </c>
      <c r="J79" s="2">
        <f t="shared" si="10"/>
        <v>18</v>
      </c>
      <c r="K79" s="2">
        <f t="shared" si="11"/>
        <v>2</v>
      </c>
      <c r="L79" s="2">
        <f t="shared" si="12"/>
        <v>11</v>
      </c>
      <c r="M79" s="3">
        <f t="shared" si="13"/>
        <v>20.540001</v>
      </c>
      <c r="N79" s="1">
        <f t="shared" ca="1" si="14"/>
        <v>20.540001</v>
      </c>
      <c r="O79" s="5">
        <f t="shared" si="15"/>
        <v>-1.5092550384978032E-2</v>
      </c>
    </row>
    <row r="80" spans="1:15" s="2" customFormat="1" x14ac:dyDescent="0.5">
      <c r="A80" s="6">
        <v>40470</v>
      </c>
      <c r="B80" s="1">
        <v>20.200001</v>
      </c>
      <c r="C80" s="1">
        <v>20.41</v>
      </c>
      <c r="D80" s="1">
        <v>20</v>
      </c>
      <c r="E80" s="1">
        <v>20.049999</v>
      </c>
      <c r="F80" s="1">
        <v>20.049999</v>
      </c>
      <c r="G80" s="2">
        <v>245200</v>
      </c>
      <c r="H80" s="2">
        <f t="shared" si="8"/>
        <v>2010</v>
      </c>
      <c r="I80" s="2">
        <f t="shared" si="9"/>
        <v>10</v>
      </c>
      <c r="J80" s="2">
        <f t="shared" si="10"/>
        <v>19</v>
      </c>
      <c r="K80" s="2">
        <f t="shared" si="11"/>
        <v>3</v>
      </c>
      <c r="L80" s="2">
        <f t="shared" si="12"/>
        <v>11</v>
      </c>
      <c r="M80" s="3">
        <f t="shared" si="13"/>
        <v>20.23</v>
      </c>
      <c r="N80" s="1">
        <f t="shared" ca="1" si="14"/>
        <v>20.23</v>
      </c>
      <c r="O80" s="5">
        <f t="shared" si="15"/>
        <v>-8.8977261492833026E-3</v>
      </c>
    </row>
    <row r="81" spans="1:15" s="2" customFormat="1" x14ac:dyDescent="0.5">
      <c r="A81" s="6">
        <v>40471</v>
      </c>
      <c r="B81" s="1">
        <v>20.16</v>
      </c>
      <c r="C81" s="1">
        <v>20.690000999999999</v>
      </c>
      <c r="D81" s="1">
        <v>20.040001</v>
      </c>
      <c r="E81" s="1">
        <v>20.65</v>
      </c>
      <c r="F81" s="1">
        <v>20.65</v>
      </c>
      <c r="G81" s="2">
        <v>312500</v>
      </c>
      <c r="H81" s="2">
        <f t="shared" si="8"/>
        <v>2010</v>
      </c>
      <c r="I81" s="2">
        <f t="shared" si="9"/>
        <v>10</v>
      </c>
      <c r="J81" s="2">
        <f t="shared" si="10"/>
        <v>20</v>
      </c>
      <c r="K81" s="2">
        <f t="shared" si="11"/>
        <v>4</v>
      </c>
      <c r="L81" s="2">
        <f t="shared" si="12"/>
        <v>11</v>
      </c>
      <c r="M81" s="3">
        <f t="shared" si="13"/>
        <v>20.049999</v>
      </c>
      <c r="N81" s="1">
        <f t="shared" ca="1" si="14"/>
        <v>20.049999</v>
      </c>
      <c r="O81" s="5">
        <f t="shared" si="15"/>
        <v>2.9925238400261289E-2</v>
      </c>
    </row>
    <row r="82" spans="1:15" s="2" customFormat="1" x14ac:dyDescent="0.5">
      <c r="A82" s="6">
        <v>40472</v>
      </c>
      <c r="B82" s="1">
        <v>20.610001</v>
      </c>
      <c r="C82" s="1">
        <v>20.950001</v>
      </c>
      <c r="D82" s="1">
        <v>20.450001</v>
      </c>
      <c r="E82" s="1">
        <v>20.75</v>
      </c>
      <c r="F82" s="1">
        <v>20.75</v>
      </c>
      <c r="G82" s="2">
        <v>417100</v>
      </c>
      <c r="H82" s="2">
        <f t="shared" si="8"/>
        <v>2010</v>
      </c>
      <c r="I82" s="2">
        <f t="shared" si="9"/>
        <v>10</v>
      </c>
      <c r="J82" s="2">
        <f t="shared" si="10"/>
        <v>21</v>
      </c>
      <c r="K82" s="2">
        <f t="shared" si="11"/>
        <v>5</v>
      </c>
      <c r="L82" s="2">
        <f t="shared" si="12"/>
        <v>11</v>
      </c>
      <c r="M82" s="3">
        <f t="shared" si="13"/>
        <v>20.65</v>
      </c>
      <c r="N82" s="1">
        <f t="shared" ca="1" si="14"/>
        <v>20.65</v>
      </c>
      <c r="O82" s="5">
        <f t="shared" si="15"/>
        <v>4.8426150121065881E-3</v>
      </c>
    </row>
    <row r="83" spans="1:15" s="2" customFormat="1" x14ac:dyDescent="0.5">
      <c r="A83" s="6">
        <v>40473</v>
      </c>
      <c r="B83" s="1">
        <v>20.68</v>
      </c>
      <c r="C83" s="1">
        <v>20.93</v>
      </c>
      <c r="D83" s="1">
        <v>20.549999</v>
      </c>
      <c r="E83" s="1">
        <v>20.719999000000001</v>
      </c>
      <c r="F83" s="1">
        <v>20.719999000000001</v>
      </c>
      <c r="G83" s="2">
        <v>161100</v>
      </c>
      <c r="H83" s="2">
        <f t="shared" si="8"/>
        <v>2010</v>
      </c>
      <c r="I83" s="2">
        <f t="shared" si="9"/>
        <v>10</v>
      </c>
      <c r="J83" s="2">
        <f t="shared" si="10"/>
        <v>22</v>
      </c>
      <c r="K83" s="2">
        <f t="shared" si="11"/>
        <v>6</v>
      </c>
      <c r="L83" s="2">
        <f t="shared" si="12"/>
        <v>11</v>
      </c>
      <c r="M83" s="3">
        <f t="shared" si="13"/>
        <v>20.75</v>
      </c>
      <c r="N83" s="1">
        <f t="shared" ca="1" si="14"/>
        <v>20.75</v>
      </c>
      <c r="O83" s="5">
        <f t="shared" si="15"/>
        <v>-1.4458313253011834E-3</v>
      </c>
    </row>
    <row r="84" spans="1:15" s="2" customFormat="1" x14ac:dyDescent="0.5">
      <c r="A84" s="6">
        <v>40476</v>
      </c>
      <c r="B84" s="1">
        <v>20.940000999999999</v>
      </c>
      <c r="C84" s="1">
        <v>20.98</v>
      </c>
      <c r="D84" s="1">
        <v>20.73</v>
      </c>
      <c r="E84" s="1">
        <v>20.85</v>
      </c>
      <c r="F84" s="1">
        <v>20.85</v>
      </c>
      <c r="G84" s="2">
        <v>118500</v>
      </c>
      <c r="H84" s="2">
        <f t="shared" si="8"/>
        <v>2010</v>
      </c>
      <c r="I84" s="2">
        <f t="shared" si="9"/>
        <v>10</v>
      </c>
      <c r="J84" s="2">
        <f t="shared" si="10"/>
        <v>25</v>
      </c>
      <c r="K84" s="2">
        <f t="shared" si="11"/>
        <v>2</v>
      </c>
      <c r="L84" s="2">
        <f t="shared" si="12"/>
        <v>11</v>
      </c>
      <c r="M84" s="3">
        <f t="shared" si="13"/>
        <v>20.719999000000001</v>
      </c>
      <c r="N84" s="1">
        <f t="shared" ca="1" si="14"/>
        <v>20.719999000000001</v>
      </c>
      <c r="O84" s="5">
        <f t="shared" si="15"/>
        <v>6.2741798394874149E-3</v>
      </c>
    </row>
    <row r="85" spans="1:15" s="2" customFormat="1" x14ac:dyDescent="0.5">
      <c r="A85" s="6">
        <v>40477</v>
      </c>
      <c r="B85" s="1">
        <v>20.799999</v>
      </c>
      <c r="C85" s="1">
        <v>21.870000999999998</v>
      </c>
      <c r="D85" s="1">
        <v>20.51</v>
      </c>
      <c r="E85" s="1">
        <v>21.360001</v>
      </c>
      <c r="F85" s="1">
        <v>21.360001</v>
      </c>
      <c r="G85" s="2">
        <v>660900</v>
      </c>
      <c r="H85" s="2">
        <f t="shared" si="8"/>
        <v>2010</v>
      </c>
      <c r="I85" s="2">
        <f t="shared" si="9"/>
        <v>10</v>
      </c>
      <c r="J85" s="2">
        <f t="shared" si="10"/>
        <v>26</v>
      </c>
      <c r="K85" s="2">
        <f t="shared" si="11"/>
        <v>3</v>
      </c>
      <c r="L85" s="2">
        <f t="shared" si="12"/>
        <v>11</v>
      </c>
      <c r="M85" s="3">
        <f t="shared" si="13"/>
        <v>20.85</v>
      </c>
      <c r="N85" s="1">
        <f t="shared" ca="1" si="14"/>
        <v>20.85</v>
      </c>
      <c r="O85" s="5">
        <f t="shared" si="15"/>
        <v>2.4460479616306818E-2</v>
      </c>
    </row>
    <row r="86" spans="1:15" s="2" customFormat="1" x14ac:dyDescent="0.5">
      <c r="A86" s="6">
        <v>40478</v>
      </c>
      <c r="B86" s="1">
        <v>21.25</v>
      </c>
      <c r="C86" s="1">
        <v>21.379999000000002</v>
      </c>
      <c r="D86" s="1">
        <v>20.65</v>
      </c>
      <c r="E86" s="1">
        <v>21</v>
      </c>
      <c r="F86" s="1">
        <v>21</v>
      </c>
      <c r="G86" s="2">
        <v>356500</v>
      </c>
      <c r="H86" s="2">
        <f t="shared" si="8"/>
        <v>2010</v>
      </c>
      <c r="I86" s="2">
        <f t="shared" si="9"/>
        <v>10</v>
      </c>
      <c r="J86" s="2">
        <f t="shared" si="10"/>
        <v>27</v>
      </c>
      <c r="K86" s="2">
        <f t="shared" si="11"/>
        <v>4</v>
      </c>
      <c r="L86" s="2">
        <f t="shared" si="12"/>
        <v>11</v>
      </c>
      <c r="M86" s="3">
        <f t="shared" si="13"/>
        <v>21.360001</v>
      </c>
      <c r="N86" s="1">
        <f t="shared" ca="1" si="14"/>
        <v>21.360001</v>
      </c>
      <c r="O86" s="5">
        <f t="shared" si="15"/>
        <v>-1.6853978611705123E-2</v>
      </c>
    </row>
    <row r="87" spans="1:15" s="2" customFormat="1" x14ac:dyDescent="0.5">
      <c r="A87" s="6">
        <v>40479</v>
      </c>
      <c r="B87" s="1">
        <v>21.389999</v>
      </c>
      <c r="C87" s="1">
        <v>21.5</v>
      </c>
      <c r="D87" s="1">
        <v>20.959999</v>
      </c>
      <c r="E87" s="1">
        <v>21.190000999999999</v>
      </c>
      <c r="F87" s="1">
        <v>21.190000999999999</v>
      </c>
      <c r="G87" s="2">
        <v>224200</v>
      </c>
      <c r="H87" s="2">
        <f t="shared" si="8"/>
        <v>2010</v>
      </c>
      <c r="I87" s="2">
        <f t="shared" si="9"/>
        <v>10</v>
      </c>
      <c r="J87" s="2">
        <f t="shared" si="10"/>
        <v>28</v>
      </c>
      <c r="K87" s="2">
        <f t="shared" si="11"/>
        <v>5</v>
      </c>
      <c r="L87" s="2">
        <f t="shared" si="12"/>
        <v>11</v>
      </c>
      <c r="M87" s="3">
        <f t="shared" si="13"/>
        <v>21</v>
      </c>
      <c r="N87" s="1">
        <f t="shared" ca="1" si="14"/>
        <v>21</v>
      </c>
      <c r="O87" s="5">
        <f t="shared" si="15"/>
        <v>9.047666666666565E-3</v>
      </c>
    </row>
    <row r="88" spans="1:15" s="2" customFormat="1" x14ac:dyDescent="0.5">
      <c r="A88" s="6">
        <v>40480</v>
      </c>
      <c r="B88" s="1">
        <v>21.139999</v>
      </c>
      <c r="C88" s="1">
        <v>21.85</v>
      </c>
      <c r="D88" s="1">
        <v>21.049999</v>
      </c>
      <c r="E88" s="1">
        <v>21.84</v>
      </c>
      <c r="F88" s="1">
        <v>21.84</v>
      </c>
      <c r="G88" s="2">
        <v>280600</v>
      </c>
      <c r="H88" s="2">
        <f t="shared" si="8"/>
        <v>2010</v>
      </c>
      <c r="I88" s="2">
        <f t="shared" si="9"/>
        <v>10</v>
      </c>
      <c r="J88" s="2">
        <f t="shared" si="10"/>
        <v>29</v>
      </c>
      <c r="K88" s="2">
        <f t="shared" si="11"/>
        <v>6</v>
      </c>
      <c r="L88" s="2">
        <f t="shared" si="12"/>
        <v>11</v>
      </c>
      <c r="M88" s="3">
        <f t="shared" si="13"/>
        <v>21.190000999999999</v>
      </c>
      <c r="N88" s="1">
        <f t="shared" ca="1" si="14"/>
        <v>21.190000999999999</v>
      </c>
      <c r="O88" s="5">
        <f t="shared" si="15"/>
        <v>3.0674797986087965E-2</v>
      </c>
    </row>
    <row r="89" spans="1:15" s="2" customFormat="1" x14ac:dyDescent="0.5">
      <c r="A89" s="6">
        <v>40483</v>
      </c>
      <c r="B89" s="1">
        <v>21.940000999999999</v>
      </c>
      <c r="C89" s="1">
        <v>22.75</v>
      </c>
      <c r="D89" s="1">
        <v>21.309999000000001</v>
      </c>
      <c r="E89" s="1">
        <v>21.41</v>
      </c>
      <c r="F89" s="1">
        <v>21.41</v>
      </c>
      <c r="G89" s="2">
        <v>455800</v>
      </c>
      <c r="H89" s="2">
        <f t="shared" si="8"/>
        <v>2010</v>
      </c>
      <c r="I89" s="2">
        <f t="shared" si="9"/>
        <v>11</v>
      </c>
      <c r="J89" s="2">
        <f t="shared" si="10"/>
        <v>1</v>
      </c>
      <c r="K89" s="2">
        <f t="shared" si="11"/>
        <v>2</v>
      </c>
      <c r="L89" s="2">
        <f t="shared" si="12"/>
        <v>12</v>
      </c>
      <c r="M89" s="3">
        <f t="shared" si="13"/>
        <v>21.84</v>
      </c>
      <c r="N89" s="1">
        <f t="shared" ca="1" si="14"/>
        <v>21.84</v>
      </c>
      <c r="O89" s="5">
        <f t="shared" si="15"/>
        <v>-1.968864468864473E-2</v>
      </c>
    </row>
    <row r="90" spans="1:15" s="2" customFormat="1" x14ac:dyDescent="0.5">
      <c r="A90" s="6">
        <v>40484</v>
      </c>
      <c r="B90" s="1">
        <v>21.68</v>
      </c>
      <c r="C90" s="1">
        <v>21.879999000000002</v>
      </c>
      <c r="D90" s="1">
        <v>21.049999</v>
      </c>
      <c r="E90" s="1">
        <v>21.25</v>
      </c>
      <c r="F90" s="1">
        <v>21.25</v>
      </c>
      <c r="G90" s="2">
        <v>322500</v>
      </c>
      <c r="H90" s="2">
        <f t="shared" si="8"/>
        <v>2010</v>
      </c>
      <c r="I90" s="2">
        <f t="shared" si="9"/>
        <v>11</v>
      </c>
      <c r="J90" s="2">
        <f t="shared" si="10"/>
        <v>2</v>
      </c>
      <c r="K90" s="2">
        <f t="shared" si="11"/>
        <v>3</v>
      </c>
      <c r="L90" s="2">
        <f t="shared" si="12"/>
        <v>12</v>
      </c>
      <c r="M90" s="3">
        <f t="shared" si="13"/>
        <v>21.41</v>
      </c>
      <c r="N90" s="1">
        <f t="shared" ca="1" si="14"/>
        <v>21.41</v>
      </c>
      <c r="O90" s="5">
        <f t="shared" si="15"/>
        <v>-7.4731433909388523E-3</v>
      </c>
    </row>
    <row r="91" spans="1:15" s="2" customFormat="1" x14ac:dyDescent="0.5">
      <c r="A91" s="6">
        <v>40485</v>
      </c>
      <c r="B91" s="1">
        <v>21.280000999999999</v>
      </c>
      <c r="C91" s="1">
        <v>22.5</v>
      </c>
      <c r="D91" s="1">
        <v>21.16</v>
      </c>
      <c r="E91" s="1">
        <v>21.77</v>
      </c>
      <c r="F91" s="1">
        <v>21.77</v>
      </c>
      <c r="G91" s="2">
        <v>372600</v>
      </c>
      <c r="H91" s="2">
        <f t="shared" si="8"/>
        <v>2010</v>
      </c>
      <c r="I91" s="2">
        <f t="shared" si="9"/>
        <v>11</v>
      </c>
      <c r="J91" s="2">
        <f t="shared" si="10"/>
        <v>3</v>
      </c>
      <c r="K91" s="2">
        <f t="shared" si="11"/>
        <v>4</v>
      </c>
      <c r="L91" s="2">
        <f t="shared" si="12"/>
        <v>12</v>
      </c>
      <c r="M91" s="3">
        <f t="shared" si="13"/>
        <v>21.25</v>
      </c>
      <c r="N91" s="1">
        <f t="shared" ca="1" si="14"/>
        <v>21.25</v>
      </c>
      <c r="O91" s="5">
        <f t="shared" si="15"/>
        <v>2.4470588235294022E-2</v>
      </c>
    </row>
    <row r="92" spans="1:15" s="2" customFormat="1" x14ac:dyDescent="0.5">
      <c r="A92" s="6">
        <v>40486</v>
      </c>
      <c r="B92" s="1">
        <v>22.6</v>
      </c>
      <c r="C92" s="1">
        <v>25.33</v>
      </c>
      <c r="D92" s="1">
        <v>22.15</v>
      </c>
      <c r="E92" s="1">
        <v>24.9</v>
      </c>
      <c r="F92" s="1">
        <v>24.9</v>
      </c>
      <c r="G92" s="2">
        <v>1874000</v>
      </c>
      <c r="H92" s="2">
        <f t="shared" si="8"/>
        <v>2010</v>
      </c>
      <c r="I92" s="2">
        <f t="shared" si="9"/>
        <v>11</v>
      </c>
      <c r="J92" s="2">
        <f t="shared" si="10"/>
        <v>4</v>
      </c>
      <c r="K92" s="2">
        <f t="shared" si="11"/>
        <v>5</v>
      </c>
      <c r="L92" s="2">
        <f t="shared" si="12"/>
        <v>12</v>
      </c>
      <c r="M92" s="3">
        <f t="shared" si="13"/>
        <v>21.77</v>
      </c>
      <c r="N92" s="1">
        <f t="shared" ca="1" si="14"/>
        <v>21.77</v>
      </c>
      <c r="O92" s="5">
        <f t="shared" si="15"/>
        <v>0.14377583830960039</v>
      </c>
    </row>
    <row r="93" spans="1:15" s="2" customFormat="1" x14ac:dyDescent="0.5">
      <c r="A93" s="6">
        <v>40487</v>
      </c>
      <c r="B93" s="1">
        <v>24.870000999999998</v>
      </c>
      <c r="C93" s="1">
        <v>24.969999000000001</v>
      </c>
      <c r="D93" s="1">
        <v>23.719999000000001</v>
      </c>
      <c r="E93" s="1">
        <v>24.440000999999999</v>
      </c>
      <c r="F93" s="1">
        <v>24.440000999999999</v>
      </c>
      <c r="G93" s="2">
        <v>1011000</v>
      </c>
      <c r="H93" s="2">
        <f t="shared" si="8"/>
        <v>2010</v>
      </c>
      <c r="I93" s="2">
        <f t="shared" si="9"/>
        <v>11</v>
      </c>
      <c r="J93" s="2">
        <f t="shared" si="10"/>
        <v>5</v>
      </c>
      <c r="K93" s="2">
        <f t="shared" si="11"/>
        <v>6</v>
      </c>
      <c r="L93" s="2">
        <f t="shared" si="12"/>
        <v>12</v>
      </c>
      <c r="M93" s="3">
        <f t="shared" si="13"/>
        <v>24.9</v>
      </c>
      <c r="N93" s="1">
        <f t="shared" ca="1" si="14"/>
        <v>24.9</v>
      </c>
      <c r="O93" s="5">
        <f t="shared" si="15"/>
        <v>-1.847385542168678E-2</v>
      </c>
    </row>
    <row r="94" spans="1:15" s="2" customFormat="1" x14ac:dyDescent="0.5">
      <c r="A94" s="6">
        <v>40490</v>
      </c>
      <c r="B94" s="1">
        <v>24.5</v>
      </c>
      <c r="C94" s="1">
        <v>25</v>
      </c>
      <c r="D94" s="1">
        <v>24.030000999999999</v>
      </c>
      <c r="E94" s="1">
        <v>24.98</v>
      </c>
      <c r="F94" s="1">
        <v>24.98</v>
      </c>
      <c r="G94" s="2">
        <v>509500</v>
      </c>
      <c r="H94" s="2">
        <f t="shared" si="8"/>
        <v>2010</v>
      </c>
      <c r="I94" s="2">
        <f t="shared" si="9"/>
        <v>11</v>
      </c>
      <c r="J94" s="2">
        <f t="shared" si="10"/>
        <v>8</v>
      </c>
      <c r="K94" s="2">
        <f t="shared" si="11"/>
        <v>2</v>
      </c>
      <c r="L94" s="2">
        <f t="shared" si="12"/>
        <v>12</v>
      </c>
      <c r="M94" s="3">
        <f t="shared" si="13"/>
        <v>24.440000999999999</v>
      </c>
      <c r="N94" s="1">
        <f t="shared" ca="1" si="14"/>
        <v>24.440000999999999</v>
      </c>
      <c r="O94" s="5">
        <f t="shared" si="15"/>
        <v>2.2094884529669345E-2</v>
      </c>
    </row>
    <row r="95" spans="1:15" s="2" customFormat="1" x14ac:dyDescent="0.5">
      <c r="A95" s="6">
        <v>40491</v>
      </c>
      <c r="B95" s="1">
        <v>25</v>
      </c>
      <c r="C95" s="1">
        <v>25.690000999999999</v>
      </c>
      <c r="D95" s="1">
        <v>24.049999</v>
      </c>
      <c r="E95" s="1">
        <v>24.629999000000002</v>
      </c>
      <c r="F95" s="1">
        <v>24.629999000000002</v>
      </c>
      <c r="G95" s="2">
        <v>956400</v>
      </c>
      <c r="H95" s="2">
        <f t="shared" si="8"/>
        <v>2010</v>
      </c>
      <c r="I95" s="2">
        <f t="shared" si="9"/>
        <v>11</v>
      </c>
      <c r="J95" s="2">
        <f t="shared" si="10"/>
        <v>9</v>
      </c>
      <c r="K95" s="2">
        <f t="shared" si="11"/>
        <v>3</v>
      </c>
      <c r="L95" s="2">
        <f t="shared" si="12"/>
        <v>12</v>
      </c>
      <c r="M95" s="3">
        <f t="shared" si="13"/>
        <v>24.98</v>
      </c>
      <c r="N95" s="1">
        <f t="shared" ca="1" si="14"/>
        <v>24.98</v>
      </c>
      <c r="O95" s="5">
        <f t="shared" si="15"/>
        <v>-1.4011248999199366E-2</v>
      </c>
    </row>
    <row r="96" spans="1:15" s="2" customFormat="1" x14ac:dyDescent="0.5">
      <c r="A96" s="6">
        <v>40492</v>
      </c>
      <c r="B96" s="1">
        <v>24.48</v>
      </c>
      <c r="C96" s="1">
        <v>29.969999000000001</v>
      </c>
      <c r="D96" s="1">
        <v>24.049999</v>
      </c>
      <c r="E96" s="1">
        <v>29.360001</v>
      </c>
      <c r="F96" s="1">
        <v>29.360001</v>
      </c>
      <c r="G96" s="2">
        <v>3060500</v>
      </c>
      <c r="H96" s="2">
        <f t="shared" si="8"/>
        <v>2010</v>
      </c>
      <c r="I96" s="2">
        <f t="shared" si="9"/>
        <v>11</v>
      </c>
      <c r="J96" s="2">
        <f t="shared" si="10"/>
        <v>10</v>
      </c>
      <c r="K96" s="2">
        <f t="shared" si="11"/>
        <v>4</v>
      </c>
      <c r="L96" s="2">
        <f t="shared" si="12"/>
        <v>12</v>
      </c>
      <c r="M96" s="3">
        <f t="shared" si="13"/>
        <v>24.629999000000002</v>
      </c>
      <c r="N96" s="1">
        <f t="shared" ca="1" si="14"/>
        <v>24.629999000000002</v>
      </c>
      <c r="O96" s="5">
        <f t="shared" si="15"/>
        <v>0.19204231392782423</v>
      </c>
    </row>
    <row r="97" spans="1:15" s="2" customFormat="1" x14ac:dyDescent="0.5">
      <c r="A97" s="6">
        <v>40493</v>
      </c>
      <c r="B97" s="1">
        <v>28.6</v>
      </c>
      <c r="C97" s="1">
        <v>29.1</v>
      </c>
      <c r="D97" s="1">
        <v>27.33</v>
      </c>
      <c r="E97" s="1">
        <v>28.040001</v>
      </c>
      <c r="F97" s="1">
        <v>28.040001</v>
      </c>
      <c r="G97" s="2">
        <v>1945300</v>
      </c>
      <c r="H97" s="2">
        <f t="shared" si="8"/>
        <v>2010</v>
      </c>
      <c r="I97" s="2">
        <f t="shared" si="9"/>
        <v>11</v>
      </c>
      <c r="J97" s="2">
        <f t="shared" si="10"/>
        <v>11</v>
      </c>
      <c r="K97" s="2">
        <f t="shared" si="11"/>
        <v>5</v>
      </c>
      <c r="L97" s="2">
        <f t="shared" si="12"/>
        <v>12</v>
      </c>
      <c r="M97" s="3">
        <f t="shared" si="13"/>
        <v>29.360001</v>
      </c>
      <c r="N97" s="1">
        <f t="shared" ca="1" si="14"/>
        <v>29.360001</v>
      </c>
      <c r="O97" s="5">
        <f t="shared" si="15"/>
        <v>-4.4959126534089733E-2</v>
      </c>
    </row>
    <row r="98" spans="1:15" s="2" customFormat="1" x14ac:dyDescent="0.5">
      <c r="A98" s="6">
        <v>40494</v>
      </c>
      <c r="B98" s="1">
        <v>28.25</v>
      </c>
      <c r="C98" s="1">
        <v>30.5</v>
      </c>
      <c r="D98" s="1">
        <v>28.07</v>
      </c>
      <c r="E98" s="1">
        <v>29.84</v>
      </c>
      <c r="F98" s="1">
        <v>29.84</v>
      </c>
      <c r="G98" s="2">
        <v>2729100</v>
      </c>
      <c r="H98" s="2">
        <f t="shared" si="8"/>
        <v>2010</v>
      </c>
      <c r="I98" s="2">
        <f t="shared" si="9"/>
        <v>11</v>
      </c>
      <c r="J98" s="2">
        <f t="shared" si="10"/>
        <v>12</v>
      </c>
      <c r="K98" s="2">
        <f t="shared" si="11"/>
        <v>6</v>
      </c>
      <c r="L98" s="2">
        <f t="shared" si="12"/>
        <v>12</v>
      </c>
      <c r="M98" s="3">
        <f t="shared" si="13"/>
        <v>28.040001</v>
      </c>
      <c r="N98" s="1">
        <f t="shared" ca="1" si="14"/>
        <v>28.040001</v>
      </c>
      <c r="O98" s="5">
        <f t="shared" si="15"/>
        <v>6.419397060649179E-2</v>
      </c>
    </row>
    <row r="99" spans="1:15" s="2" customFormat="1" x14ac:dyDescent="0.5">
      <c r="A99" s="6">
        <v>40497</v>
      </c>
      <c r="B99" s="1">
        <v>30.219999000000001</v>
      </c>
      <c r="C99" s="1">
        <v>32.939999</v>
      </c>
      <c r="D99" s="1">
        <v>30.219999000000001</v>
      </c>
      <c r="E99" s="1">
        <v>30.799999</v>
      </c>
      <c r="F99" s="1">
        <v>30.799999</v>
      </c>
      <c r="G99" s="2">
        <v>2622900</v>
      </c>
      <c r="H99" s="2">
        <f t="shared" si="8"/>
        <v>2010</v>
      </c>
      <c r="I99" s="2">
        <f t="shared" si="9"/>
        <v>11</v>
      </c>
      <c r="J99" s="2">
        <f t="shared" si="10"/>
        <v>15</v>
      </c>
      <c r="K99" s="2">
        <f t="shared" si="11"/>
        <v>2</v>
      </c>
      <c r="L99" s="2">
        <f t="shared" si="12"/>
        <v>12</v>
      </c>
      <c r="M99" s="3">
        <f t="shared" si="13"/>
        <v>29.84</v>
      </c>
      <c r="N99" s="1">
        <f t="shared" ca="1" si="14"/>
        <v>29.84</v>
      </c>
      <c r="O99" s="5">
        <f t="shared" si="15"/>
        <v>3.2171548257372562E-2</v>
      </c>
    </row>
    <row r="100" spans="1:15" s="2" customFormat="1" x14ac:dyDescent="0.5">
      <c r="A100" s="6">
        <v>40498</v>
      </c>
      <c r="B100" s="1">
        <v>31</v>
      </c>
      <c r="C100" s="1">
        <v>31.4</v>
      </c>
      <c r="D100" s="1">
        <v>28.42</v>
      </c>
      <c r="E100" s="1">
        <v>29.67</v>
      </c>
      <c r="F100" s="1">
        <v>29.67</v>
      </c>
      <c r="G100" s="2">
        <v>1347600</v>
      </c>
      <c r="H100" s="2">
        <f t="shared" si="8"/>
        <v>2010</v>
      </c>
      <c r="I100" s="2">
        <f t="shared" si="9"/>
        <v>11</v>
      </c>
      <c r="J100" s="2">
        <f t="shared" si="10"/>
        <v>16</v>
      </c>
      <c r="K100" s="2">
        <f t="shared" si="11"/>
        <v>3</v>
      </c>
      <c r="L100" s="2">
        <f t="shared" si="12"/>
        <v>12</v>
      </c>
      <c r="M100" s="3">
        <f t="shared" si="13"/>
        <v>30.799999</v>
      </c>
      <c r="N100" s="1">
        <f t="shared" ca="1" si="14"/>
        <v>30.799999</v>
      </c>
      <c r="O100" s="5">
        <f t="shared" si="15"/>
        <v>-3.6688280411957042E-2</v>
      </c>
    </row>
    <row r="101" spans="1:15" s="2" customFormat="1" x14ac:dyDescent="0.5">
      <c r="A101" s="6">
        <v>40499</v>
      </c>
      <c r="B101" s="1">
        <v>30.200001</v>
      </c>
      <c r="C101" s="1">
        <v>30.75</v>
      </c>
      <c r="D101" s="1">
        <v>28.610001</v>
      </c>
      <c r="E101" s="1">
        <v>29.49</v>
      </c>
      <c r="F101" s="1">
        <v>29.49</v>
      </c>
      <c r="G101" s="2">
        <v>750000</v>
      </c>
      <c r="H101" s="2">
        <f t="shared" si="8"/>
        <v>2010</v>
      </c>
      <c r="I101" s="2">
        <f t="shared" si="9"/>
        <v>11</v>
      </c>
      <c r="J101" s="2">
        <f t="shared" si="10"/>
        <v>17</v>
      </c>
      <c r="K101" s="2">
        <f t="shared" si="11"/>
        <v>4</v>
      </c>
      <c r="L101" s="2">
        <f t="shared" si="12"/>
        <v>12</v>
      </c>
      <c r="M101" s="3">
        <f t="shared" si="13"/>
        <v>29.67</v>
      </c>
      <c r="N101" s="1">
        <f t="shared" ca="1" si="14"/>
        <v>29.67</v>
      </c>
      <c r="O101" s="5">
        <f t="shared" si="15"/>
        <v>-6.0667340748231657E-3</v>
      </c>
    </row>
    <row r="102" spans="1:15" s="2" customFormat="1" x14ac:dyDescent="0.5">
      <c r="A102" s="6">
        <v>40500</v>
      </c>
      <c r="B102" s="1">
        <v>30.67</v>
      </c>
      <c r="C102" s="1">
        <v>30.74</v>
      </c>
      <c r="D102" s="1">
        <v>28.92</v>
      </c>
      <c r="E102" s="1">
        <v>29.889999</v>
      </c>
      <c r="F102" s="1">
        <v>29.889999</v>
      </c>
      <c r="G102" s="2">
        <v>956100</v>
      </c>
      <c r="H102" s="2">
        <f t="shared" si="8"/>
        <v>2010</v>
      </c>
      <c r="I102" s="2">
        <f t="shared" si="9"/>
        <v>11</v>
      </c>
      <c r="J102" s="2">
        <f t="shared" si="10"/>
        <v>18</v>
      </c>
      <c r="K102" s="2">
        <f t="shared" si="11"/>
        <v>5</v>
      </c>
      <c r="L102" s="2">
        <f t="shared" si="12"/>
        <v>12</v>
      </c>
      <c r="M102" s="3">
        <f t="shared" si="13"/>
        <v>29.49</v>
      </c>
      <c r="N102" s="1">
        <f t="shared" ca="1" si="14"/>
        <v>29.49</v>
      </c>
      <c r="O102" s="5">
        <f t="shared" si="15"/>
        <v>1.3563886063072239E-2</v>
      </c>
    </row>
    <row r="103" spans="1:15" s="2" customFormat="1" x14ac:dyDescent="0.5">
      <c r="A103" s="6">
        <v>40501</v>
      </c>
      <c r="B103" s="1">
        <v>30.16</v>
      </c>
      <c r="C103" s="1">
        <v>31.370000999999998</v>
      </c>
      <c r="D103" s="1">
        <v>29.700001</v>
      </c>
      <c r="E103" s="1">
        <v>30.99</v>
      </c>
      <c r="F103" s="1">
        <v>30.99</v>
      </c>
      <c r="G103" s="2">
        <v>1150500</v>
      </c>
      <c r="H103" s="2">
        <f t="shared" si="8"/>
        <v>2010</v>
      </c>
      <c r="I103" s="2">
        <f t="shared" si="9"/>
        <v>11</v>
      </c>
      <c r="J103" s="2">
        <f t="shared" si="10"/>
        <v>19</v>
      </c>
      <c r="K103" s="2">
        <f t="shared" si="11"/>
        <v>6</v>
      </c>
      <c r="L103" s="2">
        <f t="shared" si="12"/>
        <v>12</v>
      </c>
      <c r="M103" s="3">
        <f t="shared" si="13"/>
        <v>29.889999</v>
      </c>
      <c r="N103" s="1">
        <f t="shared" ca="1" si="14"/>
        <v>29.889999</v>
      </c>
      <c r="O103" s="5">
        <f t="shared" si="15"/>
        <v>3.6801640575498062E-2</v>
      </c>
    </row>
    <row r="104" spans="1:15" s="2" customFormat="1" x14ac:dyDescent="0.5">
      <c r="A104" s="6">
        <v>40504</v>
      </c>
      <c r="B104" s="1">
        <v>31.57</v>
      </c>
      <c r="C104" s="1">
        <v>33.450001</v>
      </c>
      <c r="D104" s="1">
        <v>31.5</v>
      </c>
      <c r="E104" s="1">
        <v>33.400002000000001</v>
      </c>
      <c r="F104" s="1">
        <v>33.400002000000001</v>
      </c>
      <c r="G104" s="2">
        <v>1529700</v>
      </c>
      <c r="H104" s="2">
        <f t="shared" si="8"/>
        <v>2010</v>
      </c>
      <c r="I104" s="2">
        <f t="shared" si="9"/>
        <v>11</v>
      </c>
      <c r="J104" s="2">
        <f t="shared" si="10"/>
        <v>22</v>
      </c>
      <c r="K104" s="2">
        <f t="shared" si="11"/>
        <v>2</v>
      </c>
      <c r="L104" s="2">
        <f t="shared" si="12"/>
        <v>12</v>
      </c>
      <c r="M104" s="3">
        <f t="shared" si="13"/>
        <v>30.99</v>
      </c>
      <c r="N104" s="1">
        <f t="shared" ca="1" si="14"/>
        <v>30.99</v>
      </c>
      <c r="O104" s="5">
        <f t="shared" si="15"/>
        <v>7.7767086156824927E-2</v>
      </c>
    </row>
    <row r="105" spans="1:15" s="2" customFormat="1" x14ac:dyDescent="0.5">
      <c r="A105" s="6">
        <v>40505</v>
      </c>
      <c r="B105" s="1">
        <v>33.290000999999997</v>
      </c>
      <c r="C105" s="1">
        <v>35.68</v>
      </c>
      <c r="D105" s="1">
        <v>32.189999</v>
      </c>
      <c r="E105" s="1">
        <v>34.57</v>
      </c>
      <c r="F105" s="1">
        <v>34.57</v>
      </c>
      <c r="G105" s="2">
        <v>1577800</v>
      </c>
      <c r="H105" s="2">
        <f t="shared" si="8"/>
        <v>2010</v>
      </c>
      <c r="I105" s="2">
        <f t="shared" si="9"/>
        <v>11</v>
      </c>
      <c r="J105" s="2">
        <f t="shared" si="10"/>
        <v>23</v>
      </c>
      <c r="K105" s="2">
        <f t="shared" si="11"/>
        <v>3</v>
      </c>
      <c r="L105" s="2">
        <f t="shared" si="12"/>
        <v>12</v>
      </c>
      <c r="M105" s="3">
        <f t="shared" si="13"/>
        <v>33.400002000000001</v>
      </c>
      <c r="N105" s="1">
        <f t="shared" ca="1" si="14"/>
        <v>33.400002000000001</v>
      </c>
      <c r="O105" s="5">
        <f t="shared" si="15"/>
        <v>3.5029878141923376E-2</v>
      </c>
    </row>
    <row r="106" spans="1:15" s="2" customFormat="1" x14ac:dyDescent="0.5">
      <c r="A106" s="6">
        <v>40506</v>
      </c>
      <c r="B106" s="1">
        <v>35.270000000000003</v>
      </c>
      <c r="C106" s="1">
        <v>35.970001000000003</v>
      </c>
      <c r="D106" s="1">
        <v>34.330002</v>
      </c>
      <c r="E106" s="1">
        <v>35.470001000000003</v>
      </c>
      <c r="F106" s="1">
        <v>35.470001000000003</v>
      </c>
      <c r="G106" s="2">
        <v>1425000</v>
      </c>
      <c r="H106" s="2">
        <f t="shared" si="8"/>
        <v>2010</v>
      </c>
      <c r="I106" s="2">
        <f t="shared" si="9"/>
        <v>11</v>
      </c>
      <c r="J106" s="2">
        <f t="shared" si="10"/>
        <v>24</v>
      </c>
      <c r="K106" s="2">
        <f t="shared" si="11"/>
        <v>4</v>
      </c>
      <c r="L106" s="2">
        <f t="shared" si="12"/>
        <v>12</v>
      </c>
      <c r="M106" s="3">
        <f t="shared" si="13"/>
        <v>34.57</v>
      </c>
      <c r="N106" s="1">
        <f t="shared" ca="1" si="14"/>
        <v>34.57</v>
      </c>
      <c r="O106" s="5">
        <f t="shared" si="15"/>
        <v>2.603416256870128E-2</v>
      </c>
    </row>
    <row r="107" spans="1:15" s="2" customFormat="1" x14ac:dyDescent="0.5">
      <c r="A107" s="6">
        <v>40508</v>
      </c>
      <c r="B107" s="1">
        <v>35.599997999999999</v>
      </c>
      <c r="C107" s="1">
        <v>36</v>
      </c>
      <c r="D107" s="1">
        <v>34.75</v>
      </c>
      <c r="E107" s="1">
        <v>35.32</v>
      </c>
      <c r="F107" s="1">
        <v>35.32</v>
      </c>
      <c r="G107" s="2">
        <v>350600</v>
      </c>
      <c r="H107" s="2">
        <f t="shared" si="8"/>
        <v>2010</v>
      </c>
      <c r="I107" s="2">
        <f t="shared" si="9"/>
        <v>11</v>
      </c>
      <c r="J107" s="2">
        <f t="shared" si="10"/>
        <v>26</v>
      </c>
      <c r="K107" s="2">
        <f t="shared" si="11"/>
        <v>6</v>
      </c>
      <c r="L107" s="2">
        <f t="shared" si="12"/>
        <v>12</v>
      </c>
      <c r="M107" s="3">
        <f t="shared" si="13"/>
        <v>35.470001000000003</v>
      </c>
      <c r="N107" s="1">
        <f t="shared" ca="1" si="14"/>
        <v>35.470001000000003</v>
      </c>
      <c r="O107" s="5">
        <f t="shared" si="15"/>
        <v>-4.2289539264462883E-3</v>
      </c>
    </row>
    <row r="108" spans="1:15" s="2" customFormat="1" x14ac:dyDescent="0.5">
      <c r="A108" s="6">
        <v>40511</v>
      </c>
      <c r="B108" s="1">
        <v>35.409999999999997</v>
      </c>
      <c r="C108" s="1">
        <v>35.950001</v>
      </c>
      <c r="D108" s="1">
        <v>33.330002</v>
      </c>
      <c r="E108" s="1">
        <v>34.330002</v>
      </c>
      <c r="F108" s="1">
        <v>34.330002</v>
      </c>
      <c r="G108" s="2">
        <v>1145600</v>
      </c>
      <c r="H108" s="2">
        <f t="shared" si="8"/>
        <v>2010</v>
      </c>
      <c r="I108" s="2">
        <f t="shared" si="9"/>
        <v>11</v>
      </c>
      <c r="J108" s="2">
        <f t="shared" si="10"/>
        <v>29</v>
      </c>
      <c r="K108" s="2">
        <f t="shared" si="11"/>
        <v>2</v>
      </c>
      <c r="L108" s="2">
        <f t="shared" si="12"/>
        <v>12</v>
      </c>
      <c r="M108" s="3">
        <f t="shared" si="13"/>
        <v>35.32</v>
      </c>
      <c r="N108" s="1">
        <f t="shared" ca="1" si="14"/>
        <v>35.32</v>
      </c>
      <c r="O108" s="5">
        <f t="shared" si="15"/>
        <v>-2.8029388448471138E-2</v>
      </c>
    </row>
    <row r="109" spans="1:15" s="2" customFormat="1" x14ac:dyDescent="0.5">
      <c r="A109" s="6">
        <v>40512</v>
      </c>
      <c r="B109" s="1">
        <v>33.740001999999997</v>
      </c>
      <c r="C109" s="1">
        <v>35.330002</v>
      </c>
      <c r="D109" s="1">
        <v>33.409999999999997</v>
      </c>
      <c r="E109" s="1">
        <v>35.330002</v>
      </c>
      <c r="F109" s="1">
        <v>35.330002</v>
      </c>
      <c r="G109" s="2">
        <v>2222600</v>
      </c>
      <c r="H109" s="2">
        <f t="shared" si="8"/>
        <v>2010</v>
      </c>
      <c r="I109" s="2">
        <f t="shared" si="9"/>
        <v>11</v>
      </c>
      <c r="J109" s="2">
        <f t="shared" si="10"/>
        <v>30</v>
      </c>
      <c r="K109" s="2">
        <f t="shared" si="11"/>
        <v>3</v>
      </c>
      <c r="L109" s="2">
        <f t="shared" si="12"/>
        <v>12</v>
      </c>
      <c r="M109" s="3">
        <f t="shared" si="13"/>
        <v>34.330002</v>
      </c>
      <c r="N109" s="1">
        <f t="shared" ca="1" si="14"/>
        <v>34.330002</v>
      </c>
      <c r="O109" s="5">
        <f t="shared" si="15"/>
        <v>2.9129039957527469E-2</v>
      </c>
    </row>
    <row r="110" spans="1:15" s="2" customFormat="1" x14ac:dyDescent="0.5">
      <c r="A110" s="6">
        <v>40513</v>
      </c>
      <c r="B110" s="1">
        <v>35.869999</v>
      </c>
      <c r="C110" s="1">
        <v>36.419998</v>
      </c>
      <c r="D110" s="1">
        <v>33.450001</v>
      </c>
      <c r="E110" s="1">
        <v>34.349997999999999</v>
      </c>
      <c r="F110" s="1">
        <v>34.349997999999999</v>
      </c>
      <c r="G110" s="2">
        <v>1299200</v>
      </c>
      <c r="H110" s="2">
        <f t="shared" si="8"/>
        <v>2010</v>
      </c>
      <c r="I110" s="2">
        <f t="shared" si="9"/>
        <v>12</v>
      </c>
      <c r="J110" s="2">
        <f t="shared" si="10"/>
        <v>1</v>
      </c>
      <c r="K110" s="2">
        <f t="shared" si="11"/>
        <v>4</v>
      </c>
      <c r="L110" s="2">
        <f t="shared" si="12"/>
        <v>13</v>
      </c>
      <c r="M110" s="3">
        <f t="shared" si="13"/>
        <v>35.330002</v>
      </c>
      <c r="N110" s="1">
        <f t="shared" ca="1" si="14"/>
        <v>35.330002</v>
      </c>
      <c r="O110" s="5">
        <f t="shared" si="15"/>
        <v>-2.7738577540980636E-2</v>
      </c>
    </row>
    <row r="111" spans="1:15" s="2" customFormat="1" x14ac:dyDescent="0.5">
      <c r="A111" s="6">
        <v>40514</v>
      </c>
      <c r="B111" s="1">
        <v>34.009998000000003</v>
      </c>
      <c r="C111" s="1">
        <v>34.299999</v>
      </c>
      <c r="D111" s="1">
        <v>31.200001</v>
      </c>
      <c r="E111" s="1">
        <v>32.349997999999999</v>
      </c>
      <c r="F111" s="1">
        <v>32.349997999999999</v>
      </c>
      <c r="G111" s="2">
        <v>2007000</v>
      </c>
      <c r="H111" s="2">
        <f t="shared" si="8"/>
        <v>2010</v>
      </c>
      <c r="I111" s="2">
        <f t="shared" si="9"/>
        <v>12</v>
      </c>
      <c r="J111" s="2">
        <f t="shared" si="10"/>
        <v>2</v>
      </c>
      <c r="K111" s="2">
        <f t="shared" si="11"/>
        <v>5</v>
      </c>
      <c r="L111" s="2">
        <f t="shared" si="12"/>
        <v>13</v>
      </c>
      <c r="M111" s="3">
        <f t="shared" si="13"/>
        <v>34.349997999999999</v>
      </c>
      <c r="N111" s="1">
        <f t="shared" ca="1" si="14"/>
        <v>34.349997999999999</v>
      </c>
      <c r="O111" s="5">
        <f t="shared" si="15"/>
        <v>-5.8224166417709888E-2</v>
      </c>
    </row>
    <row r="112" spans="1:15" s="2" customFormat="1" x14ac:dyDescent="0.5">
      <c r="A112" s="6">
        <v>40515</v>
      </c>
      <c r="B112" s="1">
        <v>32.009998000000003</v>
      </c>
      <c r="C112" s="1">
        <v>32.25</v>
      </c>
      <c r="D112" s="1">
        <v>30.870000999999998</v>
      </c>
      <c r="E112" s="1">
        <v>31.49</v>
      </c>
      <c r="F112" s="1">
        <v>31.49</v>
      </c>
      <c r="G112" s="2">
        <v>1160100</v>
      </c>
      <c r="H112" s="2">
        <f t="shared" si="8"/>
        <v>2010</v>
      </c>
      <c r="I112" s="2">
        <f t="shared" si="9"/>
        <v>12</v>
      </c>
      <c r="J112" s="2">
        <f t="shared" si="10"/>
        <v>3</v>
      </c>
      <c r="K112" s="2">
        <f t="shared" si="11"/>
        <v>6</v>
      </c>
      <c r="L112" s="2">
        <f t="shared" si="12"/>
        <v>13</v>
      </c>
      <c r="M112" s="3">
        <f t="shared" si="13"/>
        <v>32.349997999999999</v>
      </c>
      <c r="N112" s="1">
        <f t="shared" ca="1" si="14"/>
        <v>32.349997999999999</v>
      </c>
      <c r="O112" s="5">
        <f t="shared" si="15"/>
        <v>-2.6584174750180822E-2</v>
      </c>
    </row>
    <row r="113" spans="1:15" s="2" customFormat="1" x14ac:dyDescent="0.5">
      <c r="A113" s="6">
        <v>40518</v>
      </c>
      <c r="B113" s="1">
        <v>31.35</v>
      </c>
      <c r="C113" s="1">
        <v>31.450001</v>
      </c>
      <c r="D113" s="1">
        <v>29.559999000000001</v>
      </c>
      <c r="E113" s="1">
        <v>30.309999000000001</v>
      </c>
      <c r="F113" s="1">
        <v>30.309999000000001</v>
      </c>
      <c r="G113" s="2">
        <v>1274400</v>
      </c>
      <c r="H113" s="2">
        <f t="shared" si="8"/>
        <v>2010</v>
      </c>
      <c r="I113" s="2">
        <f t="shared" si="9"/>
        <v>12</v>
      </c>
      <c r="J113" s="2">
        <f t="shared" si="10"/>
        <v>6</v>
      </c>
      <c r="K113" s="2">
        <f t="shared" si="11"/>
        <v>2</v>
      </c>
      <c r="L113" s="2">
        <f t="shared" si="12"/>
        <v>13</v>
      </c>
      <c r="M113" s="3">
        <f t="shared" si="13"/>
        <v>31.49</v>
      </c>
      <c r="N113" s="1">
        <f t="shared" ca="1" si="14"/>
        <v>31.49</v>
      </c>
      <c r="O113" s="5">
        <f t="shared" si="15"/>
        <v>-3.7472245157192718E-2</v>
      </c>
    </row>
    <row r="114" spans="1:15" s="2" customFormat="1" x14ac:dyDescent="0.5">
      <c r="A114" s="6">
        <v>40519</v>
      </c>
      <c r="B114" s="1">
        <v>30.49</v>
      </c>
      <c r="C114" s="1">
        <v>32.400002000000001</v>
      </c>
      <c r="D114" s="1">
        <v>30.049999</v>
      </c>
      <c r="E114" s="1">
        <v>31.559999000000001</v>
      </c>
      <c r="F114" s="1">
        <v>31.559999000000001</v>
      </c>
      <c r="G114" s="2">
        <v>1311300</v>
      </c>
      <c r="H114" s="2">
        <f t="shared" si="8"/>
        <v>2010</v>
      </c>
      <c r="I114" s="2">
        <f t="shared" si="9"/>
        <v>12</v>
      </c>
      <c r="J114" s="2">
        <f t="shared" si="10"/>
        <v>7</v>
      </c>
      <c r="K114" s="2">
        <f t="shared" si="11"/>
        <v>3</v>
      </c>
      <c r="L114" s="2">
        <f t="shared" si="12"/>
        <v>13</v>
      </c>
      <c r="M114" s="3">
        <f t="shared" si="13"/>
        <v>30.309999000000001</v>
      </c>
      <c r="N114" s="1">
        <f t="shared" ca="1" si="14"/>
        <v>30.309999000000001</v>
      </c>
      <c r="O114" s="5">
        <f t="shared" si="15"/>
        <v>4.1240516042247322E-2</v>
      </c>
    </row>
    <row r="115" spans="1:15" s="2" customFormat="1" x14ac:dyDescent="0.5">
      <c r="A115" s="6">
        <v>40520</v>
      </c>
      <c r="B115" s="1">
        <v>32.479999999999997</v>
      </c>
      <c r="C115" s="1">
        <v>32.490001999999997</v>
      </c>
      <c r="D115" s="1">
        <v>31.52</v>
      </c>
      <c r="E115" s="1">
        <v>32.369999</v>
      </c>
      <c r="F115" s="1">
        <v>32.369999</v>
      </c>
      <c r="G115" s="2">
        <v>660000</v>
      </c>
      <c r="H115" s="2">
        <f t="shared" si="8"/>
        <v>2010</v>
      </c>
      <c r="I115" s="2">
        <f t="shared" si="9"/>
        <v>12</v>
      </c>
      <c r="J115" s="2">
        <f t="shared" si="10"/>
        <v>8</v>
      </c>
      <c r="K115" s="2">
        <f t="shared" si="11"/>
        <v>4</v>
      </c>
      <c r="L115" s="2">
        <f t="shared" si="12"/>
        <v>13</v>
      </c>
      <c r="M115" s="3">
        <f t="shared" si="13"/>
        <v>31.559999000000001</v>
      </c>
      <c r="N115" s="1">
        <f t="shared" ca="1" si="14"/>
        <v>31.559999000000001</v>
      </c>
      <c r="O115" s="5">
        <f t="shared" si="15"/>
        <v>2.5665400052769183E-2</v>
      </c>
    </row>
    <row r="116" spans="1:15" s="2" customFormat="1" x14ac:dyDescent="0.5">
      <c r="A116" s="6">
        <v>40521</v>
      </c>
      <c r="B116" s="1">
        <v>32.509998000000003</v>
      </c>
      <c r="C116" s="1">
        <v>32.720001000000003</v>
      </c>
      <c r="D116" s="1">
        <v>31.65</v>
      </c>
      <c r="E116" s="1">
        <v>32.049999</v>
      </c>
      <c r="F116" s="1">
        <v>32.049999</v>
      </c>
      <c r="G116" s="2">
        <v>406000</v>
      </c>
      <c r="H116" s="2">
        <f t="shared" si="8"/>
        <v>2010</v>
      </c>
      <c r="I116" s="2">
        <f t="shared" si="9"/>
        <v>12</v>
      </c>
      <c r="J116" s="2">
        <f t="shared" si="10"/>
        <v>9</v>
      </c>
      <c r="K116" s="2">
        <f t="shared" si="11"/>
        <v>5</v>
      </c>
      <c r="L116" s="2">
        <f t="shared" si="12"/>
        <v>13</v>
      </c>
      <c r="M116" s="3">
        <f t="shared" si="13"/>
        <v>32.369999</v>
      </c>
      <c r="N116" s="1">
        <f t="shared" ca="1" si="14"/>
        <v>32.369999</v>
      </c>
      <c r="O116" s="5">
        <f t="shared" si="15"/>
        <v>-9.8856969380815007E-3</v>
      </c>
    </row>
    <row r="117" spans="1:15" s="2" customFormat="1" x14ac:dyDescent="0.5">
      <c r="A117" s="6">
        <v>40522</v>
      </c>
      <c r="B117" s="1">
        <v>32.049999</v>
      </c>
      <c r="C117" s="1">
        <v>32.919998</v>
      </c>
      <c r="D117" s="1">
        <v>31.129999000000002</v>
      </c>
      <c r="E117" s="1">
        <v>31.52</v>
      </c>
      <c r="F117" s="1">
        <v>31.52</v>
      </c>
      <c r="G117" s="2">
        <v>429400</v>
      </c>
      <c r="H117" s="2">
        <f t="shared" si="8"/>
        <v>2010</v>
      </c>
      <c r="I117" s="2">
        <f t="shared" si="9"/>
        <v>12</v>
      </c>
      <c r="J117" s="2">
        <f t="shared" si="10"/>
        <v>10</v>
      </c>
      <c r="K117" s="2">
        <f t="shared" si="11"/>
        <v>6</v>
      </c>
      <c r="L117" s="2">
        <f t="shared" si="12"/>
        <v>13</v>
      </c>
      <c r="M117" s="3">
        <f t="shared" si="13"/>
        <v>32.049999</v>
      </c>
      <c r="N117" s="1">
        <f t="shared" ca="1" si="14"/>
        <v>32.049999</v>
      </c>
      <c r="O117" s="5">
        <f t="shared" si="15"/>
        <v>-1.6536630781174178E-2</v>
      </c>
    </row>
    <row r="118" spans="1:15" s="2" customFormat="1" x14ac:dyDescent="0.5">
      <c r="A118" s="6">
        <v>40525</v>
      </c>
      <c r="B118" s="1">
        <v>31.639999</v>
      </c>
      <c r="C118" s="1">
        <v>31.77</v>
      </c>
      <c r="D118" s="1">
        <v>30.4</v>
      </c>
      <c r="E118" s="1">
        <v>30.549999</v>
      </c>
      <c r="F118" s="1">
        <v>30.549999</v>
      </c>
      <c r="G118" s="2">
        <v>410400</v>
      </c>
      <c r="H118" s="2">
        <f t="shared" si="8"/>
        <v>2010</v>
      </c>
      <c r="I118" s="2">
        <f t="shared" si="9"/>
        <v>12</v>
      </c>
      <c r="J118" s="2">
        <f t="shared" si="10"/>
        <v>13</v>
      </c>
      <c r="K118" s="2">
        <f t="shared" si="11"/>
        <v>2</v>
      </c>
      <c r="L118" s="2">
        <f t="shared" si="12"/>
        <v>13</v>
      </c>
      <c r="M118" s="3">
        <f t="shared" si="13"/>
        <v>31.52</v>
      </c>
      <c r="N118" s="1">
        <f t="shared" ca="1" si="14"/>
        <v>31.52</v>
      </c>
      <c r="O118" s="5">
        <f t="shared" si="15"/>
        <v>-3.0774143401015253E-2</v>
      </c>
    </row>
    <row r="119" spans="1:15" s="2" customFormat="1" x14ac:dyDescent="0.5">
      <c r="A119" s="6">
        <v>40526</v>
      </c>
      <c r="B119" s="1">
        <v>30.290001</v>
      </c>
      <c r="C119" s="1">
        <v>30.389999</v>
      </c>
      <c r="D119" s="1">
        <v>27.76</v>
      </c>
      <c r="E119" s="1">
        <v>28.530000999999999</v>
      </c>
      <c r="F119" s="1">
        <v>28.530000999999999</v>
      </c>
      <c r="G119" s="2">
        <v>1765700</v>
      </c>
      <c r="H119" s="2">
        <f t="shared" si="8"/>
        <v>2010</v>
      </c>
      <c r="I119" s="2">
        <f t="shared" si="9"/>
        <v>12</v>
      </c>
      <c r="J119" s="2">
        <f t="shared" si="10"/>
        <v>14</v>
      </c>
      <c r="K119" s="2">
        <f t="shared" si="11"/>
        <v>3</v>
      </c>
      <c r="L119" s="2">
        <f t="shared" si="12"/>
        <v>13</v>
      </c>
      <c r="M119" s="3">
        <f t="shared" si="13"/>
        <v>30.549999</v>
      </c>
      <c r="N119" s="1">
        <f t="shared" ca="1" si="14"/>
        <v>30.549999</v>
      </c>
      <c r="O119" s="5">
        <f t="shared" si="15"/>
        <v>-6.6121049627530293E-2</v>
      </c>
    </row>
    <row r="120" spans="1:15" s="2" customFormat="1" x14ac:dyDescent="0.5">
      <c r="A120" s="6">
        <v>40527</v>
      </c>
      <c r="B120" s="1">
        <v>28.67</v>
      </c>
      <c r="C120" s="1">
        <v>29.969999000000001</v>
      </c>
      <c r="D120" s="1">
        <v>28.530000999999999</v>
      </c>
      <c r="E120" s="1">
        <v>29.6</v>
      </c>
      <c r="F120" s="1">
        <v>29.6</v>
      </c>
      <c r="G120" s="2">
        <v>742900</v>
      </c>
      <c r="H120" s="2">
        <f t="shared" si="8"/>
        <v>2010</v>
      </c>
      <c r="I120" s="2">
        <f t="shared" si="9"/>
        <v>12</v>
      </c>
      <c r="J120" s="2">
        <f t="shared" si="10"/>
        <v>15</v>
      </c>
      <c r="K120" s="2">
        <f t="shared" si="11"/>
        <v>4</v>
      </c>
      <c r="L120" s="2">
        <f t="shared" si="12"/>
        <v>13</v>
      </c>
      <c r="M120" s="3">
        <f t="shared" si="13"/>
        <v>28.530000999999999</v>
      </c>
      <c r="N120" s="1">
        <f t="shared" ca="1" si="14"/>
        <v>28.530000999999999</v>
      </c>
      <c r="O120" s="5">
        <f t="shared" si="15"/>
        <v>3.7504344987580041E-2</v>
      </c>
    </row>
    <row r="121" spans="1:15" s="2" customFormat="1" x14ac:dyDescent="0.5">
      <c r="A121" s="6">
        <v>40528</v>
      </c>
      <c r="B121" s="1">
        <v>30</v>
      </c>
      <c r="C121" s="1">
        <v>30.91</v>
      </c>
      <c r="D121" s="1">
        <v>29.65</v>
      </c>
      <c r="E121" s="1">
        <v>30.809999000000001</v>
      </c>
      <c r="F121" s="1">
        <v>30.809999000000001</v>
      </c>
      <c r="G121" s="2">
        <v>790100</v>
      </c>
      <c r="H121" s="2">
        <f t="shared" si="8"/>
        <v>2010</v>
      </c>
      <c r="I121" s="2">
        <f t="shared" si="9"/>
        <v>12</v>
      </c>
      <c r="J121" s="2">
        <f t="shared" si="10"/>
        <v>16</v>
      </c>
      <c r="K121" s="2">
        <f t="shared" si="11"/>
        <v>5</v>
      </c>
      <c r="L121" s="2">
        <f t="shared" si="12"/>
        <v>13</v>
      </c>
      <c r="M121" s="3">
        <f t="shared" si="13"/>
        <v>29.6</v>
      </c>
      <c r="N121" s="1">
        <f t="shared" ca="1" si="14"/>
        <v>29.6</v>
      </c>
      <c r="O121" s="5">
        <f t="shared" si="15"/>
        <v>4.0878344594594607E-2</v>
      </c>
    </row>
    <row r="122" spans="1:15" s="2" customFormat="1" x14ac:dyDescent="0.5">
      <c r="A122" s="6">
        <v>40529</v>
      </c>
      <c r="B122" s="1">
        <v>31.34</v>
      </c>
      <c r="C122" s="1">
        <v>31.540001</v>
      </c>
      <c r="D122" s="1">
        <v>30.709999</v>
      </c>
      <c r="E122" s="1">
        <v>31.360001</v>
      </c>
      <c r="F122" s="1">
        <v>31.360001</v>
      </c>
      <c r="G122" s="2">
        <v>813000</v>
      </c>
      <c r="H122" s="2">
        <f t="shared" si="8"/>
        <v>2010</v>
      </c>
      <c r="I122" s="2">
        <f t="shared" si="9"/>
        <v>12</v>
      </c>
      <c r="J122" s="2">
        <f t="shared" si="10"/>
        <v>17</v>
      </c>
      <c r="K122" s="2">
        <f t="shared" si="11"/>
        <v>6</v>
      </c>
      <c r="L122" s="2">
        <f t="shared" si="12"/>
        <v>13</v>
      </c>
      <c r="M122" s="3">
        <f t="shared" si="13"/>
        <v>30.809999000000001</v>
      </c>
      <c r="N122" s="1">
        <f t="shared" ca="1" si="14"/>
        <v>30.809999000000001</v>
      </c>
      <c r="O122" s="5">
        <f t="shared" si="15"/>
        <v>1.7851412458663063E-2</v>
      </c>
    </row>
    <row r="123" spans="1:15" s="2" customFormat="1" x14ac:dyDescent="0.5">
      <c r="A123" s="6">
        <v>40532</v>
      </c>
      <c r="B123" s="1">
        <v>31.639999</v>
      </c>
      <c r="C123" s="1">
        <v>32.189999</v>
      </c>
      <c r="D123" s="1">
        <v>31.26</v>
      </c>
      <c r="E123" s="1">
        <v>31.700001</v>
      </c>
      <c r="F123" s="1">
        <v>31.700001</v>
      </c>
      <c r="G123" s="2">
        <v>523400</v>
      </c>
      <c r="H123" s="2">
        <f t="shared" si="8"/>
        <v>2010</v>
      </c>
      <c r="I123" s="2">
        <f t="shared" si="9"/>
        <v>12</v>
      </c>
      <c r="J123" s="2">
        <f t="shared" si="10"/>
        <v>20</v>
      </c>
      <c r="K123" s="2">
        <f t="shared" si="11"/>
        <v>2</v>
      </c>
      <c r="L123" s="2">
        <f t="shared" si="12"/>
        <v>13</v>
      </c>
      <c r="M123" s="3">
        <f t="shared" si="13"/>
        <v>31.360001</v>
      </c>
      <c r="N123" s="1">
        <f t="shared" ca="1" si="14"/>
        <v>31.360001</v>
      </c>
      <c r="O123" s="5">
        <f t="shared" si="15"/>
        <v>1.0841836388971959E-2</v>
      </c>
    </row>
    <row r="124" spans="1:15" s="2" customFormat="1" x14ac:dyDescent="0.5">
      <c r="A124" s="6">
        <v>40533</v>
      </c>
      <c r="B124" s="1">
        <v>31.799999</v>
      </c>
      <c r="C124" s="1">
        <v>32.689999</v>
      </c>
      <c r="D124" s="1">
        <v>31.709999</v>
      </c>
      <c r="E124" s="1">
        <v>32.259998000000003</v>
      </c>
      <c r="F124" s="1">
        <v>32.259998000000003</v>
      </c>
      <c r="G124" s="2">
        <v>777700</v>
      </c>
      <c r="H124" s="2">
        <f t="shared" si="8"/>
        <v>2010</v>
      </c>
      <c r="I124" s="2">
        <f t="shared" si="9"/>
        <v>12</v>
      </c>
      <c r="J124" s="2">
        <f t="shared" si="10"/>
        <v>21</v>
      </c>
      <c r="K124" s="2">
        <f t="shared" si="11"/>
        <v>3</v>
      </c>
      <c r="L124" s="2">
        <f t="shared" si="12"/>
        <v>13</v>
      </c>
      <c r="M124" s="3">
        <f t="shared" si="13"/>
        <v>31.700001</v>
      </c>
      <c r="N124" s="1">
        <f t="shared" ca="1" si="14"/>
        <v>31.700001</v>
      </c>
      <c r="O124" s="5">
        <f t="shared" si="15"/>
        <v>1.7665519947460018E-2</v>
      </c>
    </row>
    <row r="125" spans="1:15" s="2" customFormat="1" x14ac:dyDescent="0.5">
      <c r="A125" s="6">
        <v>40534</v>
      </c>
      <c r="B125" s="1">
        <v>32.25</v>
      </c>
      <c r="C125" s="1">
        <v>32.860000999999997</v>
      </c>
      <c r="D125" s="1">
        <v>31.700001</v>
      </c>
      <c r="E125" s="1">
        <v>32.630001</v>
      </c>
      <c r="F125" s="1">
        <v>32.630001</v>
      </c>
      <c r="G125" s="2">
        <v>833300</v>
      </c>
      <c r="H125" s="2">
        <f t="shared" si="8"/>
        <v>2010</v>
      </c>
      <c r="I125" s="2">
        <f t="shared" si="9"/>
        <v>12</v>
      </c>
      <c r="J125" s="2">
        <f t="shared" si="10"/>
        <v>22</v>
      </c>
      <c r="K125" s="2">
        <f t="shared" si="11"/>
        <v>4</v>
      </c>
      <c r="L125" s="2">
        <f t="shared" si="12"/>
        <v>13</v>
      </c>
      <c r="M125" s="3">
        <f t="shared" si="13"/>
        <v>32.259998000000003</v>
      </c>
      <c r="N125" s="1">
        <f t="shared" ca="1" si="14"/>
        <v>32.259998000000003</v>
      </c>
      <c r="O125" s="5">
        <f t="shared" si="15"/>
        <v>1.1469405546770339E-2</v>
      </c>
    </row>
    <row r="126" spans="1:15" s="2" customFormat="1" x14ac:dyDescent="0.5">
      <c r="A126" s="6">
        <v>40535</v>
      </c>
      <c r="B126" s="1">
        <v>31.26</v>
      </c>
      <c r="C126" s="1">
        <v>32.479999999999997</v>
      </c>
      <c r="D126" s="1">
        <v>29.92</v>
      </c>
      <c r="E126" s="1">
        <v>30.09</v>
      </c>
      <c r="F126" s="1">
        <v>30.09</v>
      </c>
      <c r="G126" s="2">
        <v>1552600</v>
      </c>
      <c r="H126" s="2">
        <f t="shared" si="8"/>
        <v>2010</v>
      </c>
      <c r="I126" s="2">
        <f t="shared" si="9"/>
        <v>12</v>
      </c>
      <c r="J126" s="2">
        <f t="shared" si="10"/>
        <v>23</v>
      </c>
      <c r="K126" s="2">
        <f t="shared" si="11"/>
        <v>5</v>
      </c>
      <c r="L126" s="2">
        <f t="shared" si="12"/>
        <v>13</v>
      </c>
      <c r="M126" s="3">
        <f t="shared" si="13"/>
        <v>32.630001</v>
      </c>
      <c r="N126" s="1">
        <f t="shared" ca="1" si="14"/>
        <v>32.630001</v>
      </c>
      <c r="O126" s="5">
        <f t="shared" si="15"/>
        <v>-7.7842504509883392E-2</v>
      </c>
    </row>
    <row r="127" spans="1:15" s="2" customFormat="1" x14ac:dyDescent="0.5">
      <c r="A127" s="6">
        <v>40539</v>
      </c>
      <c r="B127" s="1">
        <v>28.02</v>
      </c>
      <c r="C127" s="1">
        <v>28.58</v>
      </c>
      <c r="D127" s="1">
        <v>25.059999000000001</v>
      </c>
      <c r="E127" s="1">
        <v>25.549999</v>
      </c>
      <c r="F127" s="1">
        <v>25.549999</v>
      </c>
      <c r="G127" s="2">
        <v>9301900</v>
      </c>
      <c r="H127" s="2">
        <f t="shared" si="8"/>
        <v>2010</v>
      </c>
      <c r="I127" s="2">
        <f t="shared" si="9"/>
        <v>12</v>
      </c>
      <c r="J127" s="2">
        <f t="shared" si="10"/>
        <v>27</v>
      </c>
      <c r="K127" s="2">
        <f t="shared" si="11"/>
        <v>2</v>
      </c>
      <c r="L127" s="2">
        <f t="shared" si="12"/>
        <v>13</v>
      </c>
      <c r="M127" s="3">
        <f t="shared" si="13"/>
        <v>30.09</v>
      </c>
      <c r="N127" s="1">
        <f t="shared" ca="1" si="14"/>
        <v>30.09</v>
      </c>
      <c r="O127" s="5">
        <f t="shared" si="15"/>
        <v>-0.15088072449318712</v>
      </c>
    </row>
    <row r="128" spans="1:15" s="2" customFormat="1" x14ac:dyDescent="0.5">
      <c r="A128" s="6">
        <v>40540</v>
      </c>
      <c r="B128" s="1">
        <v>25.85</v>
      </c>
      <c r="C128" s="1">
        <v>26.75</v>
      </c>
      <c r="D128" s="1">
        <v>25</v>
      </c>
      <c r="E128" s="1">
        <v>26.41</v>
      </c>
      <c r="F128" s="1">
        <v>26.41</v>
      </c>
      <c r="G128" s="2">
        <v>4056300</v>
      </c>
      <c r="H128" s="2">
        <f t="shared" si="8"/>
        <v>2010</v>
      </c>
      <c r="I128" s="2">
        <f t="shared" si="9"/>
        <v>12</v>
      </c>
      <c r="J128" s="2">
        <f t="shared" si="10"/>
        <v>28</v>
      </c>
      <c r="K128" s="2">
        <f t="shared" si="11"/>
        <v>3</v>
      </c>
      <c r="L128" s="2">
        <f t="shared" si="12"/>
        <v>13</v>
      </c>
      <c r="M128" s="3">
        <f t="shared" si="13"/>
        <v>25.549999</v>
      </c>
      <c r="N128" s="1">
        <f t="shared" ca="1" si="14"/>
        <v>25.549999</v>
      </c>
      <c r="O128" s="5">
        <f t="shared" si="15"/>
        <v>3.3659531650079622E-2</v>
      </c>
    </row>
    <row r="129" spans="1:15" s="2" customFormat="1" x14ac:dyDescent="0.5">
      <c r="A129" s="6">
        <v>40541</v>
      </c>
      <c r="B129" s="1">
        <v>27.030000999999999</v>
      </c>
      <c r="C129" s="1">
        <v>28.01</v>
      </c>
      <c r="D129" s="1">
        <v>26.5</v>
      </c>
      <c r="E129" s="1">
        <v>27.73</v>
      </c>
      <c r="F129" s="1">
        <v>27.73</v>
      </c>
      <c r="G129" s="2">
        <v>3319200</v>
      </c>
      <c r="H129" s="2">
        <f t="shared" si="8"/>
        <v>2010</v>
      </c>
      <c r="I129" s="2">
        <f t="shared" si="9"/>
        <v>12</v>
      </c>
      <c r="J129" s="2">
        <f t="shared" si="10"/>
        <v>29</v>
      </c>
      <c r="K129" s="2">
        <f t="shared" si="11"/>
        <v>4</v>
      </c>
      <c r="L129" s="2">
        <f t="shared" si="12"/>
        <v>13</v>
      </c>
      <c r="M129" s="3">
        <f t="shared" si="13"/>
        <v>26.41</v>
      </c>
      <c r="N129" s="1">
        <f t="shared" ca="1" si="14"/>
        <v>26.41</v>
      </c>
      <c r="O129" s="5">
        <f t="shared" si="15"/>
        <v>4.9981067777357113E-2</v>
      </c>
    </row>
    <row r="130" spans="1:15" s="2" customFormat="1" x14ac:dyDescent="0.5">
      <c r="A130" s="6">
        <v>40542</v>
      </c>
      <c r="B130" s="1">
        <v>27.700001</v>
      </c>
      <c r="C130" s="1">
        <v>27.9</v>
      </c>
      <c r="D130" s="1">
        <v>26.379999000000002</v>
      </c>
      <c r="E130" s="1">
        <v>26.5</v>
      </c>
      <c r="F130" s="1">
        <v>26.5</v>
      </c>
      <c r="G130" s="2">
        <v>2041100</v>
      </c>
      <c r="H130" s="2">
        <f t="shared" ref="H130:H193" si="16">YEAR(A130)</f>
        <v>2010</v>
      </c>
      <c r="I130" s="2">
        <f t="shared" ref="I130:I193" si="17">MONTH(A130)</f>
        <v>12</v>
      </c>
      <c r="J130" s="2">
        <f t="shared" ref="J130:J193" si="18">DAY(A130)</f>
        <v>30</v>
      </c>
      <c r="K130" s="2">
        <f t="shared" ref="K130:K193" si="19">WEEKDAY(A130)</f>
        <v>5</v>
      </c>
      <c r="L130" s="2">
        <f t="shared" si="12"/>
        <v>13</v>
      </c>
      <c r="M130" s="3">
        <f t="shared" si="13"/>
        <v>27.73</v>
      </c>
      <c r="N130" s="1">
        <f t="shared" ca="1" si="14"/>
        <v>27.73</v>
      </c>
      <c r="O130" s="5">
        <f t="shared" si="15"/>
        <v>-4.4356292823656718E-2</v>
      </c>
    </row>
    <row r="131" spans="1:15" s="2" customFormat="1" x14ac:dyDescent="0.5">
      <c r="A131" s="6">
        <v>40543</v>
      </c>
      <c r="B131" s="1">
        <v>26.57</v>
      </c>
      <c r="C131" s="1">
        <v>27.25</v>
      </c>
      <c r="D131" s="1">
        <v>26.5</v>
      </c>
      <c r="E131" s="1">
        <v>26.629999000000002</v>
      </c>
      <c r="F131" s="1">
        <v>26.629999000000002</v>
      </c>
      <c r="G131" s="2">
        <v>1417900</v>
      </c>
      <c r="H131" s="2">
        <f t="shared" si="16"/>
        <v>2010</v>
      </c>
      <c r="I131" s="2">
        <f t="shared" si="17"/>
        <v>12</v>
      </c>
      <c r="J131" s="2">
        <f t="shared" si="18"/>
        <v>31</v>
      </c>
      <c r="K131" s="2">
        <f t="shared" si="19"/>
        <v>6</v>
      </c>
      <c r="L131" s="2">
        <f t="shared" ref="L131:L194" si="20">I131+1</f>
        <v>13</v>
      </c>
      <c r="M131" s="3">
        <f t="shared" ref="M131:M194" si="21">F130</f>
        <v>26.5</v>
      </c>
      <c r="N131" s="1">
        <f t="shared" ref="N131:N194" ca="1" si="22">OFFSET(F131, -1, 0)</f>
        <v>26.5</v>
      </c>
      <c r="O131" s="5">
        <f t="shared" ref="O131:O194" si="23">(F131/M131)-1</f>
        <v>4.9056226415093995E-3</v>
      </c>
    </row>
    <row r="132" spans="1:15" s="2" customFormat="1" x14ac:dyDescent="0.5">
      <c r="A132" s="6">
        <v>40546</v>
      </c>
      <c r="B132" s="1">
        <v>26.84</v>
      </c>
      <c r="C132" s="1">
        <v>27</v>
      </c>
      <c r="D132" s="1">
        <v>25.9</v>
      </c>
      <c r="E132" s="1">
        <v>26.620000999999998</v>
      </c>
      <c r="F132" s="1">
        <v>26.620000999999998</v>
      </c>
      <c r="G132" s="2">
        <v>1283000</v>
      </c>
      <c r="H132" s="2">
        <f t="shared" si="16"/>
        <v>2011</v>
      </c>
      <c r="I132" s="2">
        <f t="shared" si="17"/>
        <v>1</v>
      </c>
      <c r="J132" s="2">
        <f t="shared" si="18"/>
        <v>3</v>
      </c>
      <c r="K132" s="2">
        <f t="shared" si="19"/>
        <v>2</v>
      </c>
      <c r="L132" s="2">
        <f t="shared" si="20"/>
        <v>2</v>
      </c>
      <c r="M132" s="3">
        <f t="shared" si="21"/>
        <v>26.629999000000002</v>
      </c>
      <c r="N132" s="1">
        <f t="shared" ca="1" si="22"/>
        <v>26.629999000000002</v>
      </c>
      <c r="O132" s="5">
        <f t="shared" si="23"/>
        <v>-3.7544124579214078E-4</v>
      </c>
    </row>
    <row r="133" spans="1:15" s="2" customFormat="1" x14ac:dyDescent="0.5">
      <c r="A133" s="6">
        <v>40547</v>
      </c>
      <c r="B133" s="1">
        <v>26.66</v>
      </c>
      <c r="C133" s="1">
        <v>26.950001</v>
      </c>
      <c r="D133" s="1">
        <v>26.02</v>
      </c>
      <c r="E133" s="1">
        <v>26.67</v>
      </c>
      <c r="F133" s="1">
        <v>26.67</v>
      </c>
      <c r="G133" s="2">
        <v>1187400</v>
      </c>
      <c r="H133" s="2">
        <f t="shared" si="16"/>
        <v>2011</v>
      </c>
      <c r="I133" s="2">
        <f t="shared" si="17"/>
        <v>1</v>
      </c>
      <c r="J133" s="2">
        <f t="shared" si="18"/>
        <v>4</v>
      </c>
      <c r="K133" s="2">
        <f t="shared" si="19"/>
        <v>3</v>
      </c>
      <c r="L133" s="2">
        <f t="shared" si="20"/>
        <v>2</v>
      </c>
      <c r="M133" s="3">
        <f t="shared" si="21"/>
        <v>26.620000999999998</v>
      </c>
      <c r="N133" s="1">
        <f t="shared" ca="1" si="22"/>
        <v>26.620000999999998</v>
      </c>
      <c r="O133" s="5">
        <f t="shared" si="23"/>
        <v>1.8782493659561528E-3</v>
      </c>
    </row>
    <row r="134" spans="1:15" s="2" customFormat="1" x14ac:dyDescent="0.5">
      <c r="A134" s="6">
        <v>40548</v>
      </c>
      <c r="B134" s="1">
        <v>26.48</v>
      </c>
      <c r="C134" s="1">
        <v>26.9</v>
      </c>
      <c r="D134" s="1">
        <v>26.190000999999999</v>
      </c>
      <c r="E134" s="1">
        <v>26.83</v>
      </c>
      <c r="F134" s="1">
        <v>26.83</v>
      </c>
      <c r="G134" s="2">
        <v>1446700</v>
      </c>
      <c r="H134" s="2">
        <f t="shared" si="16"/>
        <v>2011</v>
      </c>
      <c r="I134" s="2">
        <f t="shared" si="17"/>
        <v>1</v>
      </c>
      <c r="J134" s="2">
        <f t="shared" si="18"/>
        <v>5</v>
      </c>
      <c r="K134" s="2">
        <f t="shared" si="19"/>
        <v>4</v>
      </c>
      <c r="L134" s="2">
        <f t="shared" si="20"/>
        <v>2</v>
      </c>
      <c r="M134" s="3">
        <f t="shared" si="21"/>
        <v>26.67</v>
      </c>
      <c r="N134" s="1">
        <f t="shared" ca="1" si="22"/>
        <v>26.67</v>
      </c>
      <c r="O134" s="5">
        <f t="shared" si="23"/>
        <v>5.9992500937382509E-3</v>
      </c>
    </row>
    <row r="135" spans="1:15" s="2" customFormat="1" x14ac:dyDescent="0.5">
      <c r="A135" s="6">
        <v>40549</v>
      </c>
      <c r="B135" s="1">
        <v>26.83</v>
      </c>
      <c r="C135" s="1">
        <v>28</v>
      </c>
      <c r="D135" s="1">
        <v>26.809999000000001</v>
      </c>
      <c r="E135" s="1">
        <v>27.879999000000002</v>
      </c>
      <c r="F135" s="1">
        <v>27.879999000000002</v>
      </c>
      <c r="G135" s="2">
        <v>2061200</v>
      </c>
      <c r="H135" s="2">
        <f t="shared" si="16"/>
        <v>2011</v>
      </c>
      <c r="I135" s="2">
        <f t="shared" si="17"/>
        <v>1</v>
      </c>
      <c r="J135" s="2">
        <f t="shared" si="18"/>
        <v>6</v>
      </c>
      <c r="K135" s="2">
        <f t="shared" si="19"/>
        <v>5</v>
      </c>
      <c r="L135" s="2">
        <f t="shared" si="20"/>
        <v>2</v>
      </c>
      <c r="M135" s="3">
        <f t="shared" si="21"/>
        <v>26.83</v>
      </c>
      <c r="N135" s="1">
        <f t="shared" ca="1" si="22"/>
        <v>26.83</v>
      </c>
      <c r="O135" s="5">
        <f t="shared" si="23"/>
        <v>3.9135259038389991E-2</v>
      </c>
    </row>
    <row r="136" spans="1:15" s="2" customFormat="1" x14ac:dyDescent="0.5">
      <c r="A136" s="6">
        <v>40550</v>
      </c>
      <c r="B136" s="1">
        <v>28</v>
      </c>
      <c r="C136" s="1">
        <v>28.58</v>
      </c>
      <c r="D136" s="1">
        <v>27.9</v>
      </c>
      <c r="E136" s="1">
        <v>28.24</v>
      </c>
      <c r="F136" s="1">
        <v>28.24</v>
      </c>
      <c r="G136" s="2">
        <v>2247900</v>
      </c>
      <c r="H136" s="2">
        <f t="shared" si="16"/>
        <v>2011</v>
      </c>
      <c r="I136" s="2">
        <f t="shared" si="17"/>
        <v>1</v>
      </c>
      <c r="J136" s="2">
        <f t="shared" si="18"/>
        <v>7</v>
      </c>
      <c r="K136" s="2">
        <f t="shared" si="19"/>
        <v>6</v>
      </c>
      <c r="L136" s="2">
        <f t="shared" si="20"/>
        <v>2</v>
      </c>
      <c r="M136" s="3">
        <f t="shared" si="21"/>
        <v>27.879999000000002</v>
      </c>
      <c r="N136" s="1">
        <f t="shared" ca="1" si="22"/>
        <v>27.879999000000002</v>
      </c>
      <c r="O136" s="5">
        <f t="shared" si="23"/>
        <v>1.291251839714902E-2</v>
      </c>
    </row>
    <row r="137" spans="1:15" s="2" customFormat="1" x14ac:dyDescent="0.5">
      <c r="A137" s="6">
        <v>40553</v>
      </c>
      <c r="B137" s="1">
        <v>28.17</v>
      </c>
      <c r="C137" s="1">
        <v>28.68</v>
      </c>
      <c r="D137" s="1">
        <v>28.049999</v>
      </c>
      <c r="E137" s="1">
        <v>28.450001</v>
      </c>
      <c r="F137" s="1">
        <v>28.450001</v>
      </c>
      <c r="G137" s="2">
        <v>1342700</v>
      </c>
      <c r="H137" s="2">
        <f t="shared" si="16"/>
        <v>2011</v>
      </c>
      <c r="I137" s="2">
        <f t="shared" si="17"/>
        <v>1</v>
      </c>
      <c r="J137" s="2">
        <f t="shared" si="18"/>
        <v>10</v>
      </c>
      <c r="K137" s="2">
        <f t="shared" si="19"/>
        <v>2</v>
      </c>
      <c r="L137" s="2">
        <f t="shared" si="20"/>
        <v>2</v>
      </c>
      <c r="M137" s="3">
        <f t="shared" si="21"/>
        <v>28.24</v>
      </c>
      <c r="N137" s="1">
        <f t="shared" ca="1" si="22"/>
        <v>28.24</v>
      </c>
      <c r="O137" s="5">
        <f t="shared" si="23"/>
        <v>7.4362960339944273E-3</v>
      </c>
    </row>
    <row r="138" spans="1:15" s="2" customFormat="1" x14ac:dyDescent="0.5">
      <c r="A138" s="6">
        <v>40554</v>
      </c>
      <c r="B138" s="1">
        <v>28.59</v>
      </c>
      <c r="C138" s="1">
        <v>28.709999</v>
      </c>
      <c r="D138" s="1">
        <v>26.92</v>
      </c>
      <c r="E138" s="1">
        <v>26.959999</v>
      </c>
      <c r="F138" s="1">
        <v>26.959999</v>
      </c>
      <c r="G138" s="2">
        <v>1710200</v>
      </c>
      <c r="H138" s="2">
        <f t="shared" si="16"/>
        <v>2011</v>
      </c>
      <c r="I138" s="2">
        <f t="shared" si="17"/>
        <v>1</v>
      </c>
      <c r="J138" s="2">
        <f t="shared" si="18"/>
        <v>11</v>
      </c>
      <c r="K138" s="2">
        <f t="shared" si="19"/>
        <v>3</v>
      </c>
      <c r="L138" s="2">
        <f t="shared" si="20"/>
        <v>2</v>
      </c>
      <c r="M138" s="3">
        <f t="shared" si="21"/>
        <v>28.450001</v>
      </c>
      <c r="N138" s="1">
        <f t="shared" ca="1" si="22"/>
        <v>28.450001</v>
      </c>
      <c r="O138" s="5">
        <f t="shared" si="23"/>
        <v>-5.237265193769236E-2</v>
      </c>
    </row>
    <row r="139" spans="1:15" s="2" customFormat="1" x14ac:dyDescent="0.5">
      <c r="A139" s="6">
        <v>40555</v>
      </c>
      <c r="B139" s="1">
        <v>27.01</v>
      </c>
      <c r="C139" s="1">
        <v>27.4</v>
      </c>
      <c r="D139" s="1">
        <v>26.52</v>
      </c>
      <c r="E139" s="1">
        <v>26.959999</v>
      </c>
      <c r="F139" s="1">
        <v>26.959999</v>
      </c>
      <c r="G139" s="2">
        <v>964400</v>
      </c>
      <c r="H139" s="2">
        <f t="shared" si="16"/>
        <v>2011</v>
      </c>
      <c r="I139" s="2">
        <f t="shared" si="17"/>
        <v>1</v>
      </c>
      <c r="J139" s="2">
        <f t="shared" si="18"/>
        <v>12</v>
      </c>
      <c r="K139" s="2">
        <f t="shared" si="19"/>
        <v>4</v>
      </c>
      <c r="L139" s="2">
        <f t="shared" si="20"/>
        <v>2</v>
      </c>
      <c r="M139" s="3">
        <f t="shared" si="21"/>
        <v>26.959999</v>
      </c>
      <c r="N139" s="1">
        <f t="shared" ca="1" si="22"/>
        <v>26.959999</v>
      </c>
      <c r="O139" s="5">
        <f t="shared" si="23"/>
        <v>0</v>
      </c>
    </row>
    <row r="140" spans="1:15" s="2" customFormat="1" x14ac:dyDescent="0.5">
      <c r="A140" s="6">
        <v>40556</v>
      </c>
      <c r="B140" s="1">
        <v>26.959999</v>
      </c>
      <c r="C140" s="1">
        <v>26.969999000000001</v>
      </c>
      <c r="D140" s="1">
        <v>26.16</v>
      </c>
      <c r="E140" s="1">
        <v>26.219999000000001</v>
      </c>
      <c r="F140" s="1">
        <v>26.219999000000001</v>
      </c>
      <c r="G140" s="2">
        <v>723600</v>
      </c>
      <c r="H140" s="2">
        <f t="shared" si="16"/>
        <v>2011</v>
      </c>
      <c r="I140" s="2">
        <f t="shared" si="17"/>
        <v>1</v>
      </c>
      <c r="J140" s="2">
        <f t="shared" si="18"/>
        <v>13</v>
      </c>
      <c r="K140" s="2">
        <f t="shared" si="19"/>
        <v>5</v>
      </c>
      <c r="L140" s="2">
        <f t="shared" si="20"/>
        <v>2</v>
      </c>
      <c r="M140" s="3">
        <f t="shared" si="21"/>
        <v>26.959999</v>
      </c>
      <c r="N140" s="1">
        <f t="shared" ca="1" si="22"/>
        <v>26.959999</v>
      </c>
      <c r="O140" s="5">
        <f t="shared" si="23"/>
        <v>-2.7448072234720677E-2</v>
      </c>
    </row>
    <row r="141" spans="1:15" s="2" customFormat="1" x14ac:dyDescent="0.5">
      <c r="A141" s="6">
        <v>40557</v>
      </c>
      <c r="B141" s="1">
        <v>26.15</v>
      </c>
      <c r="C141" s="1">
        <v>26.58</v>
      </c>
      <c r="D141" s="1">
        <v>25.610001</v>
      </c>
      <c r="E141" s="1">
        <v>25.75</v>
      </c>
      <c r="F141" s="1">
        <v>25.75</v>
      </c>
      <c r="G141" s="2">
        <v>1192000</v>
      </c>
      <c r="H141" s="2">
        <f t="shared" si="16"/>
        <v>2011</v>
      </c>
      <c r="I141" s="2">
        <f t="shared" si="17"/>
        <v>1</v>
      </c>
      <c r="J141" s="2">
        <f t="shared" si="18"/>
        <v>14</v>
      </c>
      <c r="K141" s="2">
        <f t="shared" si="19"/>
        <v>6</v>
      </c>
      <c r="L141" s="2">
        <f t="shared" si="20"/>
        <v>2</v>
      </c>
      <c r="M141" s="3">
        <f t="shared" si="21"/>
        <v>26.219999000000001</v>
      </c>
      <c r="N141" s="1">
        <f t="shared" ca="1" si="22"/>
        <v>26.219999000000001</v>
      </c>
      <c r="O141" s="5">
        <f t="shared" si="23"/>
        <v>-1.7925210447185758E-2</v>
      </c>
    </row>
    <row r="142" spans="1:15" s="2" customFormat="1" x14ac:dyDescent="0.5">
      <c r="A142" s="6">
        <v>40561</v>
      </c>
      <c r="B142" s="1">
        <v>25.48</v>
      </c>
      <c r="C142" s="1">
        <v>25.639999</v>
      </c>
      <c r="D142" s="1">
        <v>24.75</v>
      </c>
      <c r="E142" s="1">
        <v>25.639999</v>
      </c>
      <c r="F142" s="1">
        <v>25.639999</v>
      </c>
      <c r="G142" s="2">
        <v>1621700</v>
      </c>
      <c r="H142" s="2">
        <f t="shared" si="16"/>
        <v>2011</v>
      </c>
      <c r="I142" s="2">
        <f t="shared" si="17"/>
        <v>1</v>
      </c>
      <c r="J142" s="2">
        <f t="shared" si="18"/>
        <v>18</v>
      </c>
      <c r="K142" s="2">
        <f t="shared" si="19"/>
        <v>3</v>
      </c>
      <c r="L142" s="2">
        <f t="shared" si="20"/>
        <v>2</v>
      </c>
      <c r="M142" s="3">
        <f t="shared" si="21"/>
        <v>25.75</v>
      </c>
      <c r="N142" s="1">
        <f t="shared" ca="1" si="22"/>
        <v>25.75</v>
      </c>
      <c r="O142" s="5">
        <f t="shared" si="23"/>
        <v>-4.271883495145623E-3</v>
      </c>
    </row>
    <row r="143" spans="1:15" s="2" customFormat="1" x14ac:dyDescent="0.5">
      <c r="A143" s="6">
        <v>40562</v>
      </c>
      <c r="B143" s="1">
        <v>25.27</v>
      </c>
      <c r="C143" s="1">
        <v>25.469999000000001</v>
      </c>
      <c r="D143" s="1">
        <v>23.75</v>
      </c>
      <c r="E143" s="1">
        <v>24.030000999999999</v>
      </c>
      <c r="F143" s="1">
        <v>24.030000999999999</v>
      </c>
      <c r="G143" s="2">
        <v>2371500</v>
      </c>
      <c r="H143" s="2">
        <f t="shared" si="16"/>
        <v>2011</v>
      </c>
      <c r="I143" s="2">
        <f t="shared" si="17"/>
        <v>1</v>
      </c>
      <c r="J143" s="2">
        <f t="shared" si="18"/>
        <v>19</v>
      </c>
      <c r="K143" s="2">
        <f t="shared" si="19"/>
        <v>4</v>
      </c>
      <c r="L143" s="2">
        <f t="shared" si="20"/>
        <v>2</v>
      </c>
      <c r="M143" s="3">
        <f t="shared" si="21"/>
        <v>25.639999</v>
      </c>
      <c r="N143" s="1">
        <f t="shared" ca="1" si="22"/>
        <v>25.639999</v>
      </c>
      <c r="O143" s="5">
        <f t="shared" si="23"/>
        <v>-6.2792436146350883E-2</v>
      </c>
    </row>
    <row r="144" spans="1:15" s="2" customFormat="1" x14ac:dyDescent="0.5">
      <c r="A144" s="6">
        <v>40563</v>
      </c>
      <c r="B144" s="1">
        <v>24.030000999999999</v>
      </c>
      <c r="C144" s="1">
        <v>24.450001</v>
      </c>
      <c r="D144" s="1">
        <v>22.370000999999998</v>
      </c>
      <c r="E144" s="1">
        <v>22.620000999999998</v>
      </c>
      <c r="F144" s="1">
        <v>22.620000999999998</v>
      </c>
      <c r="G144" s="2">
        <v>2279900</v>
      </c>
      <c r="H144" s="2">
        <f t="shared" si="16"/>
        <v>2011</v>
      </c>
      <c r="I144" s="2">
        <f t="shared" si="17"/>
        <v>1</v>
      </c>
      <c r="J144" s="2">
        <f t="shared" si="18"/>
        <v>20</v>
      </c>
      <c r="K144" s="2">
        <f t="shared" si="19"/>
        <v>5</v>
      </c>
      <c r="L144" s="2">
        <f t="shared" si="20"/>
        <v>2</v>
      </c>
      <c r="M144" s="3">
        <f t="shared" si="21"/>
        <v>24.030000999999999</v>
      </c>
      <c r="N144" s="1">
        <f t="shared" ca="1" si="22"/>
        <v>24.030000999999999</v>
      </c>
      <c r="O144" s="5">
        <f t="shared" si="23"/>
        <v>-5.8676651740463992E-2</v>
      </c>
    </row>
    <row r="145" spans="1:15" s="2" customFormat="1" x14ac:dyDescent="0.5">
      <c r="A145" s="6">
        <v>40564</v>
      </c>
      <c r="B145" s="1">
        <v>23.120000999999998</v>
      </c>
      <c r="C145" s="1">
        <v>23.59</v>
      </c>
      <c r="D145" s="1">
        <v>22.709999</v>
      </c>
      <c r="E145" s="1">
        <v>23.040001</v>
      </c>
      <c r="F145" s="1">
        <v>23.040001</v>
      </c>
      <c r="G145" s="2">
        <v>1217000</v>
      </c>
      <c r="H145" s="2">
        <f t="shared" si="16"/>
        <v>2011</v>
      </c>
      <c r="I145" s="2">
        <f t="shared" si="17"/>
        <v>1</v>
      </c>
      <c r="J145" s="2">
        <f t="shared" si="18"/>
        <v>21</v>
      </c>
      <c r="K145" s="2">
        <f t="shared" si="19"/>
        <v>6</v>
      </c>
      <c r="L145" s="2">
        <f t="shared" si="20"/>
        <v>2</v>
      </c>
      <c r="M145" s="3">
        <f t="shared" si="21"/>
        <v>22.620000999999998</v>
      </c>
      <c r="N145" s="1">
        <f t="shared" ca="1" si="22"/>
        <v>22.620000999999998</v>
      </c>
      <c r="O145" s="5">
        <f t="shared" si="23"/>
        <v>1.8567638436443934E-2</v>
      </c>
    </row>
    <row r="146" spans="1:15" s="2" customFormat="1" x14ac:dyDescent="0.5">
      <c r="A146" s="6">
        <v>40567</v>
      </c>
      <c r="B146" s="1">
        <v>23.530000999999999</v>
      </c>
      <c r="C146" s="1">
        <v>24.809999000000001</v>
      </c>
      <c r="D146" s="1">
        <v>23.23</v>
      </c>
      <c r="E146" s="1">
        <v>24.49</v>
      </c>
      <c r="F146" s="1">
        <v>24.49</v>
      </c>
      <c r="G146" s="2">
        <v>1645100</v>
      </c>
      <c r="H146" s="2">
        <f t="shared" si="16"/>
        <v>2011</v>
      </c>
      <c r="I146" s="2">
        <f t="shared" si="17"/>
        <v>1</v>
      </c>
      <c r="J146" s="2">
        <f t="shared" si="18"/>
        <v>24</v>
      </c>
      <c r="K146" s="2">
        <f t="shared" si="19"/>
        <v>2</v>
      </c>
      <c r="L146" s="2">
        <f t="shared" si="20"/>
        <v>2</v>
      </c>
      <c r="M146" s="3">
        <f t="shared" si="21"/>
        <v>23.040001</v>
      </c>
      <c r="N146" s="1">
        <f t="shared" ca="1" si="22"/>
        <v>23.040001</v>
      </c>
      <c r="O146" s="5">
        <f t="shared" si="23"/>
        <v>6.29339816434904E-2</v>
      </c>
    </row>
    <row r="147" spans="1:15" s="2" customFormat="1" x14ac:dyDescent="0.5">
      <c r="A147" s="6">
        <v>40568</v>
      </c>
      <c r="B147" s="1">
        <v>24.65</v>
      </c>
      <c r="C147" s="1">
        <v>24.889999</v>
      </c>
      <c r="D147" s="1">
        <v>24.02</v>
      </c>
      <c r="E147" s="1">
        <v>24.68</v>
      </c>
      <c r="F147" s="1">
        <v>24.68</v>
      </c>
      <c r="G147" s="2">
        <v>1271500</v>
      </c>
      <c r="H147" s="2">
        <f t="shared" si="16"/>
        <v>2011</v>
      </c>
      <c r="I147" s="2">
        <f t="shared" si="17"/>
        <v>1</v>
      </c>
      <c r="J147" s="2">
        <f t="shared" si="18"/>
        <v>25</v>
      </c>
      <c r="K147" s="2">
        <f t="shared" si="19"/>
        <v>3</v>
      </c>
      <c r="L147" s="2">
        <f t="shared" si="20"/>
        <v>2</v>
      </c>
      <c r="M147" s="3">
        <f t="shared" si="21"/>
        <v>24.49</v>
      </c>
      <c r="N147" s="1">
        <f t="shared" ca="1" si="22"/>
        <v>24.49</v>
      </c>
      <c r="O147" s="5">
        <f t="shared" si="23"/>
        <v>7.7582686810944157E-3</v>
      </c>
    </row>
    <row r="148" spans="1:15" s="2" customFormat="1" x14ac:dyDescent="0.5">
      <c r="A148" s="6">
        <v>40569</v>
      </c>
      <c r="B148" s="1">
        <v>24.709999</v>
      </c>
      <c r="C148" s="1">
        <v>24.879999000000002</v>
      </c>
      <c r="D148" s="1">
        <v>24.1</v>
      </c>
      <c r="E148" s="1">
        <v>24.75</v>
      </c>
      <c r="F148" s="1">
        <v>24.75</v>
      </c>
      <c r="G148" s="2">
        <v>1079900</v>
      </c>
      <c r="H148" s="2">
        <f t="shared" si="16"/>
        <v>2011</v>
      </c>
      <c r="I148" s="2">
        <f t="shared" si="17"/>
        <v>1</v>
      </c>
      <c r="J148" s="2">
        <f t="shared" si="18"/>
        <v>26</v>
      </c>
      <c r="K148" s="2">
        <f t="shared" si="19"/>
        <v>4</v>
      </c>
      <c r="L148" s="2">
        <f t="shared" si="20"/>
        <v>2</v>
      </c>
      <c r="M148" s="3">
        <f t="shared" si="21"/>
        <v>24.68</v>
      </c>
      <c r="N148" s="1">
        <f t="shared" ca="1" si="22"/>
        <v>24.68</v>
      </c>
      <c r="O148" s="5">
        <f t="shared" si="23"/>
        <v>2.8363047001620512E-3</v>
      </c>
    </row>
    <row r="149" spans="1:15" s="2" customFormat="1" x14ac:dyDescent="0.5">
      <c r="A149" s="6">
        <v>40570</v>
      </c>
      <c r="B149" s="1">
        <v>24.74</v>
      </c>
      <c r="C149" s="1">
        <v>25.08</v>
      </c>
      <c r="D149" s="1">
        <v>24.530000999999999</v>
      </c>
      <c r="E149" s="1">
        <v>24.92</v>
      </c>
      <c r="F149" s="1">
        <v>24.92</v>
      </c>
      <c r="G149" s="2">
        <v>895700</v>
      </c>
      <c r="H149" s="2">
        <f t="shared" si="16"/>
        <v>2011</v>
      </c>
      <c r="I149" s="2">
        <f t="shared" si="17"/>
        <v>1</v>
      </c>
      <c r="J149" s="2">
        <f t="shared" si="18"/>
        <v>27</v>
      </c>
      <c r="K149" s="2">
        <f t="shared" si="19"/>
        <v>5</v>
      </c>
      <c r="L149" s="2">
        <f t="shared" si="20"/>
        <v>2</v>
      </c>
      <c r="M149" s="3">
        <f t="shared" si="21"/>
        <v>24.75</v>
      </c>
      <c r="N149" s="1">
        <f t="shared" ca="1" si="22"/>
        <v>24.75</v>
      </c>
      <c r="O149" s="5">
        <f t="shared" si="23"/>
        <v>6.8686868686869129E-3</v>
      </c>
    </row>
    <row r="150" spans="1:15" s="2" customFormat="1" x14ac:dyDescent="0.5">
      <c r="A150" s="6">
        <v>40571</v>
      </c>
      <c r="B150" s="1">
        <v>24.879999000000002</v>
      </c>
      <c r="C150" s="1">
        <v>24.879999000000002</v>
      </c>
      <c r="D150" s="1">
        <v>23.75</v>
      </c>
      <c r="E150" s="1">
        <v>24.01</v>
      </c>
      <c r="F150" s="1">
        <v>24.01</v>
      </c>
      <c r="G150" s="2">
        <v>1048400</v>
      </c>
      <c r="H150" s="2">
        <f t="shared" si="16"/>
        <v>2011</v>
      </c>
      <c r="I150" s="2">
        <f t="shared" si="17"/>
        <v>1</v>
      </c>
      <c r="J150" s="2">
        <f t="shared" si="18"/>
        <v>28</v>
      </c>
      <c r="K150" s="2">
        <f t="shared" si="19"/>
        <v>6</v>
      </c>
      <c r="L150" s="2">
        <f t="shared" si="20"/>
        <v>2</v>
      </c>
      <c r="M150" s="3">
        <f t="shared" si="21"/>
        <v>24.92</v>
      </c>
      <c r="N150" s="1">
        <f t="shared" ca="1" si="22"/>
        <v>24.92</v>
      </c>
      <c r="O150" s="5">
        <f t="shared" si="23"/>
        <v>-3.6516853932584303E-2</v>
      </c>
    </row>
    <row r="151" spans="1:15" s="2" customFormat="1" x14ac:dyDescent="0.5">
      <c r="A151" s="6">
        <v>40574</v>
      </c>
      <c r="B151" s="1">
        <v>24.049999</v>
      </c>
      <c r="C151" s="1">
        <v>24.120000999999998</v>
      </c>
      <c r="D151" s="1">
        <v>23.5</v>
      </c>
      <c r="E151" s="1">
        <v>24.1</v>
      </c>
      <c r="F151" s="1">
        <v>24.1</v>
      </c>
      <c r="G151" s="2">
        <v>830300</v>
      </c>
      <c r="H151" s="2">
        <f t="shared" si="16"/>
        <v>2011</v>
      </c>
      <c r="I151" s="2">
        <f t="shared" si="17"/>
        <v>1</v>
      </c>
      <c r="J151" s="2">
        <f t="shared" si="18"/>
        <v>31</v>
      </c>
      <c r="K151" s="2">
        <f t="shared" si="19"/>
        <v>2</v>
      </c>
      <c r="L151" s="2">
        <f t="shared" si="20"/>
        <v>2</v>
      </c>
      <c r="M151" s="3">
        <f t="shared" si="21"/>
        <v>24.01</v>
      </c>
      <c r="N151" s="1">
        <f t="shared" ca="1" si="22"/>
        <v>24.01</v>
      </c>
      <c r="O151" s="5">
        <f t="shared" si="23"/>
        <v>3.7484381507704168E-3</v>
      </c>
    </row>
    <row r="152" spans="1:15" s="2" customFormat="1" x14ac:dyDescent="0.5">
      <c r="A152" s="6">
        <v>40575</v>
      </c>
      <c r="B152" s="1">
        <v>24.309999000000001</v>
      </c>
      <c r="C152" s="1">
        <v>24.73</v>
      </c>
      <c r="D152" s="1">
        <v>23.540001</v>
      </c>
      <c r="E152" s="1">
        <v>23.91</v>
      </c>
      <c r="F152" s="1">
        <v>23.91</v>
      </c>
      <c r="G152" s="2">
        <v>707800</v>
      </c>
      <c r="H152" s="2">
        <f t="shared" si="16"/>
        <v>2011</v>
      </c>
      <c r="I152" s="2">
        <f t="shared" si="17"/>
        <v>2</v>
      </c>
      <c r="J152" s="2">
        <f t="shared" si="18"/>
        <v>1</v>
      </c>
      <c r="K152" s="2">
        <f t="shared" si="19"/>
        <v>3</v>
      </c>
      <c r="L152" s="2">
        <f t="shared" si="20"/>
        <v>3</v>
      </c>
      <c r="M152" s="3">
        <f t="shared" si="21"/>
        <v>24.1</v>
      </c>
      <c r="N152" s="1">
        <f t="shared" ca="1" si="22"/>
        <v>24.1</v>
      </c>
      <c r="O152" s="5">
        <f t="shared" si="23"/>
        <v>-7.8838174273859751E-3</v>
      </c>
    </row>
    <row r="153" spans="1:15" s="2" customFormat="1" x14ac:dyDescent="0.5">
      <c r="A153" s="6">
        <v>40576</v>
      </c>
      <c r="B153" s="1">
        <v>24.16</v>
      </c>
      <c r="C153" s="1">
        <v>24.18</v>
      </c>
      <c r="D153" s="1">
        <v>23.67</v>
      </c>
      <c r="E153" s="1">
        <v>23.940000999999999</v>
      </c>
      <c r="F153" s="1">
        <v>23.940000999999999</v>
      </c>
      <c r="G153" s="2">
        <v>569500</v>
      </c>
      <c r="H153" s="2">
        <f t="shared" si="16"/>
        <v>2011</v>
      </c>
      <c r="I153" s="2">
        <f t="shared" si="17"/>
        <v>2</v>
      </c>
      <c r="J153" s="2">
        <f t="shared" si="18"/>
        <v>2</v>
      </c>
      <c r="K153" s="2">
        <f t="shared" si="19"/>
        <v>4</v>
      </c>
      <c r="L153" s="2">
        <f t="shared" si="20"/>
        <v>3</v>
      </c>
      <c r="M153" s="3">
        <f t="shared" si="21"/>
        <v>23.91</v>
      </c>
      <c r="N153" s="1">
        <f t="shared" ca="1" si="22"/>
        <v>23.91</v>
      </c>
      <c r="O153" s="5">
        <f t="shared" si="23"/>
        <v>1.2547469677959278E-3</v>
      </c>
    </row>
    <row r="154" spans="1:15" s="2" customFormat="1" x14ac:dyDescent="0.5">
      <c r="A154" s="6">
        <v>40577</v>
      </c>
      <c r="B154" s="1">
        <v>23.82</v>
      </c>
      <c r="C154" s="1">
        <v>23.9</v>
      </c>
      <c r="D154" s="1">
        <v>23.15</v>
      </c>
      <c r="E154" s="1">
        <v>23.629999000000002</v>
      </c>
      <c r="F154" s="1">
        <v>23.629999000000002</v>
      </c>
      <c r="G154" s="2">
        <v>512000</v>
      </c>
      <c r="H154" s="2">
        <f t="shared" si="16"/>
        <v>2011</v>
      </c>
      <c r="I154" s="2">
        <f t="shared" si="17"/>
        <v>2</v>
      </c>
      <c r="J154" s="2">
        <f t="shared" si="18"/>
        <v>3</v>
      </c>
      <c r="K154" s="2">
        <f t="shared" si="19"/>
        <v>5</v>
      </c>
      <c r="L154" s="2">
        <f t="shared" si="20"/>
        <v>3</v>
      </c>
      <c r="M154" s="3">
        <f t="shared" si="21"/>
        <v>23.940000999999999</v>
      </c>
      <c r="N154" s="1">
        <f t="shared" ca="1" si="22"/>
        <v>23.940000999999999</v>
      </c>
      <c r="O154" s="5">
        <f t="shared" si="23"/>
        <v>-1.294912226611844E-2</v>
      </c>
    </row>
    <row r="155" spans="1:15" s="2" customFormat="1" x14ac:dyDescent="0.5">
      <c r="A155" s="6">
        <v>40578</v>
      </c>
      <c r="B155" s="1">
        <v>23.440000999999999</v>
      </c>
      <c r="C155" s="1">
        <v>23.67</v>
      </c>
      <c r="D155" s="1">
        <v>23.219999000000001</v>
      </c>
      <c r="E155" s="1">
        <v>23.459999</v>
      </c>
      <c r="F155" s="1">
        <v>23.459999</v>
      </c>
      <c r="G155" s="2">
        <v>544000</v>
      </c>
      <c r="H155" s="2">
        <f t="shared" si="16"/>
        <v>2011</v>
      </c>
      <c r="I155" s="2">
        <f t="shared" si="17"/>
        <v>2</v>
      </c>
      <c r="J155" s="2">
        <f t="shared" si="18"/>
        <v>4</v>
      </c>
      <c r="K155" s="2">
        <f t="shared" si="19"/>
        <v>6</v>
      </c>
      <c r="L155" s="2">
        <f t="shared" si="20"/>
        <v>3</v>
      </c>
      <c r="M155" s="3">
        <f t="shared" si="21"/>
        <v>23.629999000000002</v>
      </c>
      <c r="N155" s="1">
        <f t="shared" ca="1" si="22"/>
        <v>23.629999000000002</v>
      </c>
      <c r="O155" s="5">
        <f t="shared" si="23"/>
        <v>-7.1942449087705196E-3</v>
      </c>
    </row>
    <row r="156" spans="1:15" s="2" customFormat="1" x14ac:dyDescent="0.5">
      <c r="A156" s="6">
        <v>40581</v>
      </c>
      <c r="B156" s="1">
        <v>23.26</v>
      </c>
      <c r="C156" s="1">
        <v>23.26</v>
      </c>
      <c r="D156" s="1">
        <v>22.879999000000002</v>
      </c>
      <c r="E156" s="1">
        <v>23.07</v>
      </c>
      <c r="F156" s="1">
        <v>23.07</v>
      </c>
      <c r="G156" s="2">
        <v>895100</v>
      </c>
      <c r="H156" s="2">
        <f t="shared" si="16"/>
        <v>2011</v>
      </c>
      <c r="I156" s="2">
        <f t="shared" si="17"/>
        <v>2</v>
      </c>
      <c r="J156" s="2">
        <f t="shared" si="18"/>
        <v>7</v>
      </c>
      <c r="K156" s="2">
        <f t="shared" si="19"/>
        <v>2</v>
      </c>
      <c r="L156" s="2">
        <f t="shared" si="20"/>
        <v>3</v>
      </c>
      <c r="M156" s="3">
        <f t="shared" si="21"/>
        <v>23.459999</v>
      </c>
      <c r="N156" s="1">
        <f t="shared" ca="1" si="22"/>
        <v>23.459999</v>
      </c>
      <c r="O156" s="5">
        <f t="shared" si="23"/>
        <v>-1.662399900358047E-2</v>
      </c>
    </row>
    <row r="157" spans="1:15" s="2" customFormat="1" x14ac:dyDescent="0.5">
      <c r="A157" s="6">
        <v>40582</v>
      </c>
      <c r="B157" s="1">
        <v>23.780000999999999</v>
      </c>
      <c r="C157" s="1">
        <v>25.25</v>
      </c>
      <c r="D157" s="1">
        <v>23</v>
      </c>
      <c r="E157" s="1">
        <v>24.49</v>
      </c>
      <c r="F157" s="1">
        <v>24.49</v>
      </c>
      <c r="G157" s="2">
        <v>3504900</v>
      </c>
      <c r="H157" s="2">
        <f t="shared" si="16"/>
        <v>2011</v>
      </c>
      <c r="I157" s="2">
        <f t="shared" si="17"/>
        <v>2</v>
      </c>
      <c r="J157" s="2">
        <f t="shared" si="18"/>
        <v>8</v>
      </c>
      <c r="K157" s="2">
        <f t="shared" si="19"/>
        <v>3</v>
      </c>
      <c r="L157" s="2">
        <f t="shared" si="20"/>
        <v>3</v>
      </c>
      <c r="M157" s="3">
        <f t="shared" si="21"/>
        <v>23.07</v>
      </c>
      <c r="N157" s="1">
        <f t="shared" ca="1" si="22"/>
        <v>23.07</v>
      </c>
      <c r="O157" s="5">
        <f t="shared" si="23"/>
        <v>6.1551798872995223E-2</v>
      </c>
    </row>
    <row r="158" spans="1:15" s="2" customFormat="1" x14ac:dyDescent="0.5">
      <c r="A158" s="6">
        <v>40583</v>
      </c>
      <c r="B158" s="1">
        <v>24.129999000000002</v>
      </c>
      <c r="C158" s="1">
        <v>24.18</v>
      </c>
      <c r="D158" s="1">
        <v>22.790001</v>
      </c>
      <c r="E158" s="1">
        <v>23.209999</v>
      </c>
      <c r="F158" s="1">
        <v>23.209999</v>
      </c>
      <c r="G158" s="2">
        <v>2635600</v>
      </c>
      <c r="H158" s="2">
        <f t="shared" si="16"/>
        <v>2011</v>
      </c>
      <c r="I158" s="2">
        <f t="shared" si="17"/>
        <v>2</v>
      </c>
      <c r="J158" s="2">
        <f t="shared" si="18"/>
        <v>9</v>
      </c>
      <c r="K158" s="2">
        <f t="shared" si="19"/>
        <v>4</v>
      </c>
      <c r="L158" s="2">
        <f t="shared" si="20"/>
        <v>3</v>
      </c>
      <c r="M158" s="3">
        <f t="shared" si="21"/>
        <v>24.49</v>
      </c>
      <c r="N158" s="1">
        <f t="shared" ca="1" si="22"/>
        <v>24.49</v>
      </c>
      <c r="O158" s="5">
        <f t="shared" si="23"/>
        <v>-5.22662719477337E-2</v>
      </c>
    </row>
    <row r="159" spans="1:15" s="2" customFormat="1" x14ac:dyDescent="0.5">
      <c r="A159" s="6">
        <v>40584</v>
      </c>
      <c r="B159" s="1">
        <v>23.26</v>
      </c>
      <c r="C159" s="1">
        <v>23.639999</v>
      </c>
      <c r="D159" s="1">
        <v>22.809999000000001</v>
      </c>
      <c r="E159" s="1">
        <v>23.219999000000001</v>
      </c>
      <c r="F159" s="1">
        <v>23.219999000000001</v>
      </c>
      <c r="G159" s="2">
        <v>836100</v>
      </c>
      <c r="H159" s="2">
        <f t="shared" si="16"/>
        <v>2011</v>
      </c>
      <c r="I159" s="2">
        <f t="shared" si="17"/>
        <v>2</v>
      </c>
      <c r="J159" s="2">
        <f t="shared" si="18"/>
        <v>10</v>
      </c>
      <c r="K159" s="2">
        <f t="shared" si="19"/>
        <v>5</v>
      </c>
      <c r="L159" s="2">
        <f t="shared" si="20"/>
        <v>3</v>
      </c>
      <c r="M159" s="3">
        <f t="shared" si="21"/>
        <v>23.209999</v>
      </c>
      <c r="N159" s="1">
        <f t="shared" ca="1" si="22"/>
        <v>23.209999</v>
      </c>
      <c r="O159" s="5">
        <f t="shared" si="23"/>
        <v>4.3084879064414494E-4</v>
      </c>
    </row>
    <row r="160" spans="1:15" s="2" customFormat="1" x14ac:dyDescent="0.5">
      <c r="A160" s="6">
        <v>40585</v>
      </c>
      <c r="B160" s="1">
        <v>23.25</v>
      </c>
      <c r="C160" s="1">
        <v>23.75</v>
      </c>
      <c r="D160" s="1">
        <v>22.940000999999999</v>
      </c>
      <c r="E160" s="1">
        <v>23.25</v>
      </c>
      <c r="F160" s="1">
        <v>23.25</v>
      </c>
      <c r="G160" s="2">
        <v>634500</v>
      </c>
      <c r="H160" s="2">
        <f t="shared" si="16"/>
        <v>2011</v>
      </c>
      <c r="I160" s="2">
        <f t="shared" si="17"/>
        <v>2</v>
      </c>
      <c r="J160" s="2">
        <f t="shared" si="18"/>
        <v>11</v>
      </c>
      <c r="K160" s="2">
        <f t="shared" si="19"/>
        <v>6</v>
      </c>
      <c r="L160" s="2">
        <f t="shared" si="20"/>
        <v>3</v>
      </c>
      <c r="M160" s="3">
        <f t="shared" si="21"/>
        <v>23.219999000000001</v>
      </c>
      <c r="N160" s="1">
        <f t="shared" ca="1" si="22"/>
        <v>23.219999000000001</v>
      </c>
      <c r="O160" s="5">
        <f t="shared" si="23"/>
        <v>1.2920327860479475E-3</v>
      </c>
    </row>
    <row r="161" spans="1:15" s="2" customFormat="1" x14ac:dyDescent="0.5">
      <c r="A161" s="6">
        <v>40588</v>
      </c>
      <c r="B161" s="1">
        <v>23.639999</v>
      </c>
      <c r="C161" s="1">
        <v>24.139999</v>
      </c>
      <c r="D161" s="1">
        <v>23.049999</v>
      </c>
      <c r="E161" s="1">
        <v>23.08</v>
      </c>
      <c r="F161" s="1">
        <v>23.08</v>
      </c>
      <c r="G161" s="2">
        <v>1283100</v>
      </c>
      <c r="H161" s="2">
        <f t="shared" si="16"/>
        <v>2011</v>
      </c>
      <c r="I161" s="2">
        <f t="shared" si="17"/>
        <v>2</v>
      </c>
      <c r="J161" s="2">
        <f t="shared" si="18"/>
        <v>14</v>
      </c>
      <c r="K161" s="2">
        <f t="shared" si="19"/>
        <v>2</v>
      </c>
      <c r="L161" s="2">
        <f t="shared" si="20"/>
        <v>3</v>
      </c>
      <c r="M161" s="3">
        <f t="shared" si="21"/>
        <v>23.25</v>
      </c>
      <c r="N161" s="1">
        <f t="shared" ca="1" si="22"/>
        <v>23.25</v>
      </c>
      <c r="O161" s="5">
        <f t="shared" si="23"/>
        <v>-7.3118279569893696E-3</v>
      </c>
    </row>
    <row r="162" spans="1:15" s="2" customFormat="1" x14ac:dyDescent="0.5">
      <c r="A162" s="6">
        <v>40589</v>
      </c>
      <c r="B162" s="1">
        <v>23.01</v>
      </c>
      <c r="C162" s="1">
        <v>23.17</v>
      </c>
      <c r="D162" s="1">
        <v>22.559999000000001</v>
      </c>
      <c r="E162" s="1">
        <v>22.84</v>
      </c>
      <c r="F162" s="1">
        <v>22.84</v>
      </c>
      <c r="G162" s="2">
        <v>953700</v>
      </c>
      <c r="H162" s="2">
        <f t="shared" si="16"/>
        <v>2011</v>
      </c>
      <c r="I162" s="2">
        <f t="shared" si="17"/>
        <v>2</v>
      </c>
      <c r="J162" s="2">
        <f t="shared" si="18"/>
        <v>15</v>
      </c>
      <c r="K162" s="2">
        <f t="shared" si="19"/>
        <v>3</v>
      </c>
      <c r="L162" s="2">
        <f t="shared" si="20"/>
        <v>3</v>
      </c>
      <c r="M162" s="3">
        <f t="shared" si="21"/>
        <v>23.08</v>
      </c>
      <c r="N162" s="1">
        <f t="shared" ca="1" si="22"/>
        <v>23.08</v>
      </c>
      <c r="O162" s="5">
        <f t="shared" si="23"/>
        <v>-1.0398613518197486E-2</v>
      </c>
    </row>
    <row r="163" spans="1:15" s="2" customFormat="1" x14ac:dyDescent="0.5">
      <c r="A163" s="6">
        <v>40590</v>
      </c>
      <c r="B163" s="1">
        <v>23.1</v>
      </c>
      <c r="C163" s="1">
        <v>24.969999000000001</v>
      </c>
      <c r="D163" s="1">
        <v>23.07</v>
      </c>
      <c r="E163" s="1">
        <v>24.73</v>
      </c>
      <c r="F163" s="1">
        <v>24.73</v>
      </c>
      <c r="G163" s="2">
        <v>4115100</v>
      </c>
      <c r="H163" s="2">
        <f t="shared" si="16"/>
        <v>2011</v>
      </c>
      <c r="I163" s="2">
        <f t="shared" si="17"/>
        <v>2</v>
      </c>
      <c r="J163" s="2">
        <f t="shared" si="18"/>
        <v>16</v>
      </c>
      <c r="K163" s="2">
        <f t="shared" si="19"/>
        <v>4</v>
      </c>
      <c r="L163" s="2">
        <f t="shared" si="20"/>
        <v>3</v>
      </c>
      <c r="M163" s="3">
        <f t="shared" si="21"/>
        <v>22.84</v>
      </c>
      <c r="N163" s="1">
        <f t="shared" ca="1" si="22"/>
        <v>22.84</v>
      </c>
      <c r="O163" s="5">
        <f t="shared" si="23"/>
        <v>8.2749562171628765E-2</v>
      </c>
    </row>
    <row r="164" spans="1:15" s="2" customFormat="1" x14ac:dyDescent="0.5">
      <c r="A164" s="6">
        <v>40591</v>
      </c>
      <c r="B164" s="1">
        <v>24.629999000000002</v>
      </c>
      <c r="C164" s="1">
        <v>25.49</v>
      </c>
      <c r="D164" s="1">
        <v>23.549999</v>
      </c>
      <c r="E164" s="1">
        <v>23.6</v>
      </c>
      <c r="F164" s="1">
        <v>23.6</v>
      </c>
      <c r="G164" s="2">
        <v>2618400</v>
      </c>
      <c r="H164" s="2">
        <f t="shared" si="16"/>
        <v>2011</v>
      </c>
      <c r="I164" s="2">
        <f t="shared" si="17"/>
        <v>2</v>
      </c>
      <c r="J164" s="2">
        <f t="shared" si="18"/>
        <v>17</v>
      </c>
      <c r="K164" s="2">
        <f t="shared" si="19"/>
        <v>5</v>
      </c>
      <c r="L164" s="2">
        <f t="shared" si="20"/>
        <v>3</v>
      </c>
      <c r="M164" s="3">
        <f t="shared" si="21"/>
        <v>24.73</v>
      </c>
      <c r="N164" s="1">
        <f t="shared" ca="1" si="22"/>
        <v>24.73</v>
      </c>
      <c r="O164" s="5">
        <f t="shared" si="23"/>
        <v>-4.569348968863729E-2</v>
      </c>
    </row>
    <row r="165" spans="1:15" s="2" customFormat="1" x14ac:dyDescent="0.5">
      <c r="A165" s="6">
        <v>40592</v>
      </c>
      <c r="B165" s="1">
        <v>23.33</v>
      </c>
      <c r="C165" s="1">
        <v>23.49</v>
      </c>
      <c r="D165" s="1">
        <v>22.959999</v>
      </c>
      <c r="E165" s="1">
        <v>23.18</v>
      </c>
      <c r="F165" s="1">
        <v>23.18</v>
      </c>
      <c r="G165" s="2">
        <v>2370700</v>
      </c>
      <c r="H165" s="2">
        <f t="shared" si="16"/>
        <v>2011</v>
      </c>
      <c r="I165" s="2">
        <f t="shared" si="17"/>
        <v>2</v>
      </c>
      <c r="J165" s="2">
        <f t="shared" si="18"/>
        <v>18</v>
      </c>
      <c r="K165" s="2">
        <f t="shared" si="19"/>
        <v>6</v>
      </c>
      <c r="L165" s="2">
        <f t="shared" si="20"/>
        <v>3</v>
      </c>
      <c r="M165" s="3">
        <f t="shared" si="21"/>
        <v>23.6</v>
      </c>
      <c r="N165" s="1">
        <f t="shared" ca="1" si="22"/>
        <v>23.6</v>
      </c>
      <c r="O165" s="5">
        <f t="shared" si="23"/>
        <v>-1.7796610169491633E-2</v>
      </c>
    </row>
    <row r="166" spans="1:15" s="2" customFormat="1" x14ac:dyDescent="0.5">
      <c r="A166" s="6">
        <v>40596</v>
      </c>
      <c r="B166" s="1">
        <v>22.879999000000002</v>
      </c>
      <c r="C166" s="1">
        <v>23</v>
      </c>
      <c r="D166" s="1">
        <v>21.780000999999999</v>
      </c>
      <c r="E166" s="1">
        <v>21.870000999999998</v>
      </c>
      <c r="F166" s="1">
        <v>21.870000999999998</v>
      </c>
      <c r="G166" s="2">
        <v>2064600</v>
      </c>
      <c r="H166" s="2">
        <f t="shared" si="16"/>
        <v>2011</v>
      </c>
      <c r="I166" s="2">
        <f t="shared" si="17"/>
        <v>2</v>
      </c>
      <c r="J166" s="2">
        <f t="shared" si="18"/>
        <v>22</v>
      </c>
      <c r="K166" s="2">
        <f t="shared" si="19"/>
        <v>3</v>
      </c>
      <c r="L166" s="2">
        <f t="shared" si="20"/>
        <v>3</v>
      </c>
      <c r="M166" s="3">
        <f t="shared" si="21"/>
        <v>23.18</v>
      </c>
      <c r="N166" s="1">
        <f t="shared" ca="1" si="22"/>
        <v>23.18</v>
      </c>
      <c r="O166" s="5">
        <f t="shared" si="23"/>
        <v>-5.6514193270060464E-2</v>
      </c>
    </row>
    <row r="167" spans="1:15" s="2" customFormat="1" x14ac:dyDescent="0.5">
      <c r="A167" s="6">
        <v>40597</v>
      </c>
      <c r="B167" s="1">
        <v>22.18</v>
      </c>
      <c r="C167" s="1">
        <v>22.5</v>
      </c>
      <c r="D167" s="1">
        <v>21.110001</v>
      </c>
      <c r="E167" s="1">
        <v>21.83</v>
      </c>
      <c r="F167" s="1">
        <v>21.83</v>
      </c>
      <c r="G167" s="2">
        <v>1605600</v>
      </c>
      <c r="H167" s="2">
        <f t="shared" si="16"/>
        <v>2011</v>
      </c>
      <c r="I167" s="2">
        <f t="shared" si="17"/>
        <v>2</v>
      </c>
      <c r="J167" s="2">
        <f t="shared" si="18"/>
        <v>23</v>
      </c>
      <c r="K167" s="2">
        <f t="shared" si="19"/>
        <v>4</v>
      </c>
      <c r="L167" s="2">
        <f t="shared" si="20"/>
        <v>3</v>
      </c>
      <c r="M167" s="3">
        <f t="shared" si="21"/>
        <v>21.870000999999998</v>
      </c>
      <c r="N167" s="1">
        <f t="shared" ca="1" si="22"/>
        <v>21.870000999999998</v>
      </c>
      <c r="O167" s="5">
        <f t="shared" si="23"/>
        <v>-1.8290351244154568E-3</v>
      </c>
    </row>
    <row r="168" spans="1:15" s="2" customFormat="1" x14ac:dyDescent="0.5">
      <c r="A168" s="6">
        <v>40598</v>
      </c>
      <c r="B168" s="1">
        <v>21.780000999999999</v>
      </c>
      <c r="C168" s="1">
        <v>22.58</v>
      </c>
      <c r="D168" s="1">
        <v>21.5</v>
      </c>
      <c r="E168" s="1">
        <v>22.530000999999999</v>
      </c>
      <c r="F168" s="1">
        <v>22.530000999999999</v>
      </c>
      <c r="G168" s="2">
        <v>1055300</v>
      </c>
      <c r="H168" s="2">
        <f t="shared" si="16"/>
        <v>2011</v>
      </c>
      <c r="I168" s="2">
        <f t="shared" si="17"/>
        <v>2</v>
      </c>
      <c r="J168" s="2">
        <f t="shared" si="18"/>
        <v>24</v>
      </c>
      <c r="K168" s="2">
        <f t="shared" si="19"/>
        <v>5</v>
      </c>
      <c r="L168" s="2">
        <f t="shared" si="20"/>
        <v>3</v>
      </c>
      <c r="M168" s="3">
        <f t="shared" si="21"/>
        <v>21.83</v>
      </c>
      <c r="N168" s="1">
        <f t="shared" ca="1" si="22"/>
        <v>21.83</v>
      </c>
      <c r="O168" s="5">
        <f t="shared" si="23"/>
        <v>3.2066010077874463E-2</v>
      </c>
    </row>
    <row r="169" spans="1:15" s="2" customFormat="1" x14ac:dyDescent="0.5">
      <c r="A169" s="6">
        <v>40599</v>
      </c>
      <c r="B169" s="1">
        <v>22.809999000000001</v>
      </c>
      <c r="C169" s="1">
        <v>23.85</v>
      </c>
      <c r="D169" s="1">
        <v>22.690000999999999</v>
      </c>
      <c r="E169" s="1">
        <v>23.610001</v>
      </c>
      <c r="F169" s="1">
        <v>23.610001</v>
      </c>
      <c r="G169" s="2">
        <v>1346300</v>
      </c>
      <c r="H169" s="2">
        <f t="shared" si="16"/>
        <v>2011</v>
      </c>
      <c r="I169" s="2">
        <f t="shared" si="17"/>
        <v>2</v>
      </c>
      <c r="J169" s="2">
        <f t="shared" si="18"/>
        <v>25</v>
      </c>
      <c r="K169" s="2">
        <f t="shared" si="19"/>
        <v>6</v>
      </c>
      <c r="L169" s="2">
        <f t="shared" si="20"/>
        <v>3</v>
      </c>
      <c r="M169" s="3">
        <f t="shared" si="21"/>
        <v>22.530000999999999</v>
      </c>
      <c r="N169" s="1">
        <f t="shared" ca="1" si="22"/>
        <v>22.530000999999999</v>
      </c>
      <c r="O169" s="5">
        <f t="shared" si="23"/>
        <v>4.793608309205144E-2</v>
      </c>
    </row>
    <row r="170" spans="1:15" s="2" customFormat="1" x14ac:dyDescent="0.5">
      <c r="A170" s="6">
        <v>40602</v>
      </c>
      <c r="B170" s="1">
        <v>23.74</v>
      </c>
      <c r="C170" s="1">
        <v>24.1</v>
      </c>
      <c r="D170" s="1">
        <v>23.5</v>
      </c>
      <c r="E170" s="1">
        <v>23.889999</v>
      </c>
      <c r="F170" s="1">
        <v>23.889999</v>
      </c>
      <c r="G170" s="2">
        <v>1051200</v>
      </c>
      <c r="H170" s="2">
        <f t="shared" si="16"/>
        <v>2011</v>
      </c>
      <c r="I170" s="2">
        <f t="shared" si="17"/>
        <v>2</v>
      </c>
      <c r="J170" s="2">
        <f t="shared" si="18"/>
        <v>28</v>
      </c>
      <c r="K170" s="2">
        <f t="shared" si="19"/>
        <v>2</v>
      </c>
      <c r="L170" s="2">
        <f t="shared" si="20"/>
        <v>3</v>
      </c>
      <c r="M170" s="3">
        <f t="shared" si="21"/>
        <v>23.610001</v>
      </c>
      <c r="N170" s="1">
        <f t="shared" ca="1" si="22"/>
        <v>23.610001</v>
      </c>
      <c r="O170" s="5">
        <f t="shared" si="23"/>
        <v>1.1859296405789976E-2</v>
      </c>
    </row>
    <row r="171" spans="1:15" s="2" customFormat="1" x14ac:dyDescent="0.5">
      <c r="A171" s="6">
        <v>40603</v>
      </c>
      <c r="B171" s="1">
        <v>24.049999</v>
      </c>
      <c r="C171" s="1">
        <v>24.32</v>
      </c>
      <c r="D171" s="1">
        <v>23.700001</v>
      </c>
      <c r="E171" s="1">
        <v>23.940000999999999</v>
      </c>
      <c r="F171" s="1">
        <v>23.940000999999999</v>
      </c>
      <c r="G171" s="2">
        <v>1106400</v>
      </c>
      <c r="H171" s="2">
        <f t="shared" si="16"/>
        <v>2011</v>
      </c>
      <c r="I171" s="2">
        <f t="shared" si="17"/>
        <v>3</v>
      </c>
      <c r="J171" s="2">
        <f t="shared" si="18"/>
        <v>1</v>
      </c>
      <c r="K171" s="2">
        <f t="shared" si="19"/>
        <v>3</v>
      </c>
      <c r="L171" s="2">
        <f t="shared" si="20"/>
        <v>4</v>
      </c>
      <c r="M171" s="3">
        <f t="shared" si="21"/>
        <v>23.889999</v>
      </c>
      <c r="N171" s="1">
        <f t="shared" ca="1" si="22"/>
        <v>23.889999</v>
      </c>
      <c r="O171" s="5">
        <f t="shared" si="23"/>
        <v>2.0930097150695381E-3</v>
      </c>
    </row>
    <row r="172" spans="1:15" s="2" customFormat="1" x14ac:dyDescent="0.5">
      <c r="A172" s="6">
        <v>40604</v>
      </c>
      <c r="B172" s="1">
        <v>23.82</v>
      </c>
      <c r="C172" s="1">
        <v>24.280000999999999</v>
      </c>
      <c r="D172" s="1">
        <v>23.73</v>
      </c>
      <c r="E172" s="1">
        <v>24.02</v>
      </c>
      <c r="F172" s="1">
        <v>24.02</v>
      </c>
      <c r="G172" s="2">
        <v>663300</v>
      </c>
      <c r="H172" s="2">
        <f t="shared" si="16"/>
        <v>2011</v>
      </c>
      <c r="I172" s="2">
        <f t="shared" si="17"/>
        <v>3</v>
      </c>
      <c r="J172" s="2">
        <f t="shared" si="18"/>
        <v>2</v>
      </c>
      <c r="K172" s="2">
        <f t="shared" si="19"/>
        <v>4</v>
      </c>
      <c r="L172" s="2">
        <f t="shared" si="20"/>
        <v>4</v>
      </c>
      <c r="M172" s="3">
        <f t="shared" si="21"/>
        <v>23.940000999999999</v>
      </c>
      <c r="N172" s="1">
        <f t="shared" ca="1" si="22"/>
        <v>23.940000999999999</v>
      </c>
      <c r="O172" s="5">
        <f t="shared" si="23"/>
        <v>3.3416456415353846E-3</v>
      </c>
    </row>
    <row r="173" spans="1:15" s="2" customFormat="1" x14ac:dyDescent="0.5">
      <c r="A173" s="6">
        <v>40605</v>
      </c>
      <c r="B173" s="1">
        <v>24.48</v>
      </c>
      <c r="C173" s="1">
        <v>24.790001</v>
      </c>
      <c r="D173" s="1">
        <v>24.059999000000001</v>
      </c>
      <c r="E173" s="1">
        <v>24.360001</v>
      </c>
      <c r="F173" s="1">
        <v>24.360001</v>
      </c>
      <c r="G173" s="2">
        <v>640200</v>
      </c>
      <c r="H173" s="2">
        <f t="shared" si="16"/>
        <v>2011</v>
      </c>
      <c r="I173" s="2">
        <f t="shared" si="17"/>
        <v>3</v>
      </c>
      <c r="J173" s="2">
        <f t="shared" si="18"/>
        <v>3</v>
      </c>
      <c r="K173" s="2">
        <f t="shared" si="19"/>
        <v>5</v>
      </c>
      <c r="L173" s="2">
        <f t="shared" si="20"/>
        <v>4</v>
      </c>
      <c r="M173" s="3">
        <f t="shared" si="21"/>
        <v>24.02</v>
      </c>
      <c r="N173" s="1">
        <f t="shared" ca="1" si="22"/>
        <v>24.02</v>
      </c>
      <c r="O173" s="5">
        <f t="shared" si="23"/>
        <v>1.4154912572855949E-2</v>
      </c>
    </row>
    <row r="174" spans="1:15" s="2" customFormat="1" x14ac:dyDescent="0.5">
      <c r="A174" s="6">
        <v>40606</v>
      </c>
      <c r="B174" s="1">
        <v>24.48</v>
      </c>
      <c r="C174" s="1">
        <v>24.99</v>
      </c>
      <c r="D174" s="1">
        <v>23.780000999999999</v>
      </c>
      <c r="E174" s="1">
        <v>24.950001</v>
      </c>
      <c r="F174" s="1">
        <v>24.950001</v>
      </c>
      <c r="G174" s="2">
        <v>1580100</v>
      </c>
      <c r="H174" s="2">
        <f t="shared" si="16"/>
        <v>2011</v>
      </c>
      <c r="I174" s="2">
        <f t="shared" si="17"/>
        <v>3</v>
      </c>
      <c r="J174" s="2">
        <f t="shared" si="18"/>
        <v>4</v>
      </c>
      <c r="K174" s="2">
        <f t="shared" si="19"/>
        <v>6</v>
      </c>
      <c r="L174" s="2">
        <f t="shared" si="20"/>
        <v>4</v>
      </c>
      <c r="M174" s="3">
        <f t="shared" si="21"/>
        <v>24.360001</v>
      </c>
      <c r="N174" s="1">
        <f t="shared" ca="1" si="22"/>
        <v>24.360001</v>
      </c>
      <c r="O174" s="5">
        <f t="shared" si="23"/>
        <v>2.422003184646826E-2</v>
      </c>
    </row>
    <row r="175" spans="1:15" s="2" customFormat="1" x14ac:dyDescent="0.5">
      <c r="A175" s="6">
        <v>40609</v>
      </c>
      <c r="B175" s="1">
        <v>24.93</v>
      </c>
      <c r="C175" s="1">
        <v>25.4</v>
      </c>
      <c r="D175" s="1">
        <v>24.700001</v>
      </c>
      <c r="E175" s="1">
        <v>24.940000999999999</v>
      </c>
      <c r="F175" s="1">
        <v>24.940000999999999</v>
      </c>
      <c r="G175" s="2">
        <v>2033600</v>
      </c>
      <c r="H175" s="2">
        <f t="shared" si="16"/>
        <v>2011</v>
      </c>
      <c r="I175" s="2">
        <f t="shared" si="17"/>
        <v>3</v>
      </c>
      <c r="J175" s="2">
        <f t="shared" si="18"/>
        <v>7</v>
      </c>
      <c r="K175" s="2">
        <f t="shared" si="19"/>
        <v>2</v>
      </c>
      <c r="L175" s="2">
        <f t="shared" si="20"/>
        <v>4</v>
      </c>
      <c r="M175" s="3">
        <f t="shared" si="21"/>
        <v>24.950001</v>
      </c>
      <c r="N175" s="1">
        <f t="shared" ca="1" si="22"/>
        <v>24.950001</v>
      </c>
      <c r="O175" s="5">
        <f t="shared" si="23"/>
        <v>-4.0080158714228542E-4</v>
      </c>
    </row>
    <row r="176" spans="1:15" s="2" customFormat="1" x14ac:dyDescent="0.5">
      <c r="A176" s="6">
        <v>40610</v>
      </c>
      <c r="B176" s="1">
        <v>24.6</v>
      </c>
      <c r="C176" s="1">
        <v>24.959999</v>
      </c>
      <c r="D176" s="1">
        <v>24</v>
      </c>
      <c r="E176" s="1">
        <v>24.66</v>
      </c>
      <c r="F176" s="1">
        <v>24.66</v>
      </c>
      <c r="G176" s="2">
        <v>1399900</v>
      </c>
      <c r="H176" s="2">
        <f t="shared" si="16"/>
        <v>2011</v>
      </c>
      <c r="I176" s="2">
        <f t="shared" si="17"/>
        <v>3</v>
      </c>
      <c r="J176" s="2">
        <f t="shared" si="18"/>
        <v>8</v>
      </c>
      <c r="K176" s="2">
        <f t="shared" si="19"/>
        <v>3</v>
      </c>
      <c r="L176" s="2">
        <f t="shared" si="20"/>
        <v>4</v>
      </c>
      <c r="M176" s="3">
        <f t="shared" si="21"/>
        <v>24.940000999999999</v>
      </c>
      <c r="N176" s="1">
        <f t="shared" ca="1" si="22"/>
        <v>24.940000999999999</v>
      </c>
      <c r="O176" s="5">
        <f t="shared" si="23"/>
        <v>-1.1226984313272403E-2</v>
      </c>
    </row>
    <row r="177" spans="1:15" s="2" customFormat="1" x14ac:dyDescent="0.5">
      <c r="A177" s="6">
        <v>40611</v>
      </c>
      <c r="B177" s="1">
        <v>24.66</v>
      </c>
      <c r="C177" s="1">
        <v>24.99</v>
      </c>
      <c r="D177" s="1">
        <v>24.27</v>
      </c>
      <c r="E177" s="1">
        <v>24.719999000000001</v>
      </c>
      <c r="F177" s="1">
        <v>24.719999000000001</v>
      </c>
      <c r="G177" s="2">
        <v>924800</v>
      </c>
      <c r="H177" s="2">
        <f t="shared" si="16"/>
        <v>2011</v>
      </c>
      <c r="I177" s="2">
        <f t="shared" si="17"/>
        <v>3</v>
      </c>
      <c r="J177" s="2">
        <f t="shared" si="18"/>
        <v>9</v>
      </c>
      <c r="K177" s="2">
        <f t="shared" si="19"/>
        <v>4</v>
      </c>
      <c r="L177" s="2">
        <f t="shared" si="20"/>
        <v>4</v>
      </c>
      <c r="M177" s="3">
        <f t="shared" si="21"/>
        <v>24.66</v>
      </c>
      <c r="N177" s="1">
        <f t="shared" ca="1" si="22"/>
        <v>24.66</v>
      </c>
      <c r="O177" s="5">
        <f t="shared" si="23"/>
        <v>2.4330494728306284E-3</v>
      </c>
    </row>
    <row r="178" spans="1:15" s="2" customFormat="1" x14ac:dyDescent="0.5">
      <c r="A178" s="6">
        <v>40612</v>
      </c>
      <c r="B178" s="1">
        <v>24.440000999999999</v>
      </c>
      <c r="C178" s="1">
        <v>24.49</v>
      </c>
      <c r="D178" s="1">
        <v>23.73</v>
      </c>
      <c r="E178" s="1">
        <v>24.01</v>
      </c>
      <c r="F178" s="1">
        <v>24.01</v>
      </c>
      <c r="G178" s="2">
        <v>1017000</v>
      </c>
      <c r="H178" s="2">
        <f t="shared" si="16"/>
        <v>2011</v>
      </c>
      <c r="I178" s="2">
        <f t="shared" si="17"/>
        <v>3</v>
      </c>
      <c r="J178" s="2">
        <f t="shared" si="18"/>
        <v>10</v>
      </c>
      <c r="K178" s="2">
        <f t="shared" si="19"/>
        <v>5</v>
      </c>
      <c r="L178" s="2">
        <f t="shared" si="20"/>
        <v>4</v>
      </c>
      <c r="M178" s="3">
        <f t="shared" si="21"/>
        <v>24.719999000000001</v>
      </c>
      <c r="N178" s="1">
        <f t="shared" ca="1" si="22"/>
        <v>24.719999000000001</v>
      </c>
      <c r="O178" s="5">
        <f t="shared" si="23"/>
        <v>-2.8721643556700815E-2</v>
      </c>
    </row>
    <row r="179" spans="1:15" s="2" customFormat="1" x14ac:dyDescent="0.5">
      <c r="A179" s="6">
        <v>40613</v>
      </c>
      <c r="B179" s="1">
        <v>23.85</v>
      </c>
      <c r="C179" s="1">
        <v>24.25</v>
      </c>
      <c r="D179" s="1">
        <v>23.530000999999999</v>
      </c>
      <c r="E179" s="1">
        <v>24.07</v>
      </c>
      <c r="F179" s="1">
        <v>24.07</v>
      </c>
      <c r="G179" s="2">
        <v>930800</v>
      </c>
      <c r="H179" s="2">
        <f t="shared" si="16"/>
        <v>2011</v>
      </c>
      <c r="I179" s="2">
        <f t="shared" si="17"/>
        <v>3</v>
      </c>
      <c r="J179" s="2">
        <f t="shared" si="18"/>
        <v>11</v>
      </c>
      <c r="K179" s="2">
        <f t="shared" si="19"/>
        <v>6</v>
      </c>
      <c r="L179" s="2">
        <f t="shared" si="20"/>
        <v>4</v>
      </c>
      <c r="M179" s="3">
        <f t="shared" si="21"/>
        <v>24.01</v>
      </c>
      <c r="N179" s="1">
        <f t="shared" ca="1" si="22"/>
        <v>24.01</v>
      </c>
      <c r="O179" s="5">
        <f t="shared" si="23"/>
        <v>2.4989587671802038E-3</v>
      </c>
    </row>
    <row r="180" spans="1:15" s="2" customFormat="1" x14ac:dyDescent="0.5">
      <c r="A180" s="6">
        <v>40616</v>
      </c>
      <c r="B180" s="1">
        <v>23.82</v>
      </c>
      <c r="C180" s="1">
        <v>24</v>
      </c>
      <c r="D180" s="1">
        <v>23.200001</v>
      </c>
      <c r="E180" s="1">
        <v>23.25</v>
      </c>
      <c r="F180" s="1">
        <v>23.25</v>
      </c>
      <c r="G180" s="2">
        <v>1166000</v>
      </c>
      <c r="H180" s="2">
        <f t="shared" si="16"/>
        <v>2011</v>
      </c>
      <c r="I180" s="2">
        <f t="shared" si="17"/>
        <v>3</v>
      </c>
      <c r="J180" s="2">
        <f t="shared" si="18"/>
        <v>14</v>
      </c>
      <c r="K180" s="2">
        <f t="shared" si="19"/>
        <v>2</v>
      </c>
      <c r="L180" s="2">
        <f t="shared" si="20"/>
        <v>4</v>
      </c>
      <c r="M180" s="3">
        <f t="shared" si="21"/>
        <v>24.07</v>
      </c>
      <c r="N180" s="1">
        <f t="shared" ca="1" si="22"/>
        <v>24.07</v>
      </c>
      <c r="O180" s="5">
        <f t="shared" si="23"/>
        <v>-3.4067303697548845E-2</v>
      </c>
    </row>
    <row r="181" spans="1:15" s="2" customFormat="1" x14ac:dyDescent="0.5">
      <c r="A181" s="6">
        <v>40617</v>
      </c>
      <c r="B181" s="1">
        <v>22.200001</v>
      </c>
      <c r="C181" s="1">
        <v>22.959999</v>
      </c>
      <c r="D181" s="1">
        <v>21.799999</v>
      </c>
      <c r="E181" s="1">
        <v>22.950001</v>
      </c>
      <c r="F181" s="1">
        <v>22.950001</v>
      </c>
      <c r="G181" s="2">
        <v>1318800</v>
      </c>
      <c r="H181" s="2">
        <f t="shared" si="16"/>
        <v>2011</v>
      </c>
      <c r="I181" s="2">
        <f t="shared" si="17"/>
        <v>3</v>
      </c>
      <c r="J181" s="2">
        <f t="shared" si="18"/>
        <v>15</v>
      </c>
      <c r="K181" s="2">
        <f t="shared" si="19"/>
        <v>3</v>
      </c>
      <c r="L181" s="2">
        <f t="shared" si="20"/>
        <v>4</v>
      </c>
      <c r="M181" s="3">
        <f t="shared" si="21"/>
        <v>23.25</v>
      </c>
      <c r="N181" s="1">
        <f t="shared" ca="1" si="22"/>
        <v>23.25</v>
      </c>
      <c r="O181" s="5">
        <f t="shared" si="23"/>
        <v>-1.2903182795698909E-2</v>
      </c>
    </row>
    <row r="182" spans="1:15" s="2" customFormat="1" x14ac:dyDescent="0.5">
      <c r="A182" s="6">
        <v>40618</v>
      </c>
      <c r="B182" s="1">
        <v>22.860001</v>
      </c>
      <c r="C182" s="1">
        <v>23.25</v>
      </c>
      <c r="D182" s="1">
        <v>22.690000999999999</v>
      </c>
      <c r="E182" s="1">
        <v>22.82</v>
      </c>
      <c r="F182" s="1">
        <v>22.82</v>
      </c>
      <c r="G182" s="2">
        <v>1169700</v>
      </c>
      <c r="H182" s="2">
        <f t="shared" si="16"/>
        <v>2011</v>
      </c>
      <c r="I182" s="2">
        <f t="shared" si="17"/>
        <v>3</v>
      </c>
      <c r="J182" s="2">
        <f t="shared" si="18"/>
        <v>16</v>
      </c>
      <c r="K182" s="2">
        <f t="shared" si="19"/>
        <v>4</v>
      </c>
      <c r="L182" s="2">
        <f t="shared" si="20"/>
        <v>4</v>
      </c>
      <c r="M182" s="3">
        <f t="shared" si="21"/>
        <v>22.950001</v>
      </c>
      <c r="N182" s="1">
        <f t="shared" ca="1" si="22"/>
        <v>22.950001</v>
      </c>
      <c r="O182" s="5">
        <f t="shared" si="23"/>
        <v>-5.6645313435934597E-3</v>
      </c>
    </row>
    <row r="183" spans="1:15" s="2" customFormat="1" x14ac:dyDescent="0.5">
      <c r="A183" s="6">
        <v>40619</v>
      </c>
      <c r="B183" s="1">
        <v>23.24</v>
      </c>
      <c r="C183" s="1">
        <v>23.43</v>
      </c>
      <c r="D183" s="1">
        <v>22.639999</v>
      </c>
      <c r="E183" s="1">
        <v>22.809999000000001</v>
      </c>
      <c r="F183" s="1">
        <v>22.809999000000001</v>
      </c>
      <c r="G183" s="2">
        <v>922600</v>
      </c>
      <c r="H183" s="2">
        <f t="shared" si="16"/>
        <v>2011</v>
      </c>
      <c r="I183" s="2">
        <f t="shared" si="17"/>
        <v>3</v>
      </c>
      <c r="J183" s="2">
        <f t="shared" si="18"/>
        <v>17</v>
      </c>
      <c r="K183" s="2">
        <f t="shared" si="19"/>
        <v>5</v>
      </c>
      <c r="L183" s="2">
        <f t="shared" si="20"/>
        <v>4</v>
      </c>
      <c r="M183" s="3">
        <f t="shared" si="21"/>
        <v>22.82</v>
      </c>
      <c r="N183" s="1">
        <f t="shared" ca="1" si="22"/>
        <v>22.82</v>
      </c>
      <c r="O183" s="5">
        <f t="shared" si="23"/>
        <v>-4.382559158632171E-4</v>
      </c>
    </row>
    <row r="184" spans="1:15" s="2" customFormat="1" x14ac:dyDescent="0.5">
      <c r="A184" s="6">
        <v>40620</v>
      </c>
      <c r="B184" s="1">
        <v>23.190000999999999</v>
      </c>
      <c r="C184" s="1">
        <v>23.190000999999999</v>
      </c>
      <c r="D184" s="1">
        <v>22.51</v>
      </c>
      <c r="E184" s="1">
        <v>22.959999</v>
      </c>
      <c r="F184" s="1">
        <v>22.959999</v>
      </c>
      <c r="G184" s="2">
        <v>687900</v>
      </c>
      <c r="H184" s="2">
        <f t="shared" si="16"/>
        <v>2011</v>
      </c>
      <c r="I184" s="2">
        <f t="shared" si="17"/>
        <v>3</v>
      </c>
      <c r="J184" s="2">
        <f t="shared" si="18"/>
        <v>18</v>
      </c>
      <c r="K184" s="2">
        <f t="shared" si="19"/>
        <v>6</v>
      </c>
      <c r="L184" s="2">
        <f t="shared" si="20"/>
        <v>4</v>
      </c>
      <c r="M184" s="3">
        <f t="shared" si="21"/>
        <v>22.809999000000001</v>
      </c>
      <c r="N184" s="1">
        <f t="shared" ca="1" si="22"/>
        <v>22.809999000000001</v>
      </c>
      <c r="O184" s="5">
        <f t="shared" si="23"/>
        <v>6.576063418503475E-3</v>
      </c>
    </row>
    <row r="185" spans="1:15" s="2" customFormat="1" x14ac:dyDescent="0.5">
      <c r="A185" s="6">
        <v>40623</v>
      </c>
      <c r="B185" s="1">
        <v>23.049999</v>
      </c>
      <c r="C185" s="1">
        <v>23.049999</v>
      </c>
      <c r="D185" s="1">
        <v>22.540001</v>
      </c>
      <c r="E185" s="1">
        <v>22.73</v>
      </c>
      <c r="F185" s="1">
        <v>22.73</v>
      </c>
      <c r="G185" s="2">
        <v>411700</v>
      </c>
      <c r="H185" s="2">
        <f t="shared" si="16"/>
        <v>2011</v>
      </c>
      <c r="I185" s="2">
        <f t="shared" si="17"/>
        <v>3</v>
      </c>
      <c r="J185" s="2">
        <f t="shared" si="18"/>
        <v>21</v>
      </c>
      <c r="K185" s="2">
        <f t="shared" si="19"/>
        <v>2</v>
      </c>
      <c r="L185" s="2">
        <f t="shared" si="20"/>
        <v>4</v>
      </c>
      <c r="M185" s="3">
        <f t="shared" si="21"/>
        <v>22.959999</v>
      </c>
      <c r="N185" s="1">
        <f t="shared" ca="1" si="22"/>
        <v>22.959999</v>
      </c>
      <c r="O185" s="5">
        <f t="shared" si="23"/>
        <v>-1.0017378485077444E-2</v>
      </c>
    </row>
    <row r="186" spans="1:15" s="2" customFormat="1" x14ac:dyDescent="0.5">
      <c r="A186" s="6">
        <v>40624</v>
      </c>
      <c r="B186" s="1">
        <v>22.73</v>
      </c>
      <c r="C186" s="1">
        <v>22.860001</v>
      </c>
      <c r="D186" s="1">
        <v>22</v>
      </c>
      <c r="E186" s="1">
        <v>22.190000999999999</v>
      </c>
      <c r="F186" s="1">
        <v>22.190000999999999</v>
      </c>
      <c r="G186" s="2">
        <v>582900</v>
      </c>
      <c r="H186" s="2">
        <f t="shared" si="16"/>
        <v>2011</v>
      </c>
      <c r="I186" s="2">
        <f t="shared" si="17"/>
        <v>3</v>
      </c>
      <c r="J186" s="2">
        <f t="shared" si="18"/>
        <v>22</v>
      </c>
      <c r="K186" s="2">
        <f t="shared" si="19"/>
        <v>3</v>
      </c>
      <c r="L186" s="2">
        <f t="shared" si="20"/>
        <v>4</v>
      </c>
      <c r="M186" s="3">
        <f t="shared" si="21"/>
        <v>22.73</v>
      </c>
      <c r="N186" s="1">
        <f t="shared" ca="1" si="22"/>
        <v>22.73</v>
      </c>
      <c r="O186" s="5">
        <f t="shared" si="23"/>
        <v>-2.3757105147382385E-2</v>
      </c>
    </row>
    <row r="187" spans="1:15" s="2" customFormat="1" x14ac:dyDescent="0.5">
      <c r="A187" s="6">
        <v>40625</v>
      </c>
      <c r="B187" s="1">
        <v>22.110001</v>
      </c>
      <c r="C187" s="1">
        <v>22.27</v>
      </c>
      <c r="D187" s="1">
        <v>21.77</v>
      </c>
      <c r="E187" s="1">
        <v>22.209999</v>
      </c>
      <c r="F187" s="1">
        <v>22.209999</v>
      </c>
      <c r="G187" s="2">
        <v>422800</v>
      </c>
      <c r="H187" s="2">
        <f t="shared" si="16"/>
        <v>2011</v>
      </c>
      <c r="I187" s="2">
        <f t="shared" si="17"/>
        <v>3</v>
      </c>
      <c r="J187" s="2">
        <f t="shared" si="18"/>
        <v>23</v>
      </c>
      <c r="K187" s="2">
        <f t="shared" si="19"/>
        <v>4</v>
      </c>
      <c r="L187" s="2">
        <f t="shared" si="20"/>
        <v>4</v>
      </c>
      <c r="M187" s="3">
        <f t="shared" si="21"/>
        <v>22.190000999999999</v>
      </c>
      <c r="N187" s="1">
        <f t="shared" ca="1" si="22"/>
        <v>22.190000999999999</v>
      </c>
      <c r="O187" s="5">
        <f t="shared" si="23"/>
        <v>9.0121672369458672E-4</v>
      </c>
    </row>
    <row r="188" spans="1:15" s="2" customFormat="1" x14ac:dyDescent="0.5">
      <c r="A188" s="6">
        <v>40626</v>
      </c>
      <c r="B188" s="1">
        <v>22.139999</v>
      </c>
      <c r="C188" s="1">
        <v>22.379999000000002</v>
      </c>
      <c r="D188" s="1">
        <v>21.98</v>
      </c>
      <c r="E188" s="1">
        <v>22.33</v>
      </c>
      <c r="F188" s="1">
        <v>22.33</v>
      </c>
      <c r="G188" s="2">
        <v>462200</v>
      </c>
      <c r="H188" s="2">
        <f t="shared" si="16"/>
        <v>2011</v>
      </c>
      <c r="I188" s="2">
        <f t="shared" si="17"/>
        <v>3</v>
      </c>
      <c r="J188" s="2">
        <f t="shared" si="18"/>
        <v>24</v>
      </c>
      <c r="K188" s="2">
        <f t="shared" si="19"/>
        <v>5</v>
      </c>
      <c r="L188" s="2">
        <f t="shared" si="20"/>
        <v>4</v>
      </c>
      <c r="M188" s="3">
        <f t="shared" si="21"/>
        <v>22.209999</v>
      </c>
      <c r="N188" s="1">
        <f t="shared" ca="1" si="22"/>
        <v>22.209999</v>
      </c>
      <c r="O188" s="5">
        <f t="shared" si="23"/>
        <v>5.4030169024319452E-3</v>
      </c>
    </row>
    <row r="189" spans="1:15" s="2" customFormat="1" x14ac:dyDescent="0.5">
      <c r="A189" s="6">
        <v>40627</v>
      </c>
      <c r="B189" s="1">
        <v>22.43</v>
      </c>
      <c r="C189" s="1">
        <v>23</v>
      </c>
      <c r="D189" s="1">
        <v>22.4</v>
      </c>
      <c r="E189" s="1">
        <v>22.75</v>
      </c>
      <c r="F189" s="1">
        <v>22.75</v>
      </c>
      <c r="G189" s="2">
        <v>568000</v>
      </c>
      <c r="H189" s="2">
        <f t="shared" si="16"/>
        <v>2011</v>
      </c>
      <c r="I189" s="2">
        <f t="shared" si="17"/>
        <v>3</v>
      </c>
      <c r="J189" s="2">
        <f t="shared" si="18"/>
        <v>25</v>
      </c>
      <c r="K189" s="2">
        <f t="shared" si="19"/>
        <v>6</v>
      </c>
      <c r="L189" s="2">
        <f t="shared" si="20"/>
        <v>4</v>
      </c>
      <c r="M189" s="3">
        <f t="shared" si="21"/>
        <v>22.33</v>
      </c>
      <c r="N189" s="1">
        <f t="shared" ca="1" si="22"/>
        <v>22.33</v>
      </c>
      <c r="O189" s="5">
        <f t="shared" si="23"/>
        <v>1.8808777429467183E-2</v>
      </c>
    </row>
    <row r="190" spans="1:15" s="2" customFormat="1" x14ac:dyDescent="0.5">
      <c r="A190" s="6">
        <v>40630</v>
      </c>
      <c r="B190" s="1">
        <v>22.700001</v>
      </c>
      <c r="C190" s="1">
        <v>23.540001</v>
      </c>
      <c r="D190" s="1">
        <v>22.549999</v>
      </c>
      <c r="E190" s="1">
        <v>23.25</v>
      </c>
      <c r="F190" s="1">
        <v>23.25</v>
      </c>
      <c r="G190" s="2">
        <v>1058100</v>
      </c>
      <c r="H190" s="2">
        <f t="shared" si="16"/>
        <v>2011</v>
      </c>
      <c r="I190" s="2">
        <f t="shared" si="17"/>
        <v>3</v>
      </c>
      <c r="J190" s="2">
        <f t="shared" si="18"/>
        <v>28</v>
      </c>
      <c r="K190" s="2">
        <f t="shared" si="19"/>
        <v>2</v>
      </c>
      <c r="L190" s="2">
        <f t="shared" si="20"/>
        <v>4</v>
      </c>
      <c r="M190" s="3">
        <f t="shared" si="21"/>
        <v>22.75</v>
      </c>
      <c r="N190" s="1">
        <f t="shared" ca="1" si="22"/>
        <v>22.75</v>
      </c>
      <c r="O190" s="5">
        <f t="shared" si="23"/>
        <v>2.19780219780219E-2</v>
      </c>
    </row>
    <row r="191" spans="1:15" s="2" customFormat="1" x14ac:dyDescent="0.5">
      <c r="A191" s="6">
        <v>40631</v>
      </c>
      <c r="B191" s="1">
        <v>23.299999</v>
      </c>
      <c r="C191" s="1">
        <v>24</v>
      </c>
      <c r="D191" s="1">
        <v>23.209999</v>
      </c>
      <c r="E191" s="1">
        <v>23.92</v>
      </c>
      <c r="F191" s="1">
        <v>23.92</v>
      </c>
      <c r="G191" s="2">
        <v>755400</v>
      </c>
      <c r="H191" s="2">
        <f t="shared" si="16"/>
        <v>2011</v>
      </c>
      <c r="I191" s="2">
        <f t="shared" si="17"/>
        <v>3</v>
      </c>
      <c r="J191" s="2">
        <f t="shared" si="18"/>
        <v>29</v>
      </c>
      <c r="K191" s="2">
        <f t="shared" si="19"/>
        <v>3</v>
      </c>
      <c r="L191" s="2">
        <f t="shared" si="20"/>
        <v>4</v>
      </c>
      <c r="M191" s="3">
        <f t="shared" si="21"/>
        <v>23.25</v>
      </c>
      <c r="N191" s="1">
        <f t="shared" ca="1" si="22"/>
        <v>23.25</v>
      </c>
      <c r="O191" s="5">
        <f t="shared" si="23"/>
        <v>2.8817204301075261E-2</v>
      </c>
    </row>
    <row r="192" spans="1:15" s="2" customFormat="1" x14ac:dyDescent="0.5">
      <c r="A192" s="6">
        <v>40632</v>
      </c>
      <c r="B192" s="1">
        <v>24.110001</v>
      </c>
      <c r="C192" s="1">
        <v>24.49</v>
      </c>
      <c r="D192" s="1">
        <v>23.01</v>
      </c>
      <c r="E192" s="1">
        <v>23.709999</v>
      </c>
      <c r="F192" s="1">
        <v>23.709999</v>
      </c>
      <c r="G192" s="2">
        <v>1223300</v>
      </c>
      <c r="H192" s="2">
        <f t="shared" si="16"/>
        <v>2011</v>
      </c>
      <c r="I192" s="2">
        <f t="shared" si="17"/>
        <v>3</v>
      </c>
      <c r="J192" s="2">
        <f t="shared" si="18"/>
        <v>30</v>
      </c>
      <c r="K192" s="2">
        <f t="shared" si="19"/>
        <v>4</v>
      </c>
      <c r="L192" s="2">
        <f t="shared" si="20"/>
        <v>4</v>
      </c>
      <c r="M192" s="3">
        <f t="shared" si="21"/>
        <v>23.92</v>
      </c>
      <c r="N192" s="1">
        <f t="shared" ca="1" si="22"/>
        <v>23.92</v>
      </c>
      <c r="O192" s="5">
        <f t="shared" si="23"/>
        <v>-8.7793060200669348E-3</v>
      </c>
    </row>
    <row r="193" spans="1:15" s="2" customFormat="1" x14ac:dyDescent="0.5">
      <c r="A193" s="6">
        <v>40633</v>
      </c>
      <c r="B193" s="1">
        <v>26.549999</v>
      </c>
      <c r="C193" s="1">
        <v>28.709999</v>
      </c>
      <c r="D193" s="1">
        <v>26.5</v>
      </c>
      <c r="E193" s="1">
        <v>27.75</v>
      </c>
      <c r="F193" s="1">
        <v>27.75</v>
      </c>
      <c r="G193" s="2">
        <v>11517800</v>
      </c>
      <c r="H193" s="2">
        <f t="shared" si="16"/>
        <v>2011</v>
      </c>
      <c r="I193" s="2">
        <f t="shared" si="17"/>
        <v>3</v>
      </c>
      <c r="J193" s="2">
        <f t="shared" si="18"/>
        <v>31</v>
      </c>
      <c r="K193" s="2">
        <f t="shared" si="19"/>
        <v>5</v>
      </c>
      <c r="L193" s="2">
        <f t="shared" si="20"/>
        <v>4</v>
      </c>
      <c r="M193" s="3">
        <f t="shared" si="21"/>
        <v>23.709999</v>
      </c>
      <c r="N193" s="1">
        <f t="shared" ca="1" si="22"/>
        <v>23.709999</v>
      </c>
      <c r="O193" s="5">
        <f t="shared" si="23"/>
        <v>0.17039228892417912</v>
      </c>
    </row>
    <row r="194" spans="1:15" s="2" customFormat="1" x14ac:dyDescent="0.5">
      <c r="A194" s="6">
        <v>40634</v>
      </c>
      <c r="B194" s="1">
        <v>27.450001</v>
      </c>
      <c r="C194" s="1">
        <v>28.18</v>
      </c>
      <c r="D194" s="1">
        <v>26.57</v>
      </c>
      <c r="E194" s="1">
        <v>26.66</v>
      </c>
      <c r="F194" s="1">
        <v>26.66</v>
      </c>
      <c r="G194" s="2">
        <v>2864800</v>
      </c>
      <c r="H194" s="2">
        <f t="shared" ref="H194:H257" si="24">YEAR(A194)</f>
        <v>2011</v>
      </c>
      <c r="I194" s="2">
        <f t="shared" ref="I194:I257" si="25">MONTH(A194)</f>
        <v>4</v>
      </c>
      <c r="J194" s="2">
        <f t="shared" ref="J194:J257" si="26">DAY(A194)</f>
        <v>1</v>
      </c>
      <c r="K194" s="2">
        <f t="shared" ref="K194:K257" si="27">WEEKDAY(A194)</f>
        <v>6</v>
      </c>
      <c r="L194" s="2">
        <f t="shared" si="20"/>
        <v>5</v>
      </c>
      <c r="M194" s="3">
        <f t="shared" si="21"/>
        <v>27.75</v>
      </c>
      <c r="N194" s="1">
        <f t="shared" ca="1" si="22"/>
        <v>27.75</v>
      </c>
      <c r="O194" s="5">
        <f t="shared" si="23"/>
        <v>-3.9279279279279322E-2</v>
      </c>
    </row>
    <row r="195" spans="1:15" s="2" customFormat="1" x14ac:dyDescent="0.5">
      <c r="A195" s="6">
        <v>40637</v>
      </c>
      <c r="B195" s="1">
        <v>26.83</v>
      </c>
      <c r="C195" s="1">
        <v>27</v>
      </c>
      <c r="D195" s="1">
        <v>25.23</v>
      </c>
      <c r="E195" s="1">
        <v>25.83</v>
      </c>
      <c r="F195" s="1">
        <v>25.83</v>
      </c>
      <c r="G195" s="2">
        <v>2609300</v>
      </c>
      <c r="H195" s="2">
        <f t="shared" si="24"/>
        <v>2011</v>
      </c>
      <c r="I195" s="2">
        <f t="shared" si="25"/>
        <v>4</v>
      </c>
      <c r="J195" s="2">
        <f t="shared" si="26"/>
        <v>4</v>
      </c>
      <c r="K195" s="2">
        <f t="shared" si="27"/>
        <v>2</v>
      </c>
      <c r="L195" s="2">
        <f t="shared" ref="L195:L258" si="28">I195+1</f>
        <v>5</v>
      </c>
      <c r="M195" s="3">
        <f t="shared" ref="M195:M258" si="29">F194</f>
        <v>26.66</v>
      </c>
      <c r="N195" s="1">
        <f t="shared" ref="N195:N258" ca="1" si="30">OFFSET(F195, -1, 0)</f>
        <v>26.66</v>
      </c>
      <c r="O195" s="5">
        <f t="shared" ref="O195:O258" si="31">(F195/M195)-1</f>
        <v>-3.1132783195799041E-2</v>
      </c>
    </row>
    <row r="196" spans="1:15" s="2" customFormat="1" x14ac:dyDescent="0.5">
      <c r="A196" s="6">
        <v>40638</v>
      </c>
      <c r="B196" s="1">
        <v>25.9</v>
      </c>
      <c r="C196" s="1">
        <v>27</v>
      </c>
      <c r="D196" s="1">
        <v>25.690000999999999</v>
      </c>
      <c r="E196" s="1">
        <v>26.700001</v>
      </c>
      <c r="F196" s="1">
        <v>26.700001</v>
      </c>
      <c r="G196" s="2">
        <v>3180900</v>
      </c>
      <c r="H196" s="2">
        <f t="shared" si="24"/>
        <v>2011</v>
      </c>
      <c r="I196" s="2">
        <f t="shared" si="25"/>
        <v>4</v>
      </c>
      <c r="J196" s="2">
        <f t="shared" si="26"/>
        <v>5</v>
      </c>
      <c r="K196" s="2">
        <f t="shared" si="27"/>
        <v>3</v>
      </c>
      <c r="L196" s="2">
        <f t="shared" si="28"/>
        <v>5</v>
      </c>
      <c r="M196" s="3">
        <f t="shared" si="29"/>
        <v>25.83</v>
      </c>
      <c r="N196" s="1">
        <f t="shared" ca="1" si="30"/>
        <v>25.83</v>
      </c>
      <c r="O196" s="5">
        <f t="shared" si="31"/>
        <v>3.3681804103755431E-2</v>
      </c>
    </row>
    <row r="197" spans="1:15" s="2" customFormat="1" x14ac:dyDescent="0.5">
      <c r="A197" s="6">
        <v>40639</v>
      </c>
      <c r="B197" s="1">
        <v>26.99</v>
      </c>
      <c r="C197" s="1">
        <v>27.01</v>
      </c>
      <c r="D197" s="1">
        <v>25.799999</v>
      </c>
      <c r="E197" s="1">
        <v>26.49</v>
      </c>
      <c r="F197" s="1">
        <v>26.49</v>
      </c>
      <c r="G197" s="2">
        <v>1288300</v>
      </c>
      <c r="H197" s="2">
        <f t="shared" si="24"/>
        <v>2011</v>
      </c>
      <c r="I197" s="2">
        <f t="shared" si="25"/>
        <v>4</v>
      </c>
      <c r="J197" s="2">
        <f t="shared" si="26"/>
        <v>6</v>
      </c>
      <c r="K197" s="2">
        <f t="shared" si="27"/>
        <v>4</v>
      </c>
      <c r="L197" s="2">
        <f t="shared" si="28"/>
        <v>5</v>
      </c>
      <c r="M197" s="3">
        <f t="shared" si="29"/>
        <v>26.700001</v>
      </c>
      <c r="N197" s="1">
        <f t="shared" ca="1" si="30"/>
        <v>26.700001</v>
      </c>
      <c r="O197" s="5">
        <f t="shared" si="31"/>
        <v>-7.8652056979324758E-3</v>
      </c>
    </row>
    <row r="198" spans="1:15" s="2" customFormat="1" x14ac:dyDescent="0.5">
      <c r="A198" s="6">
        <v>40640</v>
      </c>
      <c r="B198" s="1">
        <v>26.85</v>
      </c>
      <c r="C198" s="1">
        <v>27.940000999999999</v>
      </c>
      <c r="D198" s="1">
        <v>26.450001</v>
      </c>
      <c r="E198" s="1">
        <v>27.24</v>
      </c>
      <c r="F198" s="1">
        <v>27.24</v>
      </c>
      <c r="G198" s="2">
        <v>2810300</v>
      </c>
      <c r="H198" s="2">
        <f t="shared" si="24"/>
        <v>2011</v>
      </c>
      <c r="I198" s="2">
        <f t="shared" si="25"/>
        <v>4</v>
      </c>
      <c r="J198" s="2">
        <f t="shared" si="26"/>
        <v>7</v>
      </c>
      <c r="K198" s="2">
        <f t="shared" si="27"/>
        <v>5</v>
      </c>
      <c r="L198" s="2">
        <f t="shared" si="28"/>
        <v>5</v>
      </c>
      <c r="M198" s="3">
        <f t="shared" si="29"/>
        <v>26.49</v>
      </c>
      <c r="N198" s="1">
        <f t="shared" ca="1" si="30"/>
        <v>26.49</v>
      </c>
      <c r="O198" s="5">
        <f t="shared" si="31"/>
        <v>2.8312570781426905E-2</v>
      </c>
    </row>
    <row r="199" spans="1:15" s="2" customFormat="1" x14ac:dyDescent="0.5">
      <c r="A199" s="6">
        <v>40641</v>
      </c>
      <c r="B199" s="1">
        <v>27.58</v>
      </c>
      <c r="C199" s="1">
        <v>27.6</v>
      </c>
      <c r="D199" s="1">
        <v>26.360001</v>
      </c>
      <c r="E199" s="1">
        <v>26.49</v>
      </c>
      <c r="F199" s="1">
        <v>26.49</v>
      </c>
      <c r="G199" s="2">
        <v>1946400</v>
      </c>
      <c r="H199" s="2">
        <f t="shared" si="24"/>
        <v>2011</v>
      </c>
      <c r="I199" s="2">
        <f t="shared" si="25"/>
        <v>4</v>
      </c>
      <c r="J199" s="2">
        <f t="shared" si="26"/>
        <v>8</v>
      </c>
      <c r="K199" s="2">
        <f t="shared" si="27"/>
        <v>6</v>
      </c>
      <c r="L199" s="2">
        <f t="shared" si="28"/>
        <v>5</v>
      </c>
      <c r="M199" s="3">
        <f t="shared" si="29"/>
        <v>27.24</v>
      </c>
      <c r="N199" s="1">
        <f t="shared" ca="1" si="30"/>
        <v>27.24</v>
      </c>
      <c r="O199" s="5">
        <f t="shared" si="31"/>
        <v>-2.753303964757714E-2</v>
      </c>
    </row>
    <row r="200" spans="1:15" s="2" customFormat="1" x14ac:dyDescent="0.5">
      <c r="A200" s="6">
        <v>40644</v>
      </c>
      <c r="B200" s="1">
        <v>26.469999000000001</v>
      </c>
      <c r="C200" s="1">
        <v>26.530000999999999</v>
      </c>
      <c r="D200" s="1">
        <v>25.02</v>
      </c>
      <c r="E200" s="1">
        <v>25.27</v>
      </c>
      <c r="F200" s="1">
        <v>25.27</v>
      </c>
      <c r="G200" s="2">
        <v>1369400</v>
      </c>
      <c r="H200" s="2">
        <f t="shared" si="24"/>
        <v>2011</v>
      </c>
      <c r="I200" s="2">
        <f t="shared" si="25"/>
        <v>4</v>
      </c>
      <c r="J200" s="2">
        <f t="shared" si="26"/>
        <v>11</v>
      </c>
      <c r="K200" s="2">
        <f t="shared" si="27"/>
        <v>2</v>
      </c>
      <c r="L200" s="2">
        <f t="shared" si="28"/>
        <v>5</v>
      </c>
      <c r="M200" s="3">
        <f t="shared" si="29"/>
        <v>26.49</v>
      </c>
      <c r="N200" s="1">
        <f t="shared" ca="1" si="30"/>
        <v>26.49</v>
      </c>
      <c r="O200" s="5">
        <f t="shared" si="31"/>
        <v>-4.6055115137787817E-2</v>
      </c>
    </row>
    <row r="201" spans="1:15" s="2" customFormat="1" x14ac:dyDescent="0.5">
      <c r="A201" s="6">
        <v>40645</v>
      </c>
      <c r="B201" s="1">
        <v>25.08</v>
      </c>
      <c r="C201" s="1">
        <v>25.209999</v>
      </c>
      <c r="D201" s="1">
        <v>24.299999</v>
      </c>
      <c r="E201" s="1">
        <v>24.65</v>
      </c>
      <c r="F201" s="1">
        <v>24.65</v>
      </c>
      <c r="G201" s="2">
        <v>1357400</v>
      </c>
      <c r="H201" s="2">
        <f t="shared" si="24"/>
        <v>2011</v>
      </c>
      <c r="I201" s="2">
        <f t="shared" si="25"/>
        <v>4</v>
      </c>
      <c r="J201" s="2">
        <f t="shared" si="26"/>
        <v>12</v>
      </c>
      <c r="K201" s="2">
        <f t="shared" si="27"/>
        <v>3</v>
      </c>
      <c r="L201" s="2">
        <f t="shared" si="28"/>
        <v>5</v>
      </c>
      <c r="M201" s="3">
        <f t="shared" si="29"/>
        <v>25.27</v>
      </c>
      <c r="N201" s="1">
        <f t="shared" ca="1" si="30"/>
        <v>25.27</v>
      </c>
      <c r="O201" s="5">
        <f t="shared" si="31"/>
        <v>-2.4535021764938714E-2</v>
      </c>
    </row>
    <row r="202" spans="1:15" s="2" customFormat="1" x14ac:dyDescent="0.5">
      <c r="A202" s="6">
        <v>40646</v>
      </c>
      <c r="B202" s="1">
        <v>25.129999000000002</v>
      </c>
      <c r="C202" s="1">
        <v>25.690000999999999</v>
      </c>
      <c r="D202" s="1">
        <v>24.809999000000001</v>
      </c>
      <c r="E202" s="1">
        <v>24.93</v>
      </c>
      <c r="F202" s="1">
        <v>24.93</v>
      </c>
      <c r="G202" s="2">
        <v>1211500</v>
      </c>
      <c r="H202" s="2">
        <f t="shared" si="24"/>
        <v>2011</v>
      </c>
      <c r="I202" s="2">
        <f t="shared" si="25"/>
        <v>4</v>
      </c>
      <c r="J202" s="2">
        <f t="shared" si="26"/>
        <v>13</v>
      </c>
      <c r="K202" s="2">
        <f t="shared" si="27"/>
        <v>4</v>
      </c>
      <c r="L202" s="2">
        <f t="shared" si="28"/>
        <v>5</v>
      </c>
      <c r="M202" s="3">
        <f t="shared" si="29"/>
        <v>24.65</v>
      </c>
      <c r="N202" s="1">
        <f t="shared" ca="1" si="30"/>
        <v>24.65</v>
      </c>
      <c r="O202" s="5">
        <f t="shared" si="31"/>
        <v>1.1359026369168301E-2</v>
      </c>
    </row>
    <row r="203" spans="1:15" s="2" customFormat="1" x14ac:dyDescent="0.5">
      <c r="A203" s="6">
        <v>40647</v>
      </c>
      <c r="B203" s="1">
        <v>24.870000999999998</v>
      </c>
      <c r="C203" s="1">
        <v>25.280000999999999</v>
      </c>
      <c r="D203" s="1">
        <v>24.200001</v>
      </c>
      <c r="E203" s="1">
        <v>25.139999</v>
      </c>
      <c r="F203" s="1">
        <v>25.139999</v>
      </c>
      <c r="G203" s="2">
        <v>983400</v>
      </c>
      <c r="H203" s="2">
        <f t="shared" si="24"/>
        <v>2011</v>
      </c>
      <c r="I203" s="2">
        <f t="shared" si="25"/>
        <v>4</v>
      </c>
      <c r="J203" s="2">
        <f t="shared" si="26"/>
        <v>14</v>
      </c>
      <c r="K203" s="2">
        <f t="shared" si="27"/>
        <v>5</v>
      </c>
      <c r="L203" s="2">
        <f t="shared" si="28"/>
        <v>5</v>
      </c>
      <c r="M203" s="3">
        <f t="shared" si="29"/>
        <v>24.93</v>
      </c>
      <c r="N203" s="1">
        <f t="shared" ca="1" si="30"/>
        <v>24.93</v>
      </c>
      <c r="O203" s="5">
        <f t="shared" si="31"/>
        <v>8.4235459286001735E-3</v>
      </c>
    </row>
    <row r="204" spans="1:15" s="2" customFormat="1" x14ac:dyDescent="0.5">
      <c r="A204" s="6">
        <v>40648</v>
      </c>
      <c r="B204" s="1">
        <v>25.65</v>
      </c>
      <c r="C204" s="1">
        <v>26.18</v>
      </c>
      <c r="D204" s="1">
        <v>25.41</v>
      </c>
      <c r="E204" s="1">
        <v>25.58</v>
      </c>
      <c r="F204" s="1">
        <v>25.58</v>
      </c>
      <c r="G204" s="2">
        <v>943500</v>
      </c>
      <c r="H204" s="2">
        <f t="shared" si="24"/>
        <v>2011</v>
      </c>
      <c r="I204" s="2">
        <f t="shared" si="25"/>
        <v>4</v>
      </c>
      <c r="J204" s="2">
        <f t="shared" si="26"/>
        <v>15</v>
      </c>
      <c r="K204" s="2">
        <f t="shared" si="27"/>
        <v>6</v>
      </c>
      <c r="L204" s="2">
        <f t="shared" si="28"/>
        <v>5</v>
      </c>
      <c r="M204" s="3">
        <f t="shared" si="29"/>
        <v>25.139999</v>
      </c>
      <c r="N204" s="1">
        <f t="shared" ca="1" si="30"/>
        <v>25.139999</v>
      </c>
      <c r="O204" s="5">
        <f t="shared" si="31"/>
        <v>1.7502029335800584E-2</v>
      </c>
    </row>
    <row r="205" spans="1:15" s="2" customFormat="1" x14ac:dyDescent="0.5">
      <c r="A205" s="6">
        <v>40651</v>
      </c>
      <c r="B205" s="1">
        <v>25.129999000000002</v>
      </c>
      <c r="C205" s="1">
        <v>25.620000999999998</v>
      </c>
      <c r="D205" s="1">
        <v>24.360001</v>
      </c>
      <c r="E205" s="1">
        <v>25.030000999999999</v>
      </c>
      <c r="F205" s="1">
        <v>25.030000999999999</v>
      </c>
      <c r="G205" s="2">
        <v>1033900</v>
      </c>
      <c r="H205" s="2">
        <f t="shared" si="24"/>
        <v>2011</v>
      </c>
      <c r="I205" s="2">
        <f t="shared" si="25"/>
        <v>4</v>
      </c>
      <c r="J205" s="2">
        <f t="shared" si="26"/>
        <v>18</v>
      </c>
      <c r="K205" s="2">
        <f t="shared" si="27"/>
        <v>2</v>
      </c>
      <c r="L205" s="2">
        <f t="shared" si="28"/>
        <v>5</v>
      </c>
      <c r="M205" s="3">
        <f t="shared" si="29"/>
        <v>25.58</v>
      </c>
      <c r="N205" s="1">
        <f t="shared" ca="1" si="30"/>
        <v>25.58</v>
      </c>
      <c r="O205" s="5">
        <f t="shared" si="31"/>
        <v>-2.1501133698201724E-2</v>
      </c>
    </row>
    <row r="206" spans="1:15" s="2" customFormat="1" x14ac:dyDescent="0.5">
      <c r="A206" s="6">
        <v>40652</v>
      </c>
      <c r="B206" s="1">
        <v>25.26</v>
      </c>
      <c r="C206" s="1">
        <v>25.26</v>
      </c>
      <c r="D206" s="1">
        <v>24.65</v>
      </c>
      <c r="E206" s="1">
        <v>25.16</v>
      </c>
      <c r="F206" s="1">
        <v>25.16</v>
      </c>
      <c r="G206" s="2">
        <v>548700</v>
      </c>
      <c r="H206" s="2">
        <f t="shared" si="24"/>
        <v>2011</v>
      </c>
      <c r="I206" s="2">
        <f t="shared" si="25"/>
        <v>4</v>
      </c>
      <c r="J206" s="2">
        <f t="shared" si="26"/>
        <v>19</v>
      </c>
      <c r="K206" s="2">
        <f t="shared" si="27"/>
        <v>3</v>
      </c>
      <c r="L206" s="2">
        <f t="shared" si="28"/>
        <v>5</v>
      </c>
      <c r="M206" s="3">
        <f t="shared" si="29"/>
        <v>25.030000999999999</v>
      </c>
      <c r="N206" s="1">
        <f t="shared" ca="1" si="30"/>
        <v>25.030000999999999</v>
      </c>
      <c r="O206" s="5">
        <f t="shared" si="31"/>
        <v>5.1937273194675448E-3</v>
      </c>
    </row>
    <row r="207" spans="1:15" s="2" customFormat="1" x14ac:dyDescent="0.5">
      <c r="A207" s="6">
        <v>40653</v>
      </c>
      <c r="B207" s="1">
        <v>25.700001</v>
      </c>
      <c r="C207" s="1">
        <v>26.09</v>
      </c>
      <c r="D207" s="1">
        <v>25.299999</v>
      </c>
      <c r="E207" s="1">
        <v>25.75</v>
      </c>
      <c r="F207" s="1">
        <v>25.75</v>
      </c>
      <c r="G207" s="2">
        <v>837200</v>
      </c>
      <c r="H207" s="2">
        <f t="shared" si="24"/>
        <v>2011</v>
      </c>
      <c r="I207" s="2">
        <f t="shared" si="25"/>
        <v>4</v>
      </c>
      <c r="J207" s="2">
        <f t="shared" si="26"/>
        <v>20</v>
      </c>
      <c r="K207" s="2">
        <f t="shared" si="27"/>
        <v>4</v>
      </c>
      <c r="L207" s="2">
        <f t="shared" si="28"/>
        <v>5</v>
      </c>
      <c r="M207" s="3">
        <f t="shared" si="29"/>
        <v>25.16</v>
      </c>
      <c r="N207" s="1">
        <f t="shared" ca="1" si="30"/>
        <v>25.16</v>
      </c>
      <c r="O207" s="5">
        <f t="shared" si="31"/>
        <v>2.3449920508743949E-2</v>
      </c>
    </row>
    <row r="208" spans="1:15" s="2" customFormat="1" x14ac:dyDescent="0.5">
      <c r="A208" s="6">
        <v>40654</v>
      </c>
      <c r="B208" s="1">
        <v>25.85</v>
      </c>
      <c r="C208" s="1">
        <v>26.98</v>
      </c>
      <c r="D208" s="1">
        <v>25.59</v>
      </c>
      <c r="E208" s="1">
        <v>26.74</v>
      </c>
      <c r="F208" s="1">
        <v>26.74</v>
      </c>
      <c r="G208" s="2">
        <v>1386100</v>
      </c>
      <c r="H208" s="2">
        <f t="shared" si="24"/>
        <v>2011</v>
      </c>
      <c r="I208" s="2">
        <f t="shared" si="25"/>
        <v>4</v>
      </c>
      <c r="J208" s="2">
        <f t="shared" si="26"/>
        <v>21</v>
      </c>
      <c r="K208" s="2">
        <f t="shared" si="27"/>
        <v>5</v>
      </c>
      <c r="L208" s="2">
        <f t="shared" si="28"/>
        <v>5</v>
      </c>
      <c r="M208" s="3">
        <f t="shared" si="29"/>
        <v>25.75</v>
      </c>
      <c r="N208" s="1">
        <f t="shared" ca="1" si="30"/>
        <v>25.75</v>
      </c>
      <c r="O208" s="5">
        <f t="shared" si="31"/>
        <v>3.8446601941747538E-2</v>
      </c>
    </row>
    <row r="209" spans="1:15" s="2" customFormat="1" x14ac:dyDescent="0.5">
      <c r="A209" s="6">
        <v>40658</v>
      </c>
      <c r="B209" s="1">
        <v>26.700001</v>
      </c>
      <c r="C209" s="1">
        <v>26.73</v>
      </c>
      <c r="D209" s="1">
        <v>25.969999000000001</v>
      </c>
      <c r="E209" s="1">
        <v>26.389999</v>
      </c>
      <c r="F209" s="1">
        <v>26.389999</v>
      </c>
      <c r="G209" s="2">
        <v>800900</v>
      </c>
      <c r="H209" s="2">
        <f t="shared" si="24"/>
        <v>2011</v>
      </c>
      <c r="I209" s="2">
        <f t="shared" si="25"/>
        <v>4</v>
      </c>
      <c r="J209" s="2">
        <f t="shared" si="26"/>
        <v>25</v>
      </c>
      <c r="K209" s="2">
        <f t="shared" si="27"/>
        <v>2</v>
      </c>
      <c r="L209" s="2">
        <f t="shared" si="28"/>
        <v>5</v>
      </c>
      <c r="M209" s="3">
        <f t="shared" si="29"/>
        <v>26.74</v>
      </c>
      <c r="N209" s="1">
        <f t="shared" ca="1" si="30"/>
        <v>26.74</v>
      </c>
      <c r="O209" s="5">
        <f t="shared" si="31"/>
        <v>-1.3089042632759895E-2</v>
      </c>
    </row>
    <row r="210" spans="1:15" s="2" customFormat="1" x14ac:dyDescent="0.5">
      <c r="A210" s="6">
        <v>40659</v>
      </c>
      <c r="B210" s="1">
        <v>26.66</v>
      </c>
      <c r="C210" s="1">
        <v>27.25</v>
      </c>
      <c r="D210" s="1">
        <v>26.309999000000001</v>
      </c>
      <c r="E210" s="1">
        <v>26.93</v>
      </c>
      <c r="F210" s="1">
        <v>26.93</v>
      </c>
      <c r="G210" s="2">
        <v>1400000</v>
      </c>
      <c r="H210" s="2">
        <f t="shared" si="24"/>
        <v>2011</v>
      </c>
      <c r="I210" s="2">
        <f t="shared" si="25"/>
        <v>4</v>
      </c>
      <c r="J210" s="2">
        <f t="shared" si="26"/>
        <v>26</v>
      </c>
      <c r="K210" s="2">
        <f t="shared" si="27"/>
        <v>3</v>
      </c>
      <c r="L210" s="2">
        <f t="shared" si="28"/>
        <v>5</v>
      </c>
      <c r="M210" s="3">
        <f t="shared" si="29"/>
        <v>26.389999</v>
      </c>
      <c r="N210" s="1">
        <f t="shared" ca="1" si="30"/>
        <v>26.389999</v>
      </c>
      <c r="O210" s="5">
        <f t="shared" si="31"/>
        <v>2.0462334992888742E-2</v>
      </c>
    </row>
    <row r="211" spans="1:15" s="2" customFormat="1" x14ac:dyDescent="0.5">
      <c r="A211" s="6">
        <v>40660</v>
      </c>
      <c r="B211" s="1">
        <v>26.93</v>
      </c>
      <c r="C211" s="1">
        <v>27.360001</v>
      </c>
      <c r="D211" s="1">
        <v>26.629999000000002</v>
      </c>
      <c r="E211" s="1">
        <v>27.08</v>
      </c>
      <c r="F211" s="1">
        <v>27.08</v>
      </c>
      <c r="G211" s="2">
        <v>996900</v>
      </c>
      <c r="H211" s="2">
        <f t="shared" si="24"/>
        <v>2011</v>
      </c>
      <c r="I211" s="2">
        <f t="shared" si="25"/>
        <v>4</v>
      </c>
      <c r="J211" s="2">
        <f t="shared" si="26"/>
        <v>27</v>
      </c>
      <c r="K211" s="2">
        <f t="shared" si="27"/>
        <v>4</v>
      </c>
      <c r="L211" s="2">
        <f t="shared" si="28"/>
        <v>5</v>
      </c>
      <c r="M211" s="3">
        <f t="shared" si="29"/>
        <v>26.93</v>
      </c>
      <c r="N211" s="1">
        <f t="shared" ca="1" si="30"/>
        <v>26.93</v>
      </c>
      <c r="O211" s="5">
        <f t="shared" si="31"/>
        <v>5.5699962866690989E-3</v>
      </c>
    </row>
    <row r="212" spans="1:15" s="2" customFormat="1" x14ac:dyDescent="0.5">
      <c r="A212" s="6">
        <v>40661</v>
      </c>
      <c r="B212" s="1">
        <v>27.07</v>
      </c>
      <c r="C212" s="1">
        <v>27.690000999999999</v>
      </c>
      <c r="D212" s="1">
        <v>26.719999000000001</v>
      </c>
      <c r="E212" s="1">
        <v>27.66</v>
      </c>
      <c r="F212" s="1">
        <v>27.66</v>
      </c>
      <c r="G212" s="2">
        <v>1600000</v>
      </c>
      <c r="H212" s="2">
        <f t="shared" si="24"/>
        <v>2011</v>
      </c>
      <c r="I212" s="2">
        <f t="shared" si="25"/>
        <v>4</v>
      </c>
      <c r="J212" s="2">
        <f t="shared" si="26"/>
        <v>28</v>
      </c>
      <c r="K212" s="2">
        <f t="shared" si="27"/>
        <v>5</v>
      </c>
      <c r="L212" s="2">
        <f t="shared" si="28"/>
        <v>5</v>
      </c>
      <c r="M212" s="3">
        <f t="shared" si="29"/>
        <v>27.08</v>
      </c>
      <c r="N212" s="1">
        <f t="shared" ca="1" si="30"/>
        <v>27.08</v>
      </c>
      <c r="O212" s="5">
        <f t="shared" si="31"/>
        <v>2.1418020679468297E-2</v>
      </c>
    </row>
    <row r="213" spans="1:15" s="2" customFormat="1" x14ac:dyDescent="0.5">
      <c r="A213" s="6">
        <v>40662</v>
      </c>
      <c r="B213" s="1">
        <v>27.690000999999999</v>
      </c>
      <c r="C213" s="1">
        <v>27.870000999999998</v>
      </c>
      <c r="D213" s="1">
        <v>27.42</v>
      </c>
      <c r="E213" s="1">
        <v>27.6</v>
      </c>
      <c r="F213" s="1">
        <v>27.6</v>
      </c>
      <c r="G213" s="2">
        <v>726000</v>
      </c>
      <c r="H213" s="2">
        <f t="shared" si="24"/>
        <v>2011</v>
      </c>
      <c r="I213" s="2">
        <f t="shared" si="25"/>
        <v>4</v>
      </c>
      <c r="J213" s="2">
        <f t="shared" si="26"/>
        <v>29</v>
      </c>
      <c r="K213" s="2">
        <f t="shared" si="27"/>
        <v>6</v>
      </c>
      <c r="L213" s="2">
        <f t="shared" si="28"/>
        <v>5</v>
      </c>
      <c r="M213" s="3">
        <f t="shared" si="29"/>
        <v>27.66</v>
      </c>
      <c r="N213" s="1">
        <f t="shared" ca="1" si="30"/>
        <v>27.66</v>
      </c>
      <c r="O213" s="5">
        <f t="shared" si="31"/>
        <v>-2.1691973969630851E-3</v>
      </c>
    </row>
    <row r="214" spans="1:15" s="2" customFormat="1" x14ac:dyDescent="0.5">
      <c r="A214" s="6">
        <v>40665</v>
      </c>
      <c r="B214" s="1">
        <v>27.6</v>
      </c>
      <c r="C214" s="1">
        <v>27.799999</v>
      </c>
      <c r="D214" s="1">
        <v>27.059999000000001</v>
      </c>
      <c r="E214" s="1">
        <v>27.450001</v>
      </c>
      <c r="F214" s="1">
        <v>27.450001</v>
      </c>
      <c r="G214" s="2">
        <v>784600</v>
      </c>
      <c r="H214" s="2">
        <f t="shared" si="24"/>
        <v>2011</v>
      </c>
      <c r="I214" s="2">
        <f t="shared" si="25"/>
        <v>5</v>
      </c>
      <c r="J214" s="2">
        <f t="shared" si="26"/>
        <v>2</v>
      </c>
      <c r="K214" s="2">
        <f t="shared" si="27"/>
        <v>2</v>
      </c>
      <c r="L214" s="2">
        <f t="shared" si="28"/>
        <v>6</v>
      </c>
      <c r="M214" s="3">
        <f t="shared" si="29"/>
        <v>27.6</v>
      </c>
      <c r="N214" s="1">
        <f t="shared" ca="1" si="30"/>
        <v>27.6</v>
      </c>
      <c r="O214" s="5">
        <f t="shared" si="31"/>
        <v>-5.4347463768116278E-3</v>
      </c>
    </row>
    <row r="215" spans="1:15" s="2" customFormat="1" x14ac:dyDescent="0.5">
      <c r="A215" s="6">
        <v>40666</v>
      </c>
      <c r="B215" s="1">
        <v>27.379999000000002</v>
      </c>
      <c r="C215" s="1">
        <v>27.389999</v>
      </c>
      <c r="D215" s="1">
        <v>26.5</v>
      </c>
      <c r="E215" s="1">
        <v>26.870000999999998</v>
      </c>
      <c r="F215" s="1">
        <v>26.870000999999998</v>
      </c>
      <c r="G215" s="2">
        <v>913900</v>
      </c>
      <c r="H215" s="2">
        <f t="shared" si="24"/>
        <v>2011</v>
      </c>
      <c r="I215" s="2">
        <f t="shared" si="25"/>
        <v>5</v>
      </c>
      <c r="J215" s="2">
        <f t="shared" si="26"/>
        <v>3</v>
      </c>
      <c r="K215" s="2">
        <f t="shared" si="27"/>
        <v>3</v>
      </c>
      <c r="L215" s="2">
        <f t="shared" si="28"/>
        <v>6</v>
      </c>
      <c r="M215" s="3">
        <f t="shared" si="29"/>
        <v>27.450001</v>
      </c>
      <c r="N215" s="1">
        <f t="shared" ca="1" si="30"/>
        <v>27.450001</v>
      </c>
      <c r="O215" s="5">
        <f t="shared" si="31"/>
        <v>-2.1129325277620237E-2</v>
      </c>
    </row>
    <row r="216" spans="1:15" s="2" customFormat="1" x14ac:dyDescent="0.5">
      <c r="A216" s="6">
        <v>40667</v>
      </c>
      <c r="B216" s="1">
        <v>26.780000999999999</v>
      </c>
      <c r="C216" s="1">
        <v>27</v>
      </c>
      <c r="D216" s="1">
        <v>25.75</v>
      </c>
      <c r="E216" s="1">
        <v>26.690000999999999</v>
      </c>
      <c r="F216" s="1">
        <v>26.690000999999999</v>
      </c>
      <c r="G216" s="2">
        <v>1044500</v>
      </c>
      <c r="H216" s="2">
        <f t="shared" si="24"/>
        <v>2011</v>
      </c>
      <c r="I216" s="2">
        <f t="shared" si="25"/>
        <v>5</v>
      </c>
      <c r="J216" s="2">
        <f t="shared" si="26"/>
        <v>4</v>
      </c>
      <c r="K216" s="2">
        <f t="shared" si="27"/>
        <v>4</v>
      </c>
      <c r="L216" s="2">
        <f t="shared" si="28"/>
        <v>6</v>
      </c>
      <c r="M216" s="3">
        <f t="shared" si="29"/>
        <v>26.870000999999998</v>
      </c>
      <c r="N216" s="1">
        <f t="shared" ca="1" si="30"/>
        <v>26.870000999999998</v>
      </c>
      <c r="O216" s="5">
        <f t="shared" si="31"/>
        <v>-6.6989204801294333E-3</v>
      </c>
    </row>
    <row r="217" spans="1:15" s="2" customFormat="1" x14ac:dyDescent="0.5">
      <c r="A217" s="6">
        <v>40668</v>
      </c>
      <c r="B217" s="1">
        <v>27.200001</v>
      </c>
      <c r="C217" s="1">
        <v>27.440000999999999</v>
      </c>
      <c r="D217" s="1">
        <v>26.17</v>
      </c>
      <c r="E217" s="1">
        <v>26.440000999999999</v>
      </c>
      <c r="F217" s="1">
        <v>26.440000999999999</v>
      </c>
      <c r="G217" s="2">
        <v>1218500</v>
      </c>
      <c r="H217" s="2">
        <f t="shared" si="24"/>
        <v>2011</v>
      </c>
      <c r="I217" s="2">
        <f t="shared" si="25"/>
        <v>5</v>
      </c>
      <c r="J217" s="2">
        <f t="shared" si="26"/>
        <v>5</v>
      </c>
      <c r="K217" s="2">
        <f t="shared" si="27"/>
        <v>5</v>
      </c>
      <c r="L217" s="2">
        <f t="shared" si="28"/>
        <v>6</v>
      </c>
      <c r="M217" s="3">
        <f t="shared" si="29"/>
        <v>26.690000999999999</v>
      </c>
      <c r="N217" s="1">
        <f t="shared" ca="1" si="30"/>
        <v>26.690000999999999</v>
      </c>
      <c r="O217" s="5">
        <f t="shared" si="31"/>
        <v>-9.3668036955112388E-3</v>
      </c>
    </row>
    <row r="218" spans="1:15" s="2" customFormat="1" x14ac:dyDescent="0.5">
      <c r="A218" s="6">
        <v>40669</v>
      </c>
      <c r="B218" s="1">
        <v>26.9</v>
      </c>
      <c r="C218" s="1">
        <v>27.700001</v>
      </c>
      <c r="D218" s="1">
        <v>26.620000999999998</v>
      </c>
      <c r="E218" s="1">
        <v>27.120000999999998</v>
      </c>
      <c r="F218" s="1">
        <v>27.120000999999998</v>
      </c>
      <c r="G218" s="2">
        <v>981700</v>
      </c>
      <c r="H218" s="2">
        <f t="shared" si="24"/>
        <v>2011</v>
      </c>
      <c r="I218" s="2">
        <f t="shared" si="25"/>
        <v>5</v>
      </c>
      <c r="J218" s="2">
        <f t="shared" si="26"/>
        <v>6</v>
      </c>
      <c r="K218" s="2">
        <f t="shared" si="27"/>
        <v>6</v>
      </c>
      <c r="L218" s="2">
        <f t="shared" si="28"/>
        <v>6</v>
      </c>
      <c r="M218" s="3">
        <f t="shared" si="29"/>
        <v>26.440000999999999</v>
      </c>
      <c r="N218" s="1">
        <f t="shared" ca="1" si="30"/>
        <v>26.440000999999999</v>
      </c>
      <c r="O218" s="5">
        <f t="shared" si="31"/>
        <v>2.5718607196724363E-2</v>
      </c>
    </row>
    <row r="219" spans="1:15" s="2" customFormat="1" x14ac:dyDescent="0.5">
      <c r="A219" s="6">
        <v>40672</v>
      </c>
      <c r="B219" s="1">
        <v>27</v>
      </c>
      <c r="C219" s="1">
        <v>28</v>
      </c>
      <c r="D219" s="1">
        <v>26.85</v>
      </c>
      <c r="E219" s="1">
        <v>27.91</v>
      </c>
      <c r="F219" s="1">
        <v>27.91</v>
      </c>
      <c r="G219" s="2">
        <v>916400</v>
      </c>
      <c r="H219" s="2">
        <f t="shared" si="24"/>
        <v>2011</v>
      </c>
      <c r="I219" s="2">
        <f t="shared" si="25"/>
        <v>5</v>
      </c>
      <c r="J219" s="2">
        <f t="shared" si="26"/>
        <v>9</v>
      </c>
      <c r="K219" s="2">
        <f t="shared" si="27"/>
        <v>2</v>
      </c>
      <c r="L219" s="2">
        <f t="shared" si="28"/>
        <v>6</v>
      </c>
      <c r="M219" s="3">
        <f t="shared" si="29"/>
        <v>27.120000999999998</v>
      </c>
      <c r="N219" s="1">
        <f t="shared" ca="1" si="30"/>
        <v>27.120000999999998</v>
      </c>
      <c r="O219" s="5">
        <f t="shared" si="31"/>
        <v>2.9129755563062076E-2</v>
      </c>
    </row>
    <row r="220" spans="1:15" s="2" customFormat="1" x14ac:dyDescent="0.5">
      <c r="A220" s="6">
        <v>40673</v>
      </c>
      <c r="B220" s="1">
        <v>28.24</v>
      </c>
      <c r="C220" s="1">
        <v>28.950001</v>
      </c>
      <c r="D220" s="1">
        <v>27.91</v>
      </c>
      <c r="E220" s="1">
        <v>28.33</v>
      </c>
      <c r="F220" s="1">
        <v>28.33</v>
      </c>
      <c r="G220" s="2">
        <v>1535300</v>
      </c>
      <c r="H220" s="2">
        <f t="shared" si="24"/>
        <v>2011</v>
      </c>
      <c r="I220" s="2">
        <f t="shared" si="25"/>
        <v>5</v>
      </c>
      <c r="J220" s="2">
        <f t="shared" si="26"/>
        <v>10</v>
      </c>
      <c r="K220" s="2">
        <f t="shared" si="27"/>
        <v>3</v>
      </c>
      <c r="L220" s="2">
        <f t="shared" si="28"/>
        <v>6</v>
      </c>
      <c r="M220" s="3">
        <f t="shared" si="29"/>
        <v>27.91</v>
      </c>
      <c r="N220" s="1">
        <f t="shared" ca="1" si="30"/>
        <v>27.91</v>
      </c>
      <c r="O220" s="5">
        <f t="shared" si="31"/>
        <v>1.5048369759942615E-2</v>
      </c>
    </row>
    <row r="221" spans="1:15" s="2" customFormat="1" x14ac:dyDescent="0.5">
      <c r="A221" s="6">
        <v>40674</v>
      </c>
      <c r="B221" s="1">
        <v>28.200001</v>
      </c>
      <c r="C221" s="1">
        <v>28.299999</v>
      </c>
      <c r="D221" s="1">
        <v>26.92</v>
      </c>
      <c r="E221" s="1">
        <v>27.07</v>
      </c>
      <c r="F221" s="1">
        <v>27.07</v>
      </c>
      <c r="G221" s="2">
        <v>962500</v>
      </c>
      <c r="H221" s="2">
        <f t="shared" si="24"/>
        <v>2011</v>
      </c>
      <c r="I221" s="2">
        <f t="shared" si="25"/>
        <v>5</v>
      </c>
      <c r="J221" s="2">
        <f t="shared" si="26"/>
        <v>11</v>
      </c>
      <c r="K221" s="2">
        <f t="shared" si="27"/>
        <v>4</v>
      </c>
      <c r="L221" s="2">
        <f t="shared" si="28"/>
        <v>6</v>
      </c>
      <c r="M221" s="3">
        <f t="shared" si="29"/>
        <v>28.33</v>
      </c>
      <c r="N221" s="1">
        <f t="shared" ca="1" si="30"/>
        <v>28.33</v>
      </c>
      <c r="O221" s="5">
        <f t="shared" si="31"/>
        <v>-4.4475820684786393E-2</v>
      </c>
    </row>
    <row r="222" spans="1:15" s="2" customFormat="1" x14ac:dyDescent="0.5">
      <c r="A222" s="6">
        <v>40675</v>
      </c>
      <c r="B222" s="1">
        <v>27.07</v>
      </c>
      <c r="C222" s="1">
        <v>27.74</v>
      </c>
      <c r="D222" s="1">
        <v>26.65</v>
      </c>
      <c r="E222" s="1">
        <v>27.67</v>
      </c>
      <c r="F222" s="1">
        <v>27.67</v>
      </c>
      <c r="G222" s="2">
        <v>628000</v>
      </c>
      <c r="H222" s="2">
        <f t="shared" si="24"/>
        <v>2011</v>
      </c>
      <c r="I222" s="2">
        <f t="shared" si="25"/>
        <v>5</v>
      </c>
      <c r="J222" s="2">
        <f t="shared" si="26"/>
        <v>12</v>
      </c>
      <c r="K222" s="2">
        <f t="shared" si="27"/>
        <v>5</v>
      </c>
      <c r="L222" s="2">
        <f t="shared" si="28"/>
        <v>6</v>
      </c>
      <c r="M222" s="3">
        <f t="shared" si="29"/>
        <v>27.07</v>
      </c>
      <c r="N222" s="1">
        <f t="shared" ca="1" si="30"/>
        <v>27.07</v>
      </c>
      <c r="O222" s="5">
        <f t="shared" si="31"/>
        <v>2.2164758034724841E-2</v>
      </c>
    </row>
    <row r="223" spans="1:15" s="2" customFormat="1" x14ac:dyDescent="0.5">
      <c r="A223" s="6">
        <v>40676</v>
      </c>
      <c r="B223" s="1">
        <v>28</v>
      </c>
      <c r="C223" s="1">
        <v>28.190000999999999</v>
      </c>
      <c r="D223" s="1">
        <v>27.299999</v>
      </c>
      <c r="E223" s="1">
        <v>27.549999</v>
      </c>
      <c r="F223" s="1">
        <v>27.549999</v>
      </c>
      <c r="G223" s="2">
        <v>661500</v>
      </c>
      <c r="H223" s="2">
        <f t="shared" si="24"/>
        <v>2011</v>
      </c>
      <c r="I223" s="2">
        <f t="shared" si="25"/>
        <v>5</v>
      </c>
      <c r="J223" s="2">
        <f t="shared" si="26"/>
        <v>13</v>
      </c>
      <c r="K223" s="2">
        <f t="shared" si="27"/>
        <v>6</v>
      </c>
      <c r="L223" s="2">
        <f t="shared" si="28"/>
        <v>6</v>
      </c>
      <c r="M223" s="3">
        <f t="shared" si="29"/>
        <v>27.67</v>
      </c>
      <c r="N223" s="1">
        <f t="shared" ca="1" si="30"/>
        <v>27.67</v>
      </c>
      <c r="O223" s="5">
        <f t="shared" si="31"/>
        <v>-4.3368630285508525E-3</v>
      </c>
    </row>
    <row r="224" spans="1:15" s="2" customFormat="1" x14ac:dyDescent="0.5">
      <c r="A224" s="6">
        <v>40679</v>
      </c>
      <c r="B224" s="1">
        <v>27.99</v>
      </c>
      <c r="C224" s="1">
        <v>27.99</v>
      </c>
      <c r="D224" s="1">
        <v>26.549999</v>
      </c>
      <c r="E224" s="1">
        <v>26.6</v>
      </c>
      <c r="F224" s="1">
        <v>26.6</v>
      </c>
      <c r="G224" s="2">
        <v>755700</v>
      </c>
      <c r="H224" s="2">
        <f t="shared" si="24"/>
        <v>2011</v>
      </c>
      <c r="I224" s="2">
        <f t="shared" si="25"/>
        <v>5</v>
      </c>
      <c r="J224" s="2">
        <f t="shared" si="26"/>
        <v>16</v>
      </c>
      <c r="K224" s="2">
        <f t="shared" si="27"/>
        <v>2</v>
      </c>
      <c r="L224" s="2">
        <f t="shared" si="28"/>
        <v>6</v>
      </c>
      <c r="M224" s="3">
        <f t="shared" si="29"/>
        <v>27.549999</v>
      </c>
      <c r="N224" s="1">
        <f t="shared" ca="1" si="30"/>
        <v>27.549999</v>
      </c>
      <c r="O224" s="5">
        <f t="shared" si="31"/>
        <v>-3.4482723574690399E-2</v>
      </c>
    </row>
    <row r="225" spans="1:15" s="2" customFormat="1" x14ac:dyDescent="0.5">
      <c r="A225" s="6">
        <v>40680</v>
      </c>
      <c r="B225" s="1">
        <v>27</v>
      </c>
      <c r="C225" s="1">
        <v>27</v>
      </c>
      <c r="D225" s="1">
        <v>25.719999000000001</v>
      </c>
      <c r="E225" s="1">
        <v>25.959999</v>
      </c>
      <c r="F225" s="1">
        <v>25.959999</v>
      </c>
      <c r="G225" s="2">
        <v>1234200</v>
      </c>
      <c r="H225" s="2">
        <f t="shared" si="24"/>
        <v>2011</v>
      </c>
      <c r="I225" s="2">
        <f t="shared" si="25"/>
        <v>5</v>
      </c>
      <c r="J225" s="2">
        <f t="shared" si="26"/>
        <v>17</v>
      </c>
      <c r="K225" s="2">
        <f t="shared" si="27"/>
        <v>3</v>
      </c>
      <c r="L225" s="2">
        <f t="shared" si="28"/>
        <v>6</v>
      </c>
      <c r="M225" s="3">
        <f t="shared" si="29"/>
        <v>26.6</v>
      </c>
      <c r="N225" s="1">
        <f t="shared" ca="1" si="30"/>
        <v>26.6</v>
      </c>
      <c r="O225" s="5">
        <f t="shared" si="31"/>
        <v>-2.4060187969924818E-2</v>
      </c>
    </row>
    <row r="226" spans="1:15" s="2" customFormat="1" x14ac:dyDescent="0.5">
      <c r="A226" s="6">
        <v>40681</v>
      </c>
      <c r="B226" s="1">
        <v>26.1</v>
      </c>
      <c r="C226" s="1">
        <v>26.469999000000001</v>
      </c>
      <c r="D226" s="1">
        <v>25.52</v>
      </c>
      <c r="E226" s="1">
        <v>26.35</v>
      </c>
      <c r="F226" s="1">
        <v>26.35</v>
      </c>
      <c r="G226" s="2">
        <v>729500</v>
      </c>
      <c r="H226" s="2">
        <f t="shared" si="24"/>
        <v>2011</v>
      </c>
      <c r="I226" s="2">
        <f t="shared" si="25"/>
        <v>5</v>
      </c>
      <c r="J226" s="2">
        <f t="shared" si="26"/>
        <v>18</v>
      </c>
      <c r="K226" s="2">
        <f t="shared" si="27"/>
        <v>4</v>
      </c>
      <c r="L226" s="2">
        <f t="shared" si="28"/>
        <v>6</v>
      </c>
      <c r="M226" s="3">
        <f t="shared" si="29"/>
        <v>25.959999</v>
      </c>
      <c r="N226" s="1">
        <f t="shared" ca="1" si="30"/>
        <v>25.959999</v>
      </c>
      <c r="O226" s="5">
        <f t="shared" si="31"/>
        <v>1.5023151580244809E-2</v>
      </c>
    </row>
    <row r="227" spans="1:15" s="2" customFormat="1" x14ac:dyDescent="0.5">
      <c r="A227" s="6">
        <v>40682</v>
      </c>
      <c r="B227" s="1">
        <v>27.030000999999999</v>
      </c>
      <c r="C227" s="1">
        <v>28.440000999999999</v>
      </c>
      <c r="D227" s="1">
        <v>26.6</v>
      </c>
      <c r="E227" s="1">
        <v>28.200001</v>
      </c>
      <c r="F227" s="1">
        <v>28.200001</v>
      </c>
      <c r="G227" s="2">
        <v>2655100</v>
      </c>
      <c r="H227" s="2">
        <f t="shared" si="24"/>
        <v>2011</v>
      </c>
      <c r="I227" s="2">
        <f t="shared" si="25"/>
        <v>5</v>
      </c>
      <c r="J227" s="2">
        <f t="shared" si="26"/>
        <v>19</v>
      </c>
      <c r="K227" s="2">
        <f t="shared" si="27"/>
        <v>5</v>
      </c>
      <c r="L227" s="2">
        <f t="shared" si="28"/>
        <v>6</v>
      </c>
      <c r="M227" s="3">
        <f t="shared" si="29"/>
        <v>26.35</v>
      </c>
      <c r="N227" s="1">
        <f t="shared" ca="1" si="30"/>
        <v>26.35</v>
      </c>
      <c r="O227" s="5">
        <f t="shared" si="31"/>
        <v>7.0208766603415462E-2</v>
      </c>
    </row>
    <row r="228" spans="1:15" s="2" customFormat="1" x14ac:dyDescent="0.5">
      <c r="A228" s="6">
        <v>40683</v>
      </c>
      <c r="B228" s="1">
        <v>28.26</v>
      </c>
      <c r="C228" s="1">
        <v>28.280000999999999</v>
      </c>
      <c r="D228" s="1">
        <v>27.35</v>
      </c>
      <c r="E228" s="1">
        <v>27.969999000000001</v>
      </c>
      <c r="F228" s="1">
        <v>27.969999000000001</v>
      </c>
      <c r="G228" s="2">
        <v>842500</v>
      </c>
      <c r="H228" s="2">
        <f t="shared" si="24"/>
        <v>2011</v>
      </c>
      <c r="I228" s="2">
        <f t="shared" si="25"/>
        <v>5</v>
      </c>
      <c r="J228" s="2">
        <f t="shared" si="26"/>
        <v>20</v>
      </c>
      <c r="K228" s="2">
        <f t="shared" si="27"/>
        <v>6</v>
      </c>
      <c r="L228" s="2">
        <f t="shared" si="28"/>
        <v>6</v>
      </c>
      <c r="M228" s="3">
        <f t="shared" si="29"/>
        <v>28.200001</v>
      </c>
      <c r="N228" s="1">
        <f t="shared" ca="1" si="30"/>
        <v>28.200001</v>
      </c>
      <c r="O228" s="5">
        <f t="shared" si="31"/>
        <v>-8.1560990015567825E-3</v>
      </c>
    </row>
    <row r="229" spans="1:15" s="2" customFormat="1" x14ac:dyDescent="0.5">
      <c r="A229" s="6">
        <v>40686</v>
      </c>
      <c r="B229" s="1">
        <v>27.620000999999998</v>
      </c>
      <c r="C229" s="1">
        <v>27.620000999999998</v>
      </c>
      <c r="D229" s="1">
        <v>26.620000999999998</v>
      </c>
      <c r="E229" s="1">
        <v>26.82</v>
      </c>
      <c r="F229" s="1">
        <v>26.82</v>
      </c>
      <c r="G229" s="2">
        <v>863600</v>
      </c>
      <c r="H229" s="2">
        <f t="shared" si="24"/>
        <v>2011</v>
      </c>
      <c r="I229" s="2">
        <f t="shared" si="25"/>
        <v>5</v>
      </c>
      <c r="J229" s="2">
        <f t="shared" si="26"/>
        <v>23</v>
      </c>
      <c r="K229" s="2">
        <f t="shared" si="27"/>
        <v>2</v>
      </c>
      <c r="L229" s="2">
        <f t="shared" si="28"/>
        <v>6</v>
      </c>
      <c r="M229" s="3">
        <f t="shared" si="29"/>
        <v>27.969999000000001</v>
      </c>
      <c r="N229" s="1">
        <f t="shared" ca="1" si="30"/>
        <v>27.969999000000001</v>
      </c>
      <c r="O229" s="5">
        <f t="shared" si="31"/>
        <v>-4.1115446589754967E-2</v>
      </c>
    </row>
    <row r="230" spans="1:15" s="2" customFormat="1" x14ac:dyDescent="0.5">
      <c r="A230" s="6">
        <v>40687</v>
      </c>
      <c r="B230" s="1">
        <v>27.02</v>
      </c>
      <c r="C230" s="1">
        <v>27.5</v>
      </c>
      <c r="D230" s="1">
        <v>26.6</v>
      </c>
      <c r="E230" s="1">
        <v>26.719999000000001</v>
      </c>
      <c r="F230" s="1">
        <v>26.719999000000001</v>
      </c>
      <c r="G230" s="2">
        <v>613700</v>
      </c>
      <c r="H230" s="2">
        <f t="shared" si="24"/>
        <v>2011</v>
      </c>
      <c r="I230" s="2">
        <f t="shared" si="25"/>
        <v>5</v>
      </c>
      <c r="J230" s="2">
        <f t="shared" si="26"/>
        <v>24</v>
      </c>
      <c r="K230" s="2">
        <f t="shared" si="27"/>
        <v>3</v>
      </c>
      <c r="L230" s="2">
        <f t="shared" si="28"/>
        <v>6</v>
      </c>
      <c r="M230" s="3">
        <f t="shared" si="29"/>
        <v>26.82</v>
      </c>
      <c r="N230" s="1">
        <f t="shared" ca="1" si="30"/>
        <v>26.82</v>
      </c>
      <c r="O230" s="5">
        <f t="shared" si="31"/>
        <v>-3.728598061148336E-3</v>
      </c>
    </row>
    <row r="231" spans="1:15" s="2" customFormat="1" x14ac:dyDescent="0.5">
      <c r="A231" s="6">
        <v>40688</v>
      </c>
      <c r="B231" s="1">
        <v>26.9</v>
      </c>
      <c r="C231" s="1">
        <v>29.01</v>
      </c>
      <c r="D231" s="1">
        <v>26.17</v>
      </c>
      <c r="E231" s="1">
        <v>28.98</v>
      </c>
      <c r="F231" s="1">
        <v>28.98</v>
      </c>
      <c r="G231" s="2">
        <v>4693100</v>
      </c>
      <c r="H231" s="2">
        <f t="shared" si="24"/>
        <v>2011</v>
      </c>
      <c r="I231" s="2">
        <f t="shared" si="25"/>
        <v>5</v>
      </c>
      <c r="J231" s="2">
        <f t="shared" si="26"/>
        <v>25</v>
      </c>
      <c r="K231" s="2">
        <f t="shared" si="27"/>
        <v>4</v>
      </c>
      <c r="L231" s="2">
        <f t="shared" si="28"/>
        <v>6</v>
      </c>
      <c r="M231" s="3">
        <f t="shared" si="29"/>
        <v>26.719999000000001</v>
      </c>
      <c r="N231" s="1">
        <f t="shared" ca="1" si="30"/>
        <v>26.719999000000001</v>
      </c>
      <c r="O231" s="5">
        <f t="shared" si="31"/>
        <v>8.4580878913955049E-2</v>
      </c>
    </row>
    <row r="232" spans="1:15" s="2" customFormat="1" x14ac:dyDescent="0.5">
      <c r="A232" s="6">
        <v>40689</v>
      </c>
      <c r="B232" s="1">
        <v>28.82</v>
      </c>
      <c r="C232" s="1">
        <v>29.76</v>
      </c>
      <c r="D232" s="1">
        <v>28.1</v>
      </c>
      <c r="E232" s="1">
        <v>29.48</v>
      </c>
      <c r="F232" s="1">
        <v>29.48</v>
      </c>
      <c r="G232" s="2">
        <v>3336900</v>
      </c>
      <c r="H232" s="2">
        <f t="shared" si="24"/>
        <v>2011</v>
      </c>
      <c r="I232" s="2">
        <f t="shared" si="25"/>
        <v>5</v>
      </c>
      <c r="J232" s="2">
        <f t="shared" si="26"/>
        <v>26</v>
      </c>
      <c r="K232" s="2">
        <f t="shared" si="27"/>
        <v>5</v>
      </c>
      <c r="L232" s="2">
        <f t="shared" si="28"/>
        <v>6</v>
      </c>
      <c r="M232" s="3">
        <f t="shared" si="29"/>
        <v>28.98</v>
      </c>
      <c r="N232" s="1">
        <f t="shared" ca="1" si="30"/>
        <v>28.98</v>
      </c>
      <c r="O232" s="5">
        <f t="shared" si="31"/>
        <v>1.7253278122843385E-2</v>
      </c>
    </row>
    <row r="233" spans="1:15" s="2" customFormat="1" x14ac:dyDescent="0.5">
      <c r="A233" s="6">
        <v>40690</v>
      </c>
      <c r="B233" s="1">
        <v>29.540001</v>
      </c>
      <c r="C233" s="1">
        <v>29.67</v>
      </c>
      <c r="D233" s="1">
        <v>28.82</v>
      </c>
      <c r="E233" s="1">
        <v>29.549999</v>
      </c>
      <c r="F233" s="1">
        <v>29.549999</v>
      </c>
      <c r="G233" s="2">
        <v>1687100</v>
      </c>
      <c r="H233" s="2">
        <f t="shared" si="24"/>
        <v>2011</v>
      </c>
      <c r="I233" s="2">
        <f t="shared" si="25"/>
        <v>5</v>
      </c>
      <c r="J233" s="2">
        <f t="shared" si="26"/>
        <v>27</v>
      </c>
      <c r="K233" s="2">
        <f t="shared" si="27"/>
        <v>6</v>
      </c>
      <c r="L233" s="2">
        <f t="shared" si="28"/>
        <v>6</v>
      </c>
      <c r="M233" s="3">
        <f t="shared" si="29"/>
        <v>29.48</v>
      </c>
      <c r="N233" s="1">
        <f t="shared" ca="1" si="30"/>
        <v>29.48</v>
      </c>
      <c r="O233" s="5">
        <f t="shared" si="31"/>
        <v>2.3744572591586355E-3</v>
      </c>
    </row>
    <row r="234" spans="1:15" s="2" customFormat="1" x14ac:dyDescent="0.5">
      <c r="A234" s="6">
        <v>40694</v>
      </c>
      <c r="B234" s="1">
        <v>29.690000999999999</v>
      </c>
      <c r="C234" s="1">
        <v>30.280000999999999</v>
      </c>
      <c r="D234" s="1">
        <v>29.549999</v>
      </c>
      <c r="E234" s="1">
        <v>30.139999</v>
      </c>
      <c r="F234" s="1">
        <v>30.139999</v>
      </c>
      <c r="G234" s="2">
        <v>3290500</v>
      </c>
      <c r="H234" s="2">
        <f t="shared" si="24"/>
        <v>2011</v>
      </c>
      <c r="I234" s="2">
        <f t="shared" si="25"/>
        <v>5</v>
      </c>
      <c r="J234" s="2">
        <f t="shared" si="26"/>
        <v>31</v>
      </c>
      <c r="K234" s="2">
        <f t="shared" si="27"/>
        <v>3</v>
      </c>
      <c r="L234" s="2">
        <f t="shared" si="28"/>
        <v>6</v>
      </c>
      <c r="M234" s="3">
        <f t="shared" si="29"/>
        <v>29.549999</v>
      </c>
      <c r="N234" s="1">
        <f t="shared" ca="1" si="30"/>
        <v>29.549999</v>
      </c>
      <c r="O234" s="5">
        <f t="shared" si="31"/>
        <v>1.996615972812732E-2</v>
      </c>
    </row>
    <row r="235" spans="1:15" s="2" customFormat="1" x14ac:dyDescent="0.5">
      <c r="A235" s="6">
        <v>40695</v>
      </c>
      <c r="B235" s="1">
        <v>30</v>
      </c>
      <c r="C235" s="1">
        <v>30.1</v>
      </c>
      <c r="D235" s="1">
        <v>28.379999000000002</v>
      </c>
      <c r="E235" s="1">
        <v>28.52</v>
      </c>
      <c r="F235" s="1">
        <v>28.52</v>
      </c>
      <c r="G235" s="2">
        <v>1529900</v>
      </c>
      <c r="H235" s="2">
        <f t="shared" si="24"/>
        <v>2011</v>
      </c>
      <c r="I235" s="2">
        <f t="shared" si="25"/>
        <v>6</v>
      </c>
      <c r="J235" s="2">
        <f t="shared" si="26"/>
        <v>1</v>
      </c>
      <c r="K235" s="2">
        <f t="shared" si="27"/>
        <v>4</v>
      </c>
      <c r="L235" s="2">
        <f t="shared" si="28"/>
        <v>7</v>
      </c>
      <c r="M235" s="3">
        <f t="shared" si="29"/>
        <v>30.139999</v>
      </c>
      <c r="N235" s="1">
        <f t="shared" ca="1" si="30"/>
        <v>30.139999</v>
      </c>
      <c r="O235" s="5">
        <f t="shared" si="31"/>
        <v>-5.3749139142307167E-2</v>
      </c>
    </row>
    <row r="236" spans="1:15" s="2" customFormat="1" x14ac:dyDescent="0.5">
      <c r="A236" s="6">
        <v>40696</v>
      </c>
      <c r="B236" s="1">
        <v>28.52</v>
      </c>
      <c r="C236" s="1">
        <v>29.32</v>
      </c>
      <c r="D236" s="1">
        <v>28.51</v>
      </c>
      <c r="E236" s="1">
        <v>28.76</v>
      </c>
      <c r="F236" s="1">
        <v>28.76</v>
      </c>
      <c r="G236" s="2">
        <v>986300</v>
      </c>
      <c r="H236" s="2">
        <f t="shared" si="24"/>
        <v>2011</v>
      </c>
      <c r="I236" s="2">
        <f t="shared" si="25"/>
        <v>6</v>
      </c>
      <c r="J236" s="2">
        <f t="shared" si="26"/>
        <v>2</v>
      </c>
      <c r="K236" s="2">
        <f t="shared" si="27"/>
        <v>5</v>
      </c>
      <c r="L236" s="2">
        <f t="shared" si="28"/>
        <v>7</v>
      </c>
      <c r="M236" s="3">
        <f t="shared" si="29"/>
        <v>28.52</v>
      </c>
      <c r="N236" s="1">
        <f t="shared" ca="1" si="30"/>
        <v>28.52</v>
      </c>
      <c r="O236" s="5">
        <f t="shared" si="31"/>
        <v>8.4151472650773051E-3</v>
      </c>
    </row>
    <row r="237" spans="1:15" s="2" customFormat="1" x14ac:dyDescent="0.5">
      <c r="A237" s="6">
        <v>40697</v>
      </c>
      <c r="B237" s="1">
        <v>29.950001</v>
      </c>
      <c r="C237" s="1">
        <v>31.5</v>
      </c>
      <c r="D237" s="1">
        <v>29.5</v>
      </c>
      <c r="E237" s="1">
        <v>30.129999000000002</v>
      </c>
      <c r="F237" s="1">
        <v>30.129999000000002</v>
      </c>
      <c r="G237" s="2">
        <v>6209200</v>
      </c>
      <c r="H237" s="2">
        <f t="shared" si="24"/>
        <v>2011</v>
      </c>
      <c r="I237" s="2">
        <f t="shared" si="25"/>
        <v>6</v>
      </c>
      <c r="J237" s="2">
        <f t="shared" si="26"/>
        <v>3</v>
      </c>
      <c r="K237" s="2">
        <f t="shared" si="27"/>
        <v>6</v>
      </c>
      <c r="L237" s="2">
        <f t="shared" si="28"/>
        <v>7</v>
      </c>
      <c r="M237" s="3">
        <f t="shared" si="29"/>
        <v>28.76</v>
      </c>
      <c r="N237" s="1">
        <f t="shared" ca="1" si="30"/>
        <v>28.76</v>
      </c>
      <c r="O237" s="5">
        <f t="shared" si="31"/>
        <v>4.7635570236439495E-2</v>
      </c>
    </row>
    <row r="238" spans="1:15" s="2" customFormat="1" x14ac:dyDescent="0.5">
      <c r="A238" s="6">
        <v>40700</v>
      </c>
      <c r="B238" s="1">
        <v>30.1</v>
      </c>
      <c r="C238" s="1">
        <v>30.129999000000002</v>
      </c>
      <c r="D238" s="1">
        <v>28.26</v>
      </c>
      <c r="E238" s="1">
        <v>28.700001</v>
      </c>
      <c r="F238" s="1">
        <v>28.700001</v>
      </c>
      <c r="G238" s="2">
        <v>2331100</v>
      </c>
      <c r="H238" s="2">
        <f t="shared" si="24"/>
        <v>2011</v>
      </c>
      <c r="I238" s="2">
        <f t="shared" si="25"/>
        <v>6</v>
      </c>
      <c r="J238" s="2">
        <f t="shared" si="26"/>
        <v>6</v>
      </c>
      <c r="K238" s="2">
        <f t="shared" si="27"/>
        <v>2</v>
      </c>
      <c r="L238" s="2">
        <f t="shared" si="28"/>
        <v>7</v>
      </c>
      <c r="M238" s="3">
        <f t="shared" si="29"/>
        <v>30.129999000000002</v>
      </c>
      <c r="N238" s="1">
        <f t="shared" ca="1" si="30"/>
        <v>30.129999000000002</v>
      </c>
      <c r="O238" s="5">
        <f t="shared" si="31"/>
        <v>-4.7460937519447022E-2</v>
      </c>
    </row>
    <row r="239" spans="1:15" s="2" customFormat="1" x14ac:dyDescent="0.5">
      <c r="A239" s="6">
        <v>40701</v>
      </c>
      <c r="B239" s="1">
        <v>28.940000999999999</v>
      </c>
      <c r="C239" s="1">
        <v>29.389999</v>
      </c>
      <c r="D239" s="1">
        <v>28.26</v>
      </c>
      <c r="E239" s="1">
        <v>28.370000999999998</v>
      </c>
      <c r="F239" s="1">
        <v>28.370000999999998</v>
      </c>
      <c r="G239" s="2">
        <v>1222100</v>
      </c>
      <c r="H239" s="2">
        <f t="shared" si="24"/>
        <v>2011</v>
      </c>
      <c r="I239" s="2">
        <f t="shared" si="25"/>
        <v>6</v>
      </c>
      <c r="J239" s="2">
        <f t="shared" si="26"/>
        <v>7</v>
      </c>
      <c r="K239" s="2">
        <f t="shared" si="27"/>
        <v>3</v>
      </c>
      <c r="L239" s="2">
        <f t="shared" si="28"/>
        <v>7</v>
      </c>
      <c r="M239" s="3">
        <f t="shared" si="29"/>
        <v>28.700001</v>
      </c>
      <c r="N239" s="1">
        <f t="shared" ca="1" si="30"/>
        <v>28.700001</v>
      </c>
      <c r="O239" s="5">
        <f t="shared" si="31"/>
        <v>-1.1498257439085169E-2</v>
      </c>
    </row>
    <row r="240" spans="1:15" s="2" customFormat="1" x14ac:dyDescent="0.5">
      <c r="A240" s="6">
        <v>40702</v>
      </c>
      <c r="B240" s="1">
        <v>28.440000999999999</v>
      </c>
      <c r="C240" s="1">
        <v>28.6</v>
      </c>
      <c r="D240" s="1">
        <v>27.02</v>
      </c>
      <c r="E240" s="1">
        <v>27.120000999999998</v>
      </c>
      <c r="F240" s="1">
        <v>27.120000999999998</v>
      </c>
      <c r="G240" s="2">
        <v>1695900</v>
      </c>
      <c r="H240" s="2">
        <f t="shared" si="24"/>
        <v>2011</v>
      </c>
      <c r="I240" s="2">
        <f t="shared" si="25"/>
        <v>6</v>
      </c>
      <c r="J240" s="2">
        <f t="shared" si="26"/>
        <v>8</v>
      </c>
      <c r="K240" s="2">
        <f t="shared" si="27"/>
        <v>4</v>
      </c>
      <c r="L240" s="2">
        <f t="shared" si="28"/>
        <v>7</v>
      </c>
      <c r="M240" s="3">
        <f t="shared" si="29"/>
        <v>28.370000999999998</v>
      </c>
      <c r="N240" s="1">
        <f t="shared" ca="1" si="30"/>
        <v>28.370000999999998</v>
      </c>
      <c r="O240" s="5">
        <f t="shared" si="31"/>
        <v>-4.4060625870263492E-2</v>
      </c>
    </row>
    <row r="241" spans="1:15" s="2" customFormat="1" x14ac:dyDescent="0.5">
      <c r="A241" s="6">
        <v>40703</v>
      </c>
      <c r="B241" s="1">
        <v>27.43</v>
      </c>
      <c r="C241" s="1">
        <v>28.1</v>
      </c>
      <c r="D241" s="1">
        <v>27.1</v>
      </c>
      <c r="E241" s="1">
        <v>27.620000999999998</v>
      </c>
      <c r="F241" s="1">
        <v>27.620000999999998</v>
      </c>
      <c r="G241" s="2">
        <v>1603200</v>
      </c>
      <c r="H241" s="2">
        <f t="shared" si="24"/>
        <v>2011</v>
      </c>
      <c r="I241" s="2">
        <f t="shared" si="25"/>
        <v>6</v>
      </c>
      <c r="J241" s="2">
        <f t="shared" si="26"/>
        <v>9</v>
      </c>
      <c r="K241" s="2">
        <f t="shared" si="27"/>
        <v>5</v>
      </c>
      <c r="L241" s="2">
        <f t="shared" si="28"/>
        <v>7</v>
      </c>
      <c r="M241" s="3">
        <f t="shared" si="29"/>
        <v>27.120000999999998</v>
      </c>
      <c r="N241" s="1">
        <f t="shared" ca="1" si="30"/>
        <v>27.120000999999998</v>
      </c>
      <c r="O241" s="5">
        <f t="shared" si="31"/>
        <v>1.8436577491276696E-2</v>
      </c>
    </row>
    <row r="242" spans="1:15" s="2" customFormat="1" x14ac:dyDescent="0.5">
      <c r="A242" s="6">
        <v>40704</v>
      </c>
      <c r="B242" s="1">
        <v>27.52</v>
      </c>
      <c r="C242" s="1">
        <v>28.299999</v>
      </c>
      <c r="D242" s="1">
        <v>27.35</v>
      </c>
      <c r="E242" s="1">
        <v>27.860001</v>
      </c>
      <c r="F242" s="1">
        <v>27.860001</v>
      </c>
      <c r="G242" s="2">
        <v>1566600</v>
      </c>
      <c r="H242" s="2">
        <f t="shared" si="24"/>
        <v>2011</v>
      </c>
      <c r="I242" s="2">
        <f t="shared" si="25"/>
        <v>6</v>
      </c>
      <c r="J242" s="2">
        <f t="shared" si="26"/>
        <v>10</v>
      </c>
      <c r="K242" s="2">
        <f t="shared" si="27"/>
        <v>6</v>
      </c>
      <c r="L242" s="2">
        <f t="shared" si="28"/>
        <v>7</v>
      </c>
      <c r="M242" s="3">
        <f t="shared" si="29"/>
        <v>27.620000999999998</v>
      </c>
      <c r="N242" s="1">
        <f t="shared" ca="1" si="30"/>
        <v>27.620000999999998</v>
      </c>
      <c r="O242" s="5">
        <f t="shared" si="31"/>
        <v>8.6893552248605843E-3</v>
      </c>
    </row>
    <row r="243" spans="1:15" s="2" customFormat="1" x14ac:dyDescent="0.5">
      <c r="A243" s="6">
        <v>40707</v>
      </c>
      <c r="B243" s="1">
        <v>28.07</v>
      </c>
      <c r="C243" s="1">
        <v>28.879999000000002</v>
      </c>
      <c r="D243" s="1">
        <v>27.879999000000002</v>
      </c>
      <c r="E243" s="1">
        <v>28.43</v>
      </c>
      <c r="F243" s="1">
        <v>28.43</v>
      </c>
      <c r="G243" s="2">
        <v>1713400</v>
      </c>
      <c r="H243" s="2">
        <f t="shared" si="24"/>
        <v>2011</v>
      </c>
      <c r="I243" s="2">
        <f t="shared" si="25"/>
        <v>6</v>
      </c>
      <c r="J243" s="2">
        <f t="shared" si="26"/>
        <v>13</v>
      </c>
      <c r="K243" s="2">
        <f t="shared" si="27"/>
        <v>2</v>
      </c>
      <c r="L243" s="2">
        <f t="shared" si="28"/>
        <v>7</v>
      </c>
      <c r="M243" s="3">
        <f t="shared" si="29"/>
        <v>27.860001</v>
      </c>
      <c r="N243" s="1">
        <f t="shared" ca="1" si="30"/>
        <v>27.860001</v>
      </c>
      <c r="O243" s="5">
        <f t="shared" si="31"/>
        <v>2.045940342931063E-2</v>
      </c>
    </row>
    <row r="244" spans="1:15" s="2" customFormat="1" x14ac:dyDescent="0.5">
      <c r="A244" s="6">
        <v>40708</v>
      </c>
      <c r="B244" s="1">
        <v>28.540001</v>
      </c>
      <c r="C244" s="1">
        <v>29.700001</v>
      </c>
      <c r="D244" s="1">
        <v>28.52</v>
      </c>
      <c r="E244" s="1">
        <v>28.6</v>
      </c>
      <c r="F244" s="1">
        <v>28.6</v>
      </c>
      <c r="G244" s="2">
        <v>1573400</v>
      </c>
      <c r="H244" s="2">
        <f t="shared" si="24"/>
        <v>2011</v>
      </c>
      <c r="I244" s="2">
        <f t="shared" si="25"/>
        <v>6</v>
      </c>
      <c r="J244" s="2">
        <f t="shared" si="26"/>
        <v>14</v>
      </c>
      <c r="K244" s="2">
        <f t="shared" si="27"/>
        <v>3</v>
      </c>
      <c r="L244" s="2">
        <f t="shared" si="28"/>
        <v>7</v>
      </c>
      <c r="M244" s="3">
        <f t="shared" si="29"/>
        <v>28.43</v>
      </c>
      <c r="N244" s="1">
        <f t="shared" ca="1" si="30"/>
        <v>28.43</v>
      </c>
      <c r="O244" s="5">
        <f t="shared" si="31"/>
        <v>5.9795990151250145E-3</v>
      </c>
    </row>
    <row r="245" spans="1:15" s="2" customFormat="1" x14ac:dyDescent="0.5">
      <c r="A245" s="6">
        <v>40709</v>
      </c>
      <c r="B245" s="1">
        <v>28.440000999999999</v>
      </c>
      <c r="C245" s="1">
        <v>28.450001</v>
      </c>
      <c r="D245" s="1">
        <v>27.07</v>
      </c>
      <c r="E245" s="1">
        <v>27.32</v>
      </c>
      <c r="F245" s="1">
        <v>27.32</v>
      </c>
      <c r="G245" s="2">
        <v>1345000</v>
      </c>
      <c r="H245" s="2">
        <f t="shared" si="24"/>
        <v>2011</v>
      </c>
      <c r="I245" s="2">
        <f t="shared" si="25"/>
        <v>6</v>
      </c>
      <c r="J245" s="2">
        <f t="shared" si="26"/>
        <v>15</v>
      </c>
      <c r="K245" s="2">
        <f t="shared" si="27"/>
        <v>4</v>
      </c>
      <c r="L245" s="2">
        <f t="shared" si="28"/>
        <v>7</v>
      </c>
      <c r="M245" s="3">
        <f t="shared" si="29"/>
        <v>28.6</v>
      </c>
      <c r="N245" s="1">
        <f t="shared" ca="1" si="30"/>
        <v>28.6</v>
      </c>
      <c r="O245" s="5">
        <f t="shared" si="31"/>
        <v>-4.4755244755244838E-2</v>
      </c>
    </row>
    <row r="246" spans="1:15" s="2" customFormat="1" x14ac:dyDescent="0.5">
      <c r="A246" s="6">
        <v>40710</v>
      </c>
      <c r="B246" s="1">
        <v>27.67</v>
      </c>
      <c r="C246" s="1">
        <v>28</v>
      </c>
      <c r="D246" s="1">
        <v>25.74</v>
      </c>
      <c r="E246" s="1">
        <v>26.5</v>
      </c>
      <c r="F246" s="1">
        <v>26.5</v>
      </c>
      <c r="G246" s="2">
        <v>1842200</v>
      </c>
      <c r="H246" s="2">
        <f t="shared" si="24"/>
        <v>2011</v>
      </c>
      <c r="I246" s="2">
        <f t="shared" si="25"/>
        <v>6</v>
      </c>
      <c r="J246" s="2">
        <f t="shared" si="26"/>
        <v>16</v>
      </c>
      <c r="K246" s="2">
        <f t="shared" si="27"/>
        <v>5</v>
      </c>
      <c r="L246" s="2">
        <f t="shared" si="28"/>
        <v>7</v>
      </c>
      <c r="M246" s="3">
        <f t="shared" si="29"/>
        <v>27.32</v>
      </c>
      <c r="N246" s="1">
        <f t="shared" ca="1" si="30"/>
        <v>27.32</v>
      </c>
      <c r="O246" s="5">
        <f t="shared" si="31"/>
        <v>-3.0014641288433341E-2</v>
      </c>
    </row>
    <row r="247" spans="1:15" s="2" customFormat="1" x14ac:dyDescent="0.5">
      <c r="A247" s="6">
        <v>40711</v>
      </c>
      <c r="B247" s="1">
        <v>26.870000999999998</v>
      </c>
      <c r="C247" s="1">
        <v>27.700001</v>
      </c>
      <c r="D247" s="1">
        <v>26.139999</v>
      </c>
      <c r="E247" s="1">
        <v>26.5</v>
      </c>
      <c r="F247" s="1">
        <v>26.5</v>
      </c>
      <c r="G247" s="2">
        <v>1714000</v>
      </c>
      <c r="H247" s="2">
        <f t="shared" si="24"/>
        <v>2011</v>
      </c>
      <c r="I247" s="2">
        <f t="shared" si="25"/>
        <v>6</v>
      </c>
      <c r="J247" s="2">
        <f t="shared" si="26"/>
        <v>17</v>
      </c>
      <c r="K247" s="2">
        <f t="shared" si="27"/>
        <v>6</v>
      </c>
      <c r="L247" s="2">
        <f t="shared" si="28"/>
        <v>7</v>
      </c>
      <c r="M247" s="3">
        <f t="shared" si="29"/>
        <v>26.5</v>
      </c>
      <c r="N247" s="1">
        <f t="shared" ca="1" si="30"/>
        <v>26.5</v>
      </c>
      <c r="O247" s="5">
        <f t="shared" si="31"/>
        <v>0</v>
      </c>
    </row>
    <row r="248" spans="1:15" s="2" customFormat="1" x14ac:dyDescent="0.5">
      <c r="A248" s="6">
        <v>40714</v>
      </c>
      <c r="B248" s="1">
        <v>26.290001</v>
      </c>
      <c r="C248" s="1">
        <v>26.459999</v>
      </c>
      <c r="D248" s="1">
        <v>25.5</v>
      </c>
      <c r="E248" s="1">
        <v>26.01</v>
      </c>
      <c r="F248" s="1">
        <v>26.01</v>
      </c>
      <c r="G248" s="2">
        <v>1537800</v>
      </c>
      <c r="H248" s="2">
        <f t="shared" si="24"/>
        <v>2011</v>
      </c>
      <c r="I248" s="2">
        <f t="shared" si="25"/>
        <v>6</v>
      </c>
      <c r="J248" s="2">
        <f t="shared" si="26"/>
        <v>20</v>
      </c>
      <c r="K248" s="2">
        <f t="shared" si="27"/>
        <v>2</v>
      </c>
      <c r="L248" s="2">
        <f t="shared" si="28"/>
        <v>7</v>
      </c>
      <c r="M248" s="3">
        <f t="shared" si="29"/>
        <v>26.5</v>
      </c>
      <c r="N248" s="1">
        <f t="shared" ca="1" si="30"/>
        <v>26.5</v>
      </c>
      <c r="O248" s="5">
        <f t="shared" si="31"/>
        <v>-1.8490566037735801E-2</v>
      </c>
    </row>
    <row r="249" spans="1:15" s="2" customFormat="1" x14ac:dyDescent="0.5">
      <c r="A249" s="6">
        <v>40715</v>
      </c>
      <c r="B249" s="1">
        <v>26.24</v>
      </c>
      <c r="C249" s="1">
        <v>27.73</v>
      </c>
      <c r="D249" s="1">
        <v>26</v>
      </c>
      <c r="E249" s="1">
        <v>27.530000999999999</v>
      </c>
      <c r="F249" s="1">
        <v>27.530000999999999</v>
      </c>
      <c r="G249" s="2">
        <v>1496000</v>
      </c>
      <c r="H249" s="2">
        <f t="shared" si="24"/>
        <v>2011</v>
      </c>
      <c r="I249" s="2">
        <f t="shared" si="25"/>
        <v>6</v>
      </c>
      <c r="J249" s="2">
        <f t="shared" si="26"/>
        <v>21</v>
      </c>
      <c r="K249" s="2">
        <f t="shared" si="27"/>
        <v>3</v>
      </c>
      <c r="L249" s="2">
        <f t="shared" si="28"/>
        <v>7</v>
      </c>
      <c r="M249" s="3">
        <f t="shared" si="29"/>
        <v>26.01</v>
      </c>
      <c r="N249" s="1">
        <f t="shared" ca="1" si="30"/>
        <v>26.01</v>
      </c>
      <c r="O249" s="5">
        <f t="shared" si="31"/>
        <v>5.8439100346020734E-2</v>
      </c>
    </row>
    <row r="250" spans="1:15" s="2" customFormat="1" x14ac:dyDescent="0.5">
      <c r="A250" s="6">
        <v>40716</v>
      </c>
      <c r="B250" s="1">
        <v>27.370000999999998</v>
      </c>
      <c r="C250" s="1">
        <v>28.25</v>
      </c>
      <c r="D250" s="1">
        <v>27.1</v>
      </c>
      <c r="E250" s="1">
        <v>27.209999</v>
      </c>
      <c r="F250" s="1">
        <v>27.209999</v>
      </c>
      <c r="G250" s="2">
        <v>1475600</v>
      </c>
      <c r="H250" s="2">
        <f t="shared" si="24"/>
        <v>2011</v>
      </c>
      <c r="I250" s="2">
        <f t="shared" si="25"/>
        <v>6</v>
      </c>
      <c r="J250" s="2">
        <f t="shared" si="26"/>
        <v>22</v>
      </c>
      <c r="K250" s="2">
        <f t="shared" si="27"/>
        <v>4</v>
      </c>
      <c r="L250" s="2">
        <f t="shared" si="28"/>
        <v>7</v>
      </c>
      <c r="M250" s="3">
        <f t="shared" si="29"/>
        <v>27.530000999999999</v>
      </c>
      <c r="N250" s="1">
        <f t="shared" ca="1" si="30"/>
        <v>27.530000999999999</v>
      </c>
      <c r="O250" s="5">
        <f t="shared" si="31"/>
        <v>-1.1623755480430153E-2</v>
      </c>
    </row>
    <row r="251" spans="1:15" s="2" customFormat="1" x14ac:dyDescent="0.5">
      <c r="A251" s="6">
        <v>40717</v>
      </c>
      <c r="B251" s="1">
        <v>27.200001</v>
      </c>
      <c r="C251" s="1">
        <v>27.719999000000001</v>
      </c>
      <c r="D251" s="1">
        <v>26.209999</v>
      </c>
      <c r="E251" s="1">
        <v>27.709999</v>
      </c>
      <c r="F251" s="1">
        <v>27.709999</v>
      </c>
      <c r="G251" s="2">
        <v>1170000</v>
      </c>
      <c r="H251" s="2">
        <f t="shared" si="24"/>
        <v>2011</v>
      </c>
      <c r="I251" s="2">
        <f t="shared" si="25"/>
        <v>6</v>
      </c>
      <c r="J251" s="2">
        <f t="shared" si="26"/>
        <v>23</v>
      </c>
      <c r="K251" s="2">
        <f t="shared" si="27"/>
        <v>5</v>
      </c>
      <c r="L251" s="2">
        <f t="shared" si="28"/>
        <v>7</v>
      </c>
      <c r="M251" s="3">
        <f t="shared" si="29"/>
        <v>27.209999</v>
      </c>
      <c r="N251" s="1">
        <f t="shared" ca="1" si="30"/>
        <v>27.209999</v>
      </c>
      <c r="O251" s="5">
        <f t="shared" si="31"/>
        <v>1.8375597882234418E-2</v>
      </c>
    </row>
    <row r="252" spans="1:15" s="2" customFormat="1" x14ac:dyDescent="0.5">
      <c r="A252" s="6">
        <v>40718</v>
      </c>
      <c r="B252" s="1">
        <v>27.639999</v>
      </c>
      <c r="C252" s="1">
        <v>27.969999000000001</v>
      </c>
      <c r="D252" s="1">
        <v>27.26</v>
      </c>
      <c r="E252" s="1">
        <v>27.57</v>
      </c>
      <c r="F252" s="1">
        <v>27.57</v>
      </c>
      <c r="G252" s="2">
        <v>3608500</v>
      </c>
      <c r="H252" s="2">
        <f t="shared" si="24"/>
        <v>2011</v>
      </c>
      <c r="I252" s="2">
        <f t="shared" si="25"/>
        <v>6</v>
      </c>
      <c r="J252" s="2">
        <f t="shared" si="26"/>
        <v>24</v>
      </c>
      <c r="K252" s="2">
        <f t="shared" si="27"/>
        <v>6</v>
      </c>
      <c r="L252" s="2">
        <f t="shared" si="28"/>
        <v>7</v>
      </c>
      <c r="M252" s="3">
        <f t="shared" si="29"/>
        <v>27.709999</v>
      </c>
      <c r="N252" s="1">
        <f t="shared" ca="1" si="30"/>
        <v>27.709999</v>
      </c>
      <c r="O252" s="5">
        <f t="shared" si="31"/>
        <v>-5.0522917738106132E-3</v>
      </c>
    </row>
    <row r="253" spans="1:15" s="2" customFormat="1" x14ac:dyDescent="0.5">
      <c r="A253" s="6">
        <v>40721</v>
      </c>
      <c r="B253" s="1">
        <v>27.73</v>
      </c>
      <c r="C253" s="1">
        <v>28.280000999999999</v>
      </c>
      <c r="D253" s="1">
        <v>27.309999000000001</v>
      </c>
      <c r="E253" s="1">
        <v>27.459999</v>
      </c>
      <c r="F253" s="1">
        <v>27.459999</v>
      </c>
      <c r="G253" s="2">
        <v>1809400</v>
      </c>
      <c r="H253" s="2">
        <f t="shared" si="24"/>
        <v>2011</v>
      </c>
      <c r="I253" s="2">
        <f t="shared" si="25"/>
        <v>6</v>
      </c>
      <c r="J253" s="2">
        <f t="shared" si="26"/>
        <v>27</v>
      </c>
      <c r="K253" s="2">
        <f t="shared" si="27"/>
        <v>2</v>
      </c>
      <c r="L253" s="2">
        <f t="shared" si="28"/>
        <v>7</v>
      </c>
      <c r="M253" s="3">
        <f t="shared" si="29"/>
        <v>27.57</v>
      </c>
      <c r="N253" s="1">
        <f t="shared" ca="1" si="30"/>
        <v>27.57</v>
      </c>
      <c r="O253" s="5">
        <f t="shared" si="31"/>
        <v>-3.989880304679061E-3</v>
      </c>
    </row>
    <row r="254" spans="1:15" s="2" customFormat="1" x14ac:dyDescent="0.5">
      <c r="A254" s="6">
        <v>40722</v>
      </c>
      <c r="B254" s="1">
        <v>27.790001</v>
      </c>
      <c r="C254" s="1">
        <v>28.25</v>
      </c>
      <c r="D254" s="1">
        <v>27.67</v>
      </c>
      <c r="E254" s="1">
        <v>28.110001</v>
      </c>
      <c r="F254" s="1">
        <v>28.110001</v>
      </c>
      <c r="G254" s="2">
        <v>889200</v>
      </c>
      <c r="H254" s="2">
        <f t="shared" si="24"/>
        <v>2011</v>
      </c>
      <c r="I254" s="2">
        <f t="shared" si="25"/>
        <v>6</v>
      </c>
      <c r="J254" s="2">
        <f t="shared" si="26"/>
        <v>28</v>
      </c>
      <c r="K254" s="2">
        <f t="shared" si="27"/>
        <v>3</v>
      </c>
      <c r="L254" s="2">
        <f t="shared" si="28"/>
        <v>7</v>
      </c>
      <c r="M254" s="3">
        <f t="shared" si="29"/>
        <v>27.459999</v>
      </c>
      <c r="N254" s="1">
        <f t="shared" ca="1" si="30"/>
        <v>27.459999</v>
      </c>
      <c r="O254" s="5">
        <f t="shared" si="31"/>
        <v>2.36708675772348E-2</v>
      </c>
    </row>
    <row r="255" spans="1:15" s="2" customFormat="1" x14ac:dyDescent="0.5">
      <c r="A255" s="6">
        <v>40723</v>
      </c>
      <c r="B255" s="1">
        <v>28.5</v>
      </c>
      <c r="C255" s="1">
        <v>29.09</v>
      </c>
      <c r="D255" s="1">
        <v>28.07</v>
      </c>
      <c r="E255" s="1">
        <v>28.290001</v>
      </c>
      <c r="F255" s="1">
        <v>28.290001</v>
      </c>
      <c r="G255" s="2">
        <v>1461800</v>
      </c>
      <c r="H255" s="2">
        <f t="shared" si="24"/>
        <v>2011</v>
      </c>
      <c r="I255" s="2">
        <f t="shared" si="25"/>
        <v>6</v>
      </c>
      <c r="J255" s="2">
        <f t="shared" si="26"/>
        <v>29</v>
      </c>
      <c r="K255" s="2">
        <f t="shared" si="27"/>
        <v>4</v>
      </c>
      <c r="L255" s="2">
        <f t="shared" si="28"/>
        <v>7</v>
      </c>
      <c r="M255" s="3">
        <f t="shared" si="29"/>
        <v>28.110001</v>
      </c>
      <c r="N255" s="1">
        <f t="shared" ca="1" si="30"/>
        <v>28.110001</v>
      </c>
      <c r="O255" s="5">
        <f t="shared" si="31"/>
        <v>6.4034149269507346E-3</v>
      </c>
    </row>
    <row r="256" spans="1:15" s="2" customFormat="1" x14ac:dyDescent="0.5">
      <c r="A256" s="6">
        <v>40724</v>
      </c>
      <c r="B256" s="1">
        <v>28.5</v>
      </c>
      <c r="C256" s="1">
        <v>29.33</v>
      </c>
      <c r="D256" s="1">
        <v>28.4</v>
      </c>
      <c r="E256" s="1">
        <v>29.129999000000002</v>
      </c>
      <c r="F256" s="1">
        <v>29.129999000000002</v>
      </c>
      <c r="G256" s="2">
        <v>946700</v>
      </c>
      <c r="H256" s="2">
        <f t="shared" si="24"/>
        <v>2011</v>
      </c>
      <c r="I256" s="2">
        <f t="shared" si="25"/>
        <v>6</v>
      </c>
      <c r="J256" s="2">
        <f t="shared" si="26"/>
        <v>30</v>
      </c>
      <c r="K256" s="2">
        <f t="shared" si="27"/>
        <v>5</v>
      </c>
      <c r="L256" s="2">
        <f t="shared" si="28"/>
        <v>7</v>
      </c>
      <c r="M256" s="3">
        <f t="shared" si="29"/>
        <v>28.290001</v>
      </c>
      <c r="N256" s="1">
        <f t="shared" ca="1" si="30"/>
        <v>28.290001</v>
      </c>
      <c r="O256" s="5">
        <f t="shared" si="31"/>
        <v>2.9692399091820532E-2</v>
      </c>
    </row>
    <row r="257" spans="1:15" s="2" customFormat="1" x14ac:dyDescent="0.5">
      <c r="A257" s="6">
        <v>40725</v>
      </c>
      <c r="B257" s="1">
        <v>29.07</v>
      </c>
      <c r="C257" s="1">
        <v>29.6</v>
      </c>
      <c r="D257" s="1">
        <v>28.799999</v>
      </c>
      <c r="E257" s="1">
        <v>29.02</v>
      </c>
      <c r="F257" s="1">
        <v>29.02</v>
      </c>
      <c r="G257" s="2">
        <v>854900</v>
      </c>
      <c r="H257" s="2">
        <f t="shared" si="24"/>
        <v>2011</v>
      </c>
      <c r="I257" s="2">
        <f t="shared" si="25"/>
        <v>7</v>
      </c>
      <c r="J257" s="2">
        <f t="shared" si="26"/>
        <v>1</v>
      </c>
      <c r="K257" s="2">
        <f t="shared" si="27"/>
        <v>6</v>
      </c>
      <c r="L257" s="2">
        <f t="shared" si="28"/>
        <v>8</v>
      </c>
      <c r="M257" s="3">
        <f t="shared" si="29"/>
        <v>29.129999000000002</v>
      </c>
      <c r="N257" s="1">
        <f t="shared" ca="1" si="30"/>
        <v>29.129999000000002</v>
      </c>
      <c r="O257" s="5">
        <f t="shared" si="31"/>
        <v>-3.7761415645775065E-3</v>
      </c>
    </row>
    <row r="258" spans="1:15" s="2" customFormat="1" x14ac:dyDescent="0.5">
      <c r="A258" s="6">
        <v>40729</v>
      </c>
      <c r="B258" s="1">
        <v>29.02</v>
      </c>
      <c r="C258" s="1">
        <v>29.52</v>
      </c>
      <c r="D258" s="1">
        <v>28.709999</v>
      </c>
      <c r="E258" s="1">
        <v>29.139999</v>
      </c>
      <c r="F258" s="1">
        <v>29.139999</v>
      </c>
      <c r="G258" s="2">
        <v>996000</v>
      </c>
      <c r="H258" s="2">
        <f t="shared" ref="H258:H321" si="32">YEAR(A258)</f>
        <v>2011</v>
      </c>
      <c r="I258" s="2">
        <f t="shared" ref="I258:I321" si="33">MONTH(A258)</f>
        <v>7</v>
      </c>
      <c r="J258" s="2">
        <f t="shared" ref="J258:J321" si="34">DAY(A258)</f>
        <v>5</v>
      </c>
      <c r="K258" s="2">
        <f t="shared" ref="K258:K321" si="35">WEEKDAY(A258)</f>
        <v>3</v>
      </c>
      <c r="L258" s="2">
        <f t="shared" si="28"/>
        <v>8</v>
      </c>
      <c r="M258" s="3">
        <f t="shared" si="29"/>
        <v>29.02</v>
      </c>
      <c r="N258" s="1">
        <f t="shared" ca="1" si="30"/>
        <v>29.02</v>
      </c>
      <c r="O258" s="5">
        <f t="shared" si="31"/>
        <v>4.1350447966919113E-3</v>
      </c>
    </row>
    <row r="259" spans="1:15" s="2" customFormat="1" x14ac:dyDescent="0.5">
      <c r="A259" s="6">
        <v>40730</v>
      </c>
      <c r="B259" s="1">
        <v>29.139999</v>
      </c>
      <c r="C259" s="1">
        <v>29.139999</v>
      </c>
      <c r="D259" s="1">
        <v>28.549999</v>
      </c>
      <c r="E259" s="1">
        <v>28.959999</v>
      </c>
      <c r="F259" s="1">
        <v>28.959999</v>
      </c>
      <c r="G259" s="2">
        <v>926900</v>
      </c>
      <c r="H259" s="2">
        <f t="shared" si="32"/>
        <v>2011</v>
      </c>
      <c r="I259" s="2">
        <f t="shared" si="33"/>
        <v>7</v>
      </c>
      <c r="J259" s="2">
        <f t="shared" si="34"/>
        <v>6</v>
      </c>
      <c r="K259" s="2">
        <f t="shared" si="35"/>
        <v>4</v>
      </c>
      <c r="L259" s="2">
        <f t="shared" ref="L259:L322" si="36">I259+1</f>
        <v>8</v>
      </c>
      <c r="M259" s="3">
        <f t="shared" ref="M259:M322" si="37">F258</f>
        <v>29.139999</v>
      </c>
      <c r="N259" s="1">
        <f t="shared" ref="N259:N322" ca="1" si="38">OFFSET(F259, -1, 0)</f>
        <v>29.139999</v>
      </c>
      <c r="O259" s="5">
        <f t="shared" ref="O259:O322" si="39">(F259/M259)-1</f>
        <v>-6.1770763959189123E-3</v>
      </c>
    </row>
    <row r="260" spans="1:15" s="2" customFormat="1" x14ac:dyDescent="0.5">
      <c r="A260" s="6">
        <v>40731</v>
      </c>
      <c r="B260" s="1">
        <v>29.139999</v>
      </c>
      <c r="C260" s="1">
        <v>30</v>
      </c>
      <c r="D260" s="1">
        <v>29.01</v>
      </c>
      <c r="E260" s="1">
        <v>29.73</v>
      </c>
      <c r="F260" s="1">
        <v>29.73</v>
      </c>
      <c r="G260" s="2">
        <v>1327900</v>
      </c>
      <c r="H260" s="2">
        <f t="shared" si="32"/>
        <v>2011</v>
      </c>
      <c r="I260" s="2">
        <f t="shared" si="33"/>
        <v>7</v>
      </c>
      <c r="J260" s="2">
        <f t="shared" si="34"/>
        <v>7</v>
      </c>
      <c r="K260" s="2">
        <f t="shared" si="35"/>
        <v>5</v>
      </c>
      <c r="L260" s="2">
        <f t="shared" si="36"/>
        <v>8</v>
      </c>
      <c r="M260" s="3">
        <f t="shared" si="37"/>
        <v>28.959999</v>
      </c>
      <c r="N260" s="1">
        <f t="shared" ca="1" si="38"/>
        <v>28.959999</v>
      </c>
      <c r="O260" s="5">
        <f t="shared" si="39"/>
        <v>2.6588433238550868E-2</v>
      </c>
    </row>
    <row r="261" spans="1:15" s="2" customFormat="1" x14ac:dyDescent="0.5">
      <c r="A261" s="6">
        <v>40732</v>
      </c>
      <c r="B261" s="1">
        <v>29.889999</v>
      </c>
      <c r="C261" s="1">
        <v>29.889999</v>
      </c>
      <c r="D261" s="1">
        <v>28.59</v>
      </c>
      <c r="E261" s="1">
        <v>28.809999000000001</v>
      </c>
      <c r="F261" s="1">
        <v>28.809999000000001</v>
      </c>
      <c r="G261" s="2">
        <v>1240600</v>
      </c>
      <c r="H261" s="2">
        <f t="shared" si="32"/>
        <v>2011</v>
      </c>
      <c r="I261" s="2">
        <f t="shared" si="33"/>
        <v>7</v>
      </c>
      <c r="J261" s="2">
        <f t="shared" si="34"/>
        <v>8</v>
      </c>
      <c r="K261" s="2">
        <f t="shared" si="35"/>
        <v>6</v>
      </c>
      <c r="L261" s="2">
        <f t="shared" si="36"/>
        <v>8</v>
      </c>
      <c r="M261" s="3">
        <f t="shared" si="37"/>
        <v>29.73</v>
      </c>
      <c r="N261" s="1">
        <f t="shared" ca="1" si="38"/>
        <v>29.73</v>
      </c>
      <c r="O261" s="5">
        <f t="shared" si="39"/>
        <v>-3.0945206861755725E-2</v>
      </c>
    </row>
    <row r="262" spans="1:15" s="2" customFormat="1" x14ac:dyDescent="0.5">
      <c r="A262" s="6">
        <v>40735</v>
      </c>
      <c r="B262" s="1">
        <v>28.4</v>
      </c>
      <c r="C262" s="1">
        <v>28.530000999999999</v>
      </c>
      <c r="D262" s="1">
        <v>28</v>
      </c>
      <c r="E262" s="1">
        <v>28.35</v>
      </c>
      <c r="F262" s="1">
        <v>28.35</v>
      </c>
      <c r="G262" s="2">
        <v>975800</v>
      </c>
      <c r="H262" s="2">
        <f t="shared" si="32"/>
        <v>2011</v>
      </c>
      <c r="I262" s="2">
        <f t="shared" si="33"/>
        <v>7</v>
      </c>
      <c r="J262" s="2">
        <f t="shared" si="34"/>
        <v>11</v>
      </c>
      <c r="K262" s="2">
        <f t="shared" si="35"/>
        <v>2</v>
      </c>
      <c r="L262" s="2">
        <f t="shared" si="36"/>
        <v>8</v>
      </c>
      <c r="M262" s="3">
        <f t="shared" si="37"/>
        <v>28.809999000000001</v>
      </c>
      <c r="N262" s="1">
        <f t="shared" ca="1" si="38"/>
        <v>28.809999000000001</v>
      </c>
      <c r="O262" s="5">
        <f t="shared" si="39"/>
        <v>-1.5966644080758208E-2</v>
      </c>
    </row>
    <row r="263" spans="1:15" s="2" customFormat="1" x14ac:dyDescent="0.5">
      <c r="A263" s="6">
        <v>40736</v>
      </c>
      <c r="B263" s="1">
        <v>28.370000999999998</v>
      </c>
      <c r="C263" s="1">
        <v>29.09</v>
      </c>
      <c r="D263" s="1">
        <v>28</v>
      </c>
      <c r="E263" s="1">
        <v>28.17</v>
      </c>
      <c r="F263" s="1">
        <v>28.17</v>
      </c>
      <c r="G263" s="2">
        <v>1045400</v>
      </c>
      <c r="H263" s="2">
        <f t="shared" si="32"/>
        <v>2011</v>
      </c>
      <c r="I263" s="2">
        <f t="shared" si="33"/>
        <v>7</v>
      </c>
      <c r="J263" s="2">
        <f t="shared" si="34"/>
        <v>12</v>
      </c>
      <c r="K263" s="2">
        <f t="shared" si="35"/>
        <v>3</v>
      </c>
      <c r="L263" s="2">
        <f t="shared" si="36"/>
        <v>8</v>
      </c>
      <c r="M263" s="3">
        <f t="shared" si="37"/>
        <v>28.35</v>
      </c>
      <c r="N263" s="1">
        <f t="shared" ca="1" si="38"/>
        <v>28.35</v>
      </c>
      <c r="O263" s="5">
        <f t="shared" si="39"/>
        <v>-6.3492063492063266E-3</v>
      </c>
    </row>
    <row r="264" spans="1:15" s="2" customFormat="1" x14ac:dyDescent="0.5">
      <c r="A264" s="6">
        <v>40737</v>
      </c>
      <c r="B264" s="1">
        <v>28.43</v>
      </c>
      <c r="C264" s="1">
        <v>29.030000999999999</v>
      </c>
      <c r="D264" s="1">
        <v>27.9</v>
      </c>
      <c r="E264" s="1">
        <v>28.639999</v>
      </c>
      <c r="F264" s="1">
        <v>28.639999</v>
      </c>
      <c r="G264" s="2">
        <v>1066000</v>
      </c>
      <c r="H264" s="2">
        <f t="shared" si="32"/>
        <v>2011</v>
      </c>
      <c r="I264" s="2">
        <f t="shared" si="33"/>
        <v>7</v>
      </c>
      <c r="J264" s="2">
        <f t="shared" si="34"/>
        <v>13</v>
      </c>
      <c r="K264" s="2">
        <f t="shared" si="35"/>
        <v>4</v>
      </c>
      <c r="L264" s="2">
        <f t="shared" si="36"/>
        <v>8</v>
      </c>
      <c r="M264" s="3">
        <f t="shared" si="37"/>
        <v>28.17</v>
      </c>
      <c r="N264" s="1">
        <f t="shared" ca="1" si="38"/>
        <v>28.17</v>
      </c>
      <c r="O264" s="5">
        <f t="shared" si="39"/>
        <v>1.6684380546680755E-2</v>
      </c>
    </row>
    <row r="265" spans="1:15" s="2" customFormat="1" x14ac:dyDescent="0.5">
      <c r="A265" s="6">
        <v>40738</v>
      </c>
      <c r="B265" s="1">
        <v>28.530000999999999</v>
      </c>
      <c r="C265" s="1">
        <v>28.959999</v>
      </c>
      <c r="D265" s="1">
        <v>27.25</v>
      </c>
      <c r="E265" s="1">
        <v>27.610001</v>
      </c>
      <c r="F265" s="1">
        <v>27.610001</v>
      </c>
      <c r="G265" s="2">
        <v>1159000</v>
      </c>
      <c r="H265" s="2">
        <f t="shared" si="32"/>
        <v>2011</v>
      </c>
      <c r="I265" s="2">
        <f t="shared" si="33"/>
        <v>7</v>
      </c>
      <c r="J265" s="2">
        <f t="shared" si="34"/>
        <v>14</v>
      </c>
      <c r="K265" s="2">
        <f t="shared" si="35"/>
        <v>5</v>
      </c>
      <c r="L265" s="2">
        <f t="shared" si="36"/>
        <v>8</v>
      </c>
      <c r="M265" s="3">
        <f t="shared" si="37"/>
        <v>28.639999</v>
      </c>
      <c r="N265" s="1">
        <f t="shared" ca="1" si="38"/>
        <v>28.639999</v>
      </c>
      <c r="O265" s="5">
        <f t="shared" si="39"/>
        <v>-3.5963618574148648E-2</v>
      </c>
    </row>
    <row r="266" spans="1:15" s="2" customFormat="1" x14ac:dyDescent="0.5">
      <c r="A266" s="6">
        <v>40739</v>
      </c>
      <c r="B266" s="1">
        <v>27.790001</v>
      </c>
      <c r="C266" s="1">
        <v>27.83</v>
      </c>
      <c r="D266" s="1">
        <v>27.4</v>
      </c>
      <c r="E266" s="1">
        <v>27.58</v>
      </c>
      <c r="F266" s="1">
        <v>27.58</v>
      </c>
      <c r="G266" s="2">
        <v>709000</v>
      </c>
      <c r="H266" s="2">
        <f t="shared" si="32"/>
        <v>2011</v>
      </c>
      <c r="I266" s="2">
        <f t="shared" si="33"/>
        <v>7</v>
      </c>
      <c r="J266" s="2">
        <f t="shared" si="34"/>
        <v>15</v>
      </c>
      <c r="K266" s="2">
        <f t="shared" si="35"/>
        <v>6</v>
      </c>
      <c r="L266" s="2">
        <f t="shared" si="36"/>
        <v>8</v>
      </c>
      <c r="M266" s="3">
        <f t="shared" si="37"/>
        <v>27.610001</v>
      </c>
      <c r="N266" s="1">
        <f t="shared" ca="1" si="38"/>
        <v>27.610001</v>
      </c>
      <c r="O266" s="5">
        <f t="shared" si="39"/>
        <v>-1.086599018957024E-3</v>
      </c>
    </row>
    <row r="267" spans="1:15" s="2" customFormat="1" x14ac:dyDescent="0.5">
      <c r="A267" s="6">
        <v>40742</v>
      </c>
      <c r="B267" s="1">
        <v>27.34</v>
      </c>
      <c r="C267" s="1">
        <v>27.450001</v>
      </c>
      <c r="D267" s="1">
        <v>26.629999000000002</v>
      </c>
      <c r="E267" s="1">
        <v>27.23</v>
      </c>
      <c r="F267" s="1">
        <v>27.23</v>
      </c>
      <c r="G267" s="2">
        <v>851900</v>
      </c>
      <c r="H267" s="2">
        <f t="shared" si="32"/>
        <v>2011</v>
      </c>
      <c r="I267" s="2">
        <f t="shared" si="33"/>
        <v>7</v>
      </c>
      <c r="J267" s="2">
        <f t="shared" si="34"/>
        <v>18</v>
      </c>
      <c r="K267" s="2">
        <f t="shared" si="35"/>
        <v>2</v>
      </c>
      <c r="L267" s="2">
        <f t="shared" si="36"/>
        <v>8</v>
      </c>
      <c r="M267" s="3">
        <f t="shared" si="37"/>
        <v>27.58</v>
      </c>
      <c r="N267" s="1">
        <f t="shared" ca="1" si="38"/>
        <v>27.58</v>
      </c>
      <c r="O267" s="5">
        <f t="shared" si="39"/>
        <v>-1.269035532994911E-2</v>
      </c>
    </row>
    <row r="268" spans="1:15" s="2" customFormat="1" x14ac:dyDescent="0.5">
      <c r="A268" s="6">
        <v>40743</v>
      </c>
      <c r="B268" s="1">
        <v>27.58</v>
      </c>
      <c r="C268" s="1">
        <v>28.110001</v>
      </c>
      <c r="D268" s="1">
        <v>27.540001</v>
      </c>
      <c r="E268" s="1">
        <v>27.889999</v>
      </c>
      <c r="F268" s="1">
        <v>27.889999</v>
      </c>
      <c r="G268" s="2">
        <v>1026100</v>
      </c>
      <c r="H268" s="2">
        <f t="shared" si="32"/>
        <v>2011</v>
      </c>
      <c r="I268" s="2">
        <f t="shared" si="33"/>
        <v>7</v>
      </c>
      <c r="J268" s="2">
        <f t="shared" si="34"/>
        <v>19</v>
      </c>
      <c r="K268" s="2">
        <f t="shared" si="35"/>
        <v>3</v>
      </c>
      <c r="L268" s="2">
        <f t="shared" si="36"/>
        <v>8</v>
      </c>
      <c r="M268" s="3">
        <f t="shared" si="37"/>
        <v>27.23</v>
      </c>
      <c r="N268" s="1">
        <f t="shared" ca="1" si="38"/>
        <v>27.23</v>
      </c>
      <c r="O268" s="5">
        <f t="shared" si="39"/>
        <v>2.423793609988989E-2</v>
      </c>
    </row>
    <row r="269" spans="1:15" s="2" customFormat="1" x14ac:dyDescent="0.5">
      <c r="A269" s="6">
        <v>40744</v>
      </c>
      <c r="B269" s="1">
        <v>28</v>
      </c>
      <c r="C269" s="1">
        <v>30.440000999999999</v>
      </c>
      <c r="D269" s="1">
        <v>27.799999</v>
      </c>
      <c r="E269" s="1">
        <v>28.690000999999999</v>
      </c>
      <c r="F269" s="1">
        <v>28.690000999999999</v>
      </c>
      <c r="G269" s="2">
        <v>3048300</v>
      </c>
      <c r="H269" s="2">
        <f t="shared" si="32"/>
        <v>2011</v>
      </c>
      <c r="I269" s="2">
        <f t="shared" si="33"/>
        <v>7</v>
      </c>
      <c r="J269" s="2">
        <f t="shared" si="34"/>
        <v>20</v>
      </c>
      <c r="K269" s="2">
        <f t="shared" si="35"/>
        <v>4</v>
      </c>
      <c r="L269" s="2">
        <f t="shared" si="36"/>
        <v>8</v>
      </c>
      <c r="M269" s="3">
        <f t="shared" si="37"/>
        <v>27.889999</v>
      </c>
      <c r="N269" s="1">
        <f t="shared" ca="1" si="38"/>
        <v>27.889999</v>
      </c>
      <c r="O269" s="5">
        <f t="shared" si="39"/>
        <v>2.8684188909436692E-2</v>
      </c>
    </row>
    <row r="270" spans="1:15" s="2" customFormat="1" x14ac:dyDescent="0.5">
      <c r="A270" s="6">
        <v>40745</v>
      </c>
      <c r="B270" s="1">
        <v>28.91</v>
      </c>
      <c r="C270" s="1">
        <v>29.16</v>
      </c>
      <c r="D270" s="1">
        <v>28.1</v>
      </c>
      <c r="E270" s="1">
        <v>28.700001</v>
      </c>
      <c r="F270" s="1">
        <v>28.700001</v>
      </c>
      <c r="G270" s="2">
        <v>1011500</v>
      </c>
      <c r="H270" s="2">
        <f t="shared" si="32"/>
        <v>2011</v>
      </c>
      <c r="I270" s="2">
        <f t="shared" si="33"/>
        <v>7</v>
      </c>
      <c r="J270" s="2">
        <f t="shared" si="34"/>
        <v>21</v>
      </c>
      <c r="K270" s="2">
        <f t="shared" si="35"/>
        <v>5</v>
      </c>
      <c r="L270" s="2">
        <f t="shared" si="36"/>
        <v>8</v>
      </c>
      <c r="M270" s="3">
        <f t="shared" si="37"/>
        <v>28.690000999999999</v>
      </c>
      <c r="N270" s="1">
        <f t="shared" ca="1" si="38"/>
        <v>28.690000999999999</v>
      </c>
      <c r="O270" s="5">
        <f t="shared" si="39"/>
        <v>3.4855349081386322E-4</v>
      </c>
    </row>
    <row r="271" spans="1:15" s="2" customFormat="1" x14ac:dyDescent="0.5">
      <c r="A271" s="6">
        <v>40746</v>
      </c>
      <c r="B271" s="1">
        <v>28.700001</v>
      </c>
      <c r="C271" s="1">
        <v>29.540001</v>
      </c>
      <c r="D271" s="1">
        <v>28.549999</v>
      </c>
      <c r="E271" s="1">
        <v>29.290001</v>
      </c>
      <c r="F271" s="1">
        <v>29.290001</v>
      </c>
      <c r="G271" s="2">
        <v>583500</v>
      </c>
      <c r="H271" s="2">
        <f t="shared" si="32"/>
        <v>2011</v>
      </c>
      <c r="I271" s="2">
        <f t="shared" si="33"/>
        <v>7</v>
      </c>
      <c r="J271" s="2">
        <f t="shared" si="34"/>
        <v>22</v>
      </c>
      <c r="K271" s="2">
        <f t="shared" si="35"/>
        <v>6</v>
      </c>
      <c r="L271" s="2">
        <f t="shared" si="36"/>
        <v>8</v>
      </c>
      <c r="M271" s="3">
        <f t="shared" si="37"/>
        <v>28.700001</v>
      </c>
      <c r="N271" s="1">
        <f t="shared" ca="1" si="38"/>
        <v>28.700001</v>
      </c>
      <c r="O271" s="5">
        <f t="shared" si="39"/>
        <v>2.0557490572909787E-2</v>
      </c>
    </row>
    <row r="272" spans="1:15" s="2" customFormat="1" x14ac:dyDescent="0.5">
      <c r="A272" s="6">
        <v>40749</v>
      </c>
      <c r="B272" s="1">
        <v>29.01</v>
      </c>
      <c r="C272" s="1">
        <v>29.25</v>
      </c>
      <c r="D272" s="1">
        <v>28.440000999999999</v>
      </c>
      <c r="E272" s="1">
        <v>28.49</v>
      </c>
      <c r="F272" s="1">
        <v>28.49</v>
      </c>
      <c r="G272" s="2">
        <v>673300</v>
      </c>
      <c r="H272" s="2">
        <f t="shared" si="32"/>
        <v>2011</v>
      </c>
      <c r="I272" s="2">
        <f t="shared" si="33"/>
        <v>7</v>
      </c>
      <c r="J272" s="2">
        <f t="shared" si="34"/>
        <v>25</v>
      </c>
      <c r="K272" s="2">
        <f t="shared" si="35"/>
        <v>2</v>
      </c>
      <c r="L272" s="2">
        <f t="shared" si="36"/>
        <v>8</v>
      </c>
      <c r="M272" s="3">
        <f t="shared" si="37"/>
        <v>29.290001</v>
      </c>
      <c r="N272" s="1">
        <f t="shared" ca="1" si="38"/>
        <v>29.290001</v>
      </c>
      <c r="O272" s="5">
        <f t="shared" si="39"/>
        <v>-2.7313109344038633E-2</v>
      </c>
    </row>
    <row r="273" spans="1:15" s="2" customFormat="1" x14ac:dyDescent="0.5">
      <c r="A273" s="6">
        <v>40750</v>
      </c>
      <c r="B273" s="1">
        <v>28.309999000000001</v>
      </c>
      <c r="C273" s="1">
        <v>28.77</v>
      </c>
      <c r="D273" s="1">
        <v>27.969999000000001</v>
      </c>
      <c r="E273" s="1">
        <v>28</v>
      </c>
      <c r="F273" s="1">
        <v>28</v>
      </c>
      <c r="G273" s="2">
        <v>760600</v>
      </c>
      <c r="H273" s="2">
        <f t="shared" si="32"/>
        <v>2011</v>
      </c>
      <c r="I273" s="2">
        <f t="shared" si="33"/>
        <v>7</v>
      </c>
      <c r="J273" s="2">
        <f t="shared" si="34"/>
        <v>26</v>
      </c>
      <c r="K273" s="2">
        <f t="shared" si="35"/>
        <v>3</v>
      </c>
      <c r="L273" s="2">
        <f t="shared" si="36"/>
        <v>8</v>
      </c>
      <c r="M273" s="3">
        <f t="shared" si="37"/>
        <v>28.49</v>
      </c>
      <c r="N273" s="1">
        <f t="shared" ca="1" si="38"/>
        <v>28.49</v>
      </c>
      <c r="O273" s="5">
        <f t="shared" si="39"/>
        <v>-1.7199017199017175E-2</v>
      </c>
    </row>
    <row r="274" spans="1:15" s="2" customFormat="1" x14ac:dyDescent="0.5">
      <c r="A274" s="6">
        <v>40751</v>
      </c>
      <c r="B274" s="1">
        <v>28.5</v>
      </c>
      <c r="C274" s="1">
        <v>28.5</v>
      </c>
      <c r="D274" s="1">
        <v>27.51</v>
      </c>
      <c r="E274" s="1">
        <v>27.639999</v>
      </c>
      <c r="F274" s="1">
        <v>27.639999</v>
      </c>
      <c r="G274" s="2">
        <v>958500</v>
      </c>
      <c r="H274" s="2">
        <f t="shared" si="32"/>
        <v>2011</v>
      </c>
      <c r="I274" s="2">
        <f t="shared" si="33"/>
        <v>7</v>
      </c>
      <c r="J274" s="2">
        <f t="shared" si="34"/>
        <v>27</v>
      </c>
      <c r="K274" s="2">
        <f t="shared" si="35"/>
        <v>4</v>
      </c>
      <c r="L274" s="2">
        <f t="shared" si="36"/>
        <v>8</v>
      </c>
      <c r="M274" s="3">
        <f t="shared" si="37"/>
        <v>28</v>
      </c>
      <c r="N274" s="1">
        <f t="shared" ca="1" si="38"/>
        <v>28</v>
      </c>
      <c r="O274" s="5">
        <f t="shared" si="39"/>
        <v>-1.285717857142854E-2</v>
      </c>
    </row>
    <row r="275" spans="1:15" s="2" customFormat="1" x14ac:dyDescent="0.5">
      <c r="A275" s="6">
        <v>40752</v>
      </c>
      <c r="B275" s="1">
        <v>27.6</v>
      </c>
      <c r="C275" s="1">
        <v>28.549999</v>
      </c>
      <c r="D275" s="1">
        <v>27.540001</v>
      </c>
      <c r="E275" s="1">
        <v>28.17</v>
      </c>
      <c r="F275" s="1">
        <v>28.17</v>
      </c>
      <c r="G275" s="2">
        <v>938700</v>
      </c>
      <c r="H275" s="2">
        <f t="shared" si="32"/>
        <v>2011</v>
      </c>
      <c r="I275" s="2">
        <f t="shared" si="33"/>
        <v>7</v>
      </c>
      <c r="J275" s="2">
        <f t="shared" si="34"/>
        <v>28</v>
      </c>
      <c r="K275" s="2">
        <f t="shared" si="35"/>
        <v>5</v>
      </c>
      <c r="L275" s="2">
        <f t="shared" si="36"/>
        <v>8</v>
      </c>
      <c r="M275" s="3">
        <f t="shared" si="37"/>
        <v>27.639999</v>
      </c>
      <c r="N275" s="1">
        <f t="shared" ca="1" si="38"/>
        <v>27.639999</v>
      </c>
      <c r="O275" s="5">
        <f t="shared" si="39"/>
        <v>1.9175145411546524E-2</v>
      </c>
    </row>
    <row r="276" spans="1:15" s="2" customFormat="1" x14ac:dyDescent="0.5">
      <c r="A276" s="6">
        <v>40753</v>
      </c>
      <c r="B276" s="1">
        <v>27.799999</v>
      </c>
      <c r="C276" s="1">
        <v>28.4</v>
      </c>
      <c r="D276" s="1">
        <v>27.5</v>
      </c>
      <c r="E276" s="1">
        <v>28.17</v>
      </c>
      <c r="F276" s="1">
        <v>28.17</v>
      </c>
      <c r="G276" s="2">
        <v>948200</v>
      </c>
      <c r="H276" s="2">
        <f t="shared" si="32"/>
        <v>2011</v>
      </c>
      <c r="I276" s="2">
        <f t="shared" si="33"/>
        <v>7</v>
      </c>
      <c r="J276" s="2">
        <f t="shared" si="34"/>
        <v>29</v>
      </c>
      <c r="K276" s="2">
        <f t="shared" si="35"/>
        <v>6</v>
      </c>
      <c r="L276" s="2">
        <f t="shared" si="36"/>
        <v>8</v>
      </c>
      <c r="M276" s="3">
        <f t="shared" si="37"/>
        <v>28.17</v>
      </c>
      <c r="N276" s="1">
        <f t="shared" ca="1" si="38"/>
        <v>28.17</v>
      </c>
      <c r="O276" s="5">
        <f t="shared" si="39"/>
        <v>0</v>
      </c>
    </row>
    <row r="277" spans="1:15" s="2" customFormat="1" x14ac:dyDescent="0.5">
      <c r="A277" s="6">
        <v>40756</v>
      </c>
      <c r="B277" s="1">
        <v>28.67</v>
      </c>
      <c r="C277" s="1">
        <v>28.98</v>
      </c>
      <c r="D277" s="1">
        <v>28.209999</v>
      </c>
      <c r="E277" s="1">
        <v>28.77</v>
      </c>
      <c r="F277" s="1">
        <v>28.77</v>
      </c>
      <c r="G277" s="2">
        <v>1164900</v>
      </c>
      <c r="H277" s="2">
        <f t="shared" si="32"/>
        <v>2011</v>
      </c>
      <c r="I277" s="2">
        <f t="shared" si="33"/>
        <v>8</v>
      </c>
      <c r="J277" s="2">
        <f t="shared" si="34"/>
        <v>1</v>
      </c>
      <c r="K277" s="2">
        <f t="shared" si="35"/>
        <v>2</v>
      </c>
      <c r="L277" s="2">
        <f t="shared" si="36"/>
        <v>9</v>
      </c>
      <c r="M277" s="3">
        <f t="shared" si="37"/>
        <v>28.17</v>
      </c>
      <c r="N277" s="1">
        <f t="shared" ca="1" si="38"/>
        <v>28.17</v>
      </c>
      <c r="O277" s="5">
        <f t="shared" si="39"/>
        <v>2.1299254526091493E-2</v>
      </c>
    </row>
    <row r="278" spans="1:15" s="2" customFormat="1" x14ac:dyDescent="0.5">
      <c r="A278" s="6">
        <v>40757</v>
      </c>
      <c r="B278" s="1">
        <v>28.690000999999999</v>
      </c>
      <c r="C278" s="1">
        <v>29.200001</v>
      </c>
      <c r="D278" s="1">
        <v>27.27</v>
      </c>
      <c r="E278" s="1">
        <v>27.34</v>
      </c>
      <c r="F278" s="1">
        <v>27.34</v>
      </c>
      <c r="G278" s="2">
        <v>1549400</v>
      </c>
      <c r="H278" s="2">
        <f t="shared" si="32"/>
        <v>2011</v>
      </c>
      <c r="I278" s="2">
        <f t="shared" si="33"/>
        <v>8</v>
      </c>
      <c r="J278" s="2">
        <f t="shared" si="34"/>
        <v>2</v>
      </c>
      <c r="K278" s="2">
        <f t="shared" si="35"/>
        <v>3</v>
      </c>
      <c r="L278" s="2">
        <f t="shared" si="36"/>
        <v>9</v>
      </c>
      <c r="M278" s="3">
        <f t="shared" si="37"/>
        <v>28.77</v>
      </c>
      <c r="N278" s="1">
        <f t="shared" ca="1" si="38"/>
        <v>28.77</v>
      </c>
      <c r="O278" s="5">
        <f t="shared" si="39"/>
        <v>-4.970455335418833E-2</v>
      </c>
    </row>
    <row r="279" spans="1:15" s="2" customFormat="1" x14ac:dyDescent="0.5">
      <c r="A279" s="6">
        <v>40758</v>
      </c>
      <c r="B279" s="1">
        <v>27.5</v>
      </c>
      <c r="C279" s="1">
        <v>27.83</v>
      </c>
      <c r="D279" s="1">
        <v>26.34</v>
      </c>
      <c r="E279" s="1">
        <v>27.200001</v>
      </c>
      <c r="F279" s="1">
        <v>27.200001</v>
      </c>
      <c r="G279" s="2">
        <v>1794500</v>
      </c>
      <c r="H279" s="2">
        <f t="shared" si="32"/>
        <v>2011</v>
      </c>
      <c r="I279" s="2">
        <f t="shared" si="33"/>
        <v>8</v>
      </c>
      <c r="J279" s="2">
        <f t="shared" si="34"/>
        <v>3</v>
      </c>
      <c r="K279" s="2">
        <f t="shared" si="35"/>
        <v>4</v>
      </c>
      <c r="L279" s="2">
        <f t="shared" si="36"/>
        <v>9</v>
      </c>
      <c r="M279" s="3">
        <f t="shared" si="37"/>
        <v>27.34</v>
      </c>
      <c r="N279" s="1">
        <f t="shared" ca="1" si="38"/>
        <v>27.34</v>
      </c>
      <c r="O279" s="5">
        <f t="shared" si="39"/>
        <v>-5.1206656912947679E-3</v>
      </c>
    </row>
    <row r="280" spans="1:15" s="2" customFormat="1" x14ac:dyDescent="0.5">
      <c r="A280" s="6">
        <v>40759</v>
      </c>
      <c r="B280" s="1">
        <v>26.51</v>
      </c>
      <c r="C280" s="1">
        <v>26.889999</v>
      </c>
      <c r="D280" s="1">
        <v>24.67</v>
      </c>
      <c r="E280" s="1">
        <v>24.75</v>
      </c>
      <c r="F280" s="1">
        <v>24.75</v>
      </c>
      <c r="G280" s="2">
        <v>3064500</v>
      </c>
      <c r="H280" s="2">
        <f t="shared" si="32"/>
        <v>2011</v>
      </c>
      <c r="I280" s="2">
        <f t="shared" si="33"/>
        <v>8</v>
      </c>
      <c r="J280" s="2">
        <f t="shared" si="34"/>
        <v>4</v>
      </c>
      <c r="K280" s="2">
        <f t="shared" si="35"/>
        <v>5</v>
      </c>
      <c r="L280" s="2">
        <f t="shared" si="36"/>
        <v>9</v>
      </c>
      <c r="M280" s="3">
        <f t="shared" si="37"/>
        <v>27.200001</v>
      </c>
      <c r="N280" s="1">
        <f t="shared" ca="1" si="38"/>
        <v>27.200001</v>
      </c>
      <c r="O280" s="5">
        <f t="shared" si="39"/>
        <v>-9.0073562864942502E-2</v>
      </c>
    </row>
    <row r="281" spans="1:15" s="2" customFormat="1" x14ac:dyDescent="0.5">
      <c r="A281" s="6">
        <v>40760</v>
      </c>
      <c r="B281" s="1">
        <v>24.99</v>
      </c>
      <c r="C281" s="1">
        <v>25.379999000000002</v>
      </c>
      <c r="D281" s="1">
        <v>22.83</v>
      </c>
      <c r="E281" s="1">
        <v>24.24</v>
      </c>
      <c r="F281" s="1">
        <v>24.24</v>
      </c>
      <c r="G281" s="2">
        <v>1964400</v>
      </c>
      <c r="H281" s="2">
        <f t="shared" si="32"/>
        <v>2011</v>
      </c>
      <c r="I281" s="2">
        <f t="shared" si="33"/>
        <v>8</v>
      </c>
      <c r="J281" s="2">
        <f t="shared" si="34"/>
        <v>5</v>
      </c>
      <c r="K281" s="2">
        <f t="shared" si="35"/>
        <v>6</v>
      </c>
      <c r="L281" s="2">
        <f t="shared" si="36"/>
        <v>9</v>
      </c>
      <c r="M281" s="3">
        <f t="shared" si="37"/>
        <v>24.75</v>
      </c>
      <c r="N281" s="1">
        <f t="shared" ca="1" si="38"/>
        <v>24.75</v>
      </c>
      <c r="O281" s="5">
        <f t="shared" si="39"/>
        <v>-2.0606060606060628E-2</v>
      </c>
    </row>
    <row r="282" spans="1:15" s="2" customFormat="1" x14ac:dyDescent="0.5">
      <c r="A282" s="6">
        <v>40763</v>
      </c>
      <c r="B282" s="1">
        <v>23.1</v>
      </c>
      <c r="C282" s="1">
        <v>24.440000999999999</v>
      </c>
      <c r="D282" s="1">
        <v>23.1</v>
      </c>
      <c r="E282" s="1">
        <v>23.639999</v>
      </c>
      <c r="F282" s="1">
        <v>23.639999</v>
      </c>
      <c r="G282" s="2">
        <v>2608500</v>
      </c>
      <c r="H282" s="2">
        <f t="shared" si="32"/>
        <v>2011</v>
      </c>
      <c r="I282" s="2">
        <f t="shared" si="33"/>
        <v>8</v>
      </c>
      <c r="J282" s="2">
        <f t="shared" si="34"/>
        <v>8</v>
      </c>
      <c r="K282" s="2">
        <f t="shared" si="35"/>
        <v>2</v>
      </c>
      <c r="L282" s="2">
        <f t="shared" si="36"/>
        <v>9</v>
      </c>
      <c r="M282" s="3">
        <f t="shared" si="37"/>
        <v>24.24</v>
      </c>
      <c r="N282" s="1">
        <f t="shared" ca="1" si="38"/>
        <v>24.24</v>
      </c>
      <c r="O282" s="5">
        <f t="shared" si="39"/>
        <v>-2.4752516501650113E-2</v>
      </c>
    </row>
    <row r="283" spans="1:15" s="2" customFormat="1" x14ac:dyDescent="0.5">
      <c r="A283" s="6">
        <v>40764</v>
      </c>
      <c r="B283" s="1">
        <v>24.15</v>
      </c>
      <c r="C283" s="1">
        <v>25.450001</v>
      </c>
      <c r="D283" s="1">
        <v>23.700001</v>
      </c>
      <c r="E283" s="1">
        <v>25.059999000000001</v>
      </c>
      <c r="F283" s="1">
        <v>25.059999000000001</v>
      </c>
      <c r="G283" s="2">
        <v>1333400</v>
      </c>
      <c r="H283" s="2">
        <f t="shared" si="32"/>
        <v>2011</v>
      </c>
      <c r="I283" s="2">
        <f t="shared" si="33"/>
        <v>8</v>
      </c>
      <c r="J283" s="2">
        <f t="shared" si="34"/>
        <v>9</v>
      </c>
      <c r="K283" s="2">
        <f t="shared" si="35"/>
        <v>3</v>
      </c>
      <c r="L283" s="2">
        <f t="shared" si="36"/>
        <v>9</v>
      </c>
      <c r="M283" s="3">
        <f t="shared" si="37"/>
        <v>23.639999</v>
      </c>
      <c r="N283" s="1">
        <f t="shared" ca="1" si="38"/>
        <v>23.639999</v>
      </c>
      <c r="O283" s="5">
        <f t="shared" si="39"/>
        <v>6.006768443602728E-2</v>
      </c>
    </row>
    <row r="284" spans="1:15" s="2" customFormat="1" x14ac:dyDescent="0.5">
      <c r="A284" s="6">
        <v>40765</v>
      </c>
      <c r="B284" s="1">
        <v>25.440000999999999</v>
      </c>
      <c r="C284" s="1">
        <v>25.440000999999999</v>
      </c>
      <c r="D284" s="1">
        <v>23.629999000000002</v>
      </c>
      <c r="E284" s="1">
        <v>23.82</v>
      </c>
      <c r="F284" s="1">
        <v>23.82</v>
      </c>
      <c r="G284" s="2">
        <v>1564200</v>
      </c>
      <c r="H284" s="2">
        <f t="shared" si="32"/>
        <v>2011</v>
      </c>
      <c r="I284" s="2">
        <f t="shared" si="33"/>
        <v>8</v>
      </c>
      <c r="J284" s="2">
        <f t="shared" si="34"/>
        <v>10</v>
      </c>
      <c r="K284" s="2">
        <f t="shared" si="35"/>
        <v>4</v>
      </c>
      <c r="L284" s="2">
        <f t="shared" si="36"/>
        <v>9</v>
      </c>
      <c r="M284" s="3">
        <f t="shared" si="37"/>
        <v>25.059999000000001</v>
      </c>
      <c r="N284" s="1">
        <f t="shared" ca="1" si="38"/>
        <v>25.059999000000001</v>
      </c>
      <c r="O284" s="5">
        <f t="shared" si="39"/>
        <v>-4.94812070822509E-2</v>
      </c>
    </row>
    <row r="285" spans="1:15" s="2" customFormat="1" x14ac:dyDescent="0.5">
      <c r="A285" s="6">
        <v>40766</v>
      </c>
      <c r="B285" s="1">
        <v>24.040001</v>
      </c>
      <c r="C285" s="1">
        <v>25.75</v>
      </c>
      <c r="D285" s="1">
        <v>24</v>
      </c>
      <c r="E285" s="1">
        <v>25.299999</v>
      </c>
      <c r="F285" s="1">
        <v>25.299999</v>
      </c>
      <c r="G285" s="2">
        <v>836500</v>
      </c>
      <c r="H285" s="2">
        <f t="shared" si="32"/>
        <v>2011</v>
      </c>
      <c r="I285" s="2">
        <f t="shared" si="33"/>
        <v>8</v>
      </c>
      <c r="J285" s="2">
        <f t="shared" si="34"/>
        <v>11</v>
      </c>
      <c r="K285" s="2">
        <f t="shared" si="35"/>
        <v>5</v>
      </c>
      <c r="L285" s="2">
        <f t="shared" si="36"/>
        <v>9</v>
      </c>
      <c r="M285" s="3">
        <f t="shared" si="37"/>
        <v>23.82</v>
      </c>
      <c r="N285" s="1">
        <f t="shared" ca="1" si="38"/>
        <v>23.82</v>
      </c>
      <c r="O285" s="5">
        <f t="shared" si="39"/>
        <v>6.2132619647355058E-2</v>
      </c>
    </row>
    <row r="286" spans="1:15" s="2" customFormat="1" x14ac:dyDescent="0.5">
      <c r="A286" s="6">
        <v>40767</v>
      </c>
      <c r="B286" s="1">
        <v>25.6</v>
      </c>
      <c r="C286" s="1">
        <v>27.139999</v>
      </c>
      <c r="D286" s="1">
        <v>25.360001</v>
      </c>
      <c r="E286" s="1">
        <v>26.309999000000001</v>
      </c>
      <c r="F286" s="1">
        <v>26.309999000000001</v>
      </c>
      <c r="G286" s="2">
        <v>1009100</v>
      </c>
      <c r="H286" s="2">
        <f t="shared" si="32"/>
        <v>2011</v>
      </c>
      <c r="I286" s="2">
        <f t="shared" si="33"/>
        <v>8</v>
      </c>
      <c r="J286" s="2">
        <f t="shared" si="34"/>
        <v>12</v>
      </c>
      <c r="K286" s="2">
        <f t="shared" si="35"/>
        <v>6</v>
      </c>
      <c r="L286" s="2">
        <f t="shared" si="36"/>
        <v>9</v>
      </c>
      <c r="M286" s="3">
        <f t="shared" si="37"/>
        <v>25.299999</v>
      </c>
      <c r="N286" s="1">
        <f t="shared" ca="1" si="38"/>
        <v>25.299999</v>
      </c>
      <c r="O286" s="5">
        <f t="shared" si="39"/>
        <v>3.9920950194503924E-2</v>
      </c>
    </row>
    <row r="287" spans="1:15" s="2" customFormat="1" x14ac:dyDescent="0.5">
      <c r="A287" s="6">
        <v>40770</v>
      </c>
      <c r="B287" s="1">
        <v>26.620000999999998</v>
      </c>
      <c r="C287" s="1">
        <v>26.75</v>
      </c>
      <c r="D287" s="1">
        <v>25.93</v>
      </c>
      <c r="E287" s="1">
        <v>26.23</v>
      </c>
      <c r="F287" s="1">
        <v>26.23</v>
      </c>
      <c r="G287" s="2">
        <v>738600</v>
      </c>
      <c r="H287" s="2">
        <f t="shared" si="32"/>
        <v>2011</v>
      </c>
      <c r="I287" s="2">
        <f t="shared" si="33"/>
        <v>8</v>
      </c>
      <c r="J287" s="2">
        <f t="shared" si="34"/>
        <v>15</v>
      </c>
      <c r="K287" s="2">
        <f t="shared" si="35"/>
        <v>2</v>
      </c>
      <c r="L287" s="2">
        <f t="shared" si="36"/>
        <v>9</v>
      </c>
      <c r="M287" s="3">
        <f t="shared" si="37"/>
        <v>26.309999000000001</v>
      </c>
      <c r="N287" s="1">
        <f t="shared" ca="1" si="38"/>
        <v>26.309999000000001</v>
      </c>
      <c r="O287" s="5">
        <f t="shared" si="39"/>
        <v>-3.0406310543760195E-3</v>
      </c>
    </row>
    <row r="288" spans="1:15" s="2" customFormat="1" x14ac:dyDescent="0.5">
      <c r="A288" s="6">
        <v>40771</v>
      </c>
      <c r="B288" s="1">
        <v>26.129999000000002</v>
      </c>
      <c r="C288" s="1">
        <v>26.540001</v>
      </c>
      <c r="D288" s="1">
        <v>25.83</v>
      </c>
      <c r="E288" s="1">
        <v>26.1</v>
      </c>
      <c r="F288" s="1">
        <v>26.1</v>
      </c>
      <c r="G288" s="2">
        <v>537700</v>
      </c>
      <c r="H288" s="2">
        <f t="shared" si="32"/>
        <v>2011</v>
      </c>
      <c r="I288" s="2">
        <f t="shared" si="33"/>
        <v>8</v>
      </c>
      <c r="J288" s="2">
        <f t="shared" si="34"/>
        <v>16</v>
      </c>
      <c r="K288" s="2">
        <f t="shared" si="35"/>
        <v>3</v>
      </c>
      <c r="L288" s="2">
        <f t="shared" si="36"/>
        <v>9</v>
      </c>
      <c r="M288" s="3">
        <f t="shared" si="37"/>
        <v>26.23</v>
      </c>
      <c r="N288" s="1">
        <f t="shared" ca="1" si="38"/>
        <v>26.23</v>
      </c>
      <c r="O288" s="5">
        <f t="shared" si="39"/>
        <v>-4.9561570720548787E-3</v>
      </c>
    </row>
    <row r="289" spans="1:15" s="2" customFormat="1" x14ac:dyDescent="0.5">
      <c r="A289" s="6">
        <v>40772</v>
      </c>
      <c r="B289" s="1">
        <v>26.389999</v>
      </c>
      <c r="C289" s="1">
        <v>26.65</v>
      </c>
      <c r="D289" s="1">
        <v>25.51</v>
      </c>
      <c r="E289" s="1">
        <v>25.83</v>
      </c>
      <c r="F289" s="1">
        <v>25.83</v>
      </c>
      <c r="G289" s="2">
        <v>643700</v>
      </c>
      <c r="H289" s="2">
        <f t="shared" si="32"/>
        <v>2011</v>
      </c>
      <c r="I289" s="2">
        <f t="shared" si="33"/>
        <v>8</v>
      </c>
      <c r="J289" s="2">
        <f t="shared" si="34"/>
        <v>17</v>
      </c>
      <c r="K289" s="2">
        <f t="shared" si="35"/>
        <v>4</v>
      </c>
      <c r="L289" s="2">
        <f t="shared" si="36"/>
        <v>9</v>
      </c>
      <c r="M289" s="3">
        <f t="shared" si="37"/>
        <v>26.1</v>
      </c>
      <c r="N289" s="1">
        <f t="shared" ca="1" si="38"/>
        <v>26.1</v>
      </c>
      <c r="O289" s="5">
        <f t="shared" si="39"/>
        <v>-1.0344827586207028E-2</v>
      </c>
    </row>
    <row r="290" spans="1:15" s="2" customFormat="1" x14ac:dyDescent="0.5">
      <c r="A290" s="6">
        <v>40773</v>
      </c>
      <c r="B290" s="1">
        <v>25</v>
      </c>
      <c r="C290" s="1">
        <v>25.15</v>
      </c>
      <c r="D290" s="1">
        <v>23.469999000000001</v>
      </c>
      <c r="E290" s="1">
        <v>24.26</v>
      </c>
      <c r="F290" s="1">
        <v>24.26</v>
      </c>
      <c r="G290" s="2">
        <v>1056600</v>
      </c>
      <c r="H290" s="2">
        <f t="shared" si="32"/>
        <v>2011</v>
      </c>
      <c r="I290" s="2">
        <f t="shared" si="33"/>
        <v>8</v>
      </c>
      <c r="J290" s="2">
        <f t="shared" si="34"/>
        <v>18</v>
      </c>
      <c r="K290" s="2">
        <f t="shared" si="35"/>
        <v>5</v>
      </c>
      <c r="L290" s="2">
        <f t="shared" si="36"/>
        <v>9</v>
      </c>
      <c r="M290" s="3">
        <f t="shared" si="37"/>
        <v>25.83</v>
      </c>
      <c r="N290" s="1">
        <f t="shared" ca="1" si="38"/>
        <v>25.83</v>
      </c>
      <c r="O290" s="5">
        <f t="shared" si="39"/>
        <v>-6.078203639179236E-2</v>
      </c>
    </row>
    <row r="291" spans="1:15" s="2" customFormat="1" x14ac:dyDescent="0.5">
      <c r="A291" s="6">
        <v>40774</v>
      </c>
      <c r="B291" s="1">
        <v>23.860001</v>
      </c>
      <c r="C291" s="1">
        <v>24.219999000000001</v>
      </c>
      <c r="D291" s="1">
        <v>22</v>
      </c>
      <c r="E291" s="1">
        <v>22.299999</v>
      </c>
      <c r="F291" s="1">
        <v>22.299999</v>
      </c>
      <c r="G291" s="2">
        <v>1375300</v>
      </c>
      <c r="H291" s="2">
        <f t="shared" si="32"/>
        <v>2011</v>
      </c>
      <c r="I291" s="2">
        <f t="shared" si="33"/>
        <v>8</v>
      </c>
      <c r="J291" s="2">
        <f t="shared" si="34"/>
        <v>19</v>
      </c>
      <c r="K291" s="2">
        <f t="shared" si="35"/>
        <v>6</v>
      </c>
      <c r="L291" s="2">
        <f t="shared" si="36"/>
        <v>9</v>
      </c>
      <c r="M291" s="3">
        <f t="shared" si="37"/>
        <v>24.26</v>
      </c>
      <c r="N291" s="1">
        <f t="shared" ca="1" si="38"/>
        <v>24.26</v>
      </c>
      <c r="O291" s="5">
        <f t="shared" si="39"/>
        <v>-8.0791467436108877E-2</v>
      </c>
    </row>
    <row r="292" spans="1:15" s="2" customFormat="1" x14ac:dyDescent="0.5">
      <c r="A292" s="6">
        <v>40777</v>
      </c>
      <c r="B292" s="1">
        <v>23.110001</v>
      </c>
      <c r="C292" s="1">
        <v>23.799999</v>
      </c>
      <c r="D292" s="1">
        <v>21.68</v>
      </c>
      <c r="E292" s="1">
        <v>21.950001</v>
      </c>
      <c r="F292" s="1">
        <v>21.950001</v>
      </c>
      <c r="G292" s="2">
        <v>986100</v>
      </c>
      <c r="H292" s="2">
        <f t="shared" si="32"/>
        <v>2011</v>
      </c>
      <c r="I292" s="2">
        <f t="shared" si="33"/>
        <v>8</v>
      </c>
      <c r="J292" s="2">
        <f t="shared" si="34"/>
        <v>22</v>
      </c>
      <c r="K292" s="2">
        <f t="shared" si="35"/>
        <v>2</v>
      </c>
      <c r="L292" s="2">
        <f t="shared" si="36"/>
        <v>9</v>
      </c>
      <c r="M292" s="3">
        <f t="shared" si="37"/>
        <v>22.299999</v>
      </c>
      <c r="N292" s="1">
        <f t="shared" ca="1" si="38"/>
        <v>22.299999</v>
      </c>
      <c r="O292" s="5">
        <f t="shared" si="39"/>
        <v>-1.5694978282285943E-2</v>
      </c>
    </row>
    <row r="293" spans="1:15" s="2" customFormat="1" x14ac:dyDescent="0.5">
      <c r="A293" s="6">
        <v>40778</v>
      </c>
      <c r="B293" s="1">
        <v>21.93</v>
      </c>
      <c r="C293" s="1">
        <v>23.110001</v>
      </c>
      <c r="D293" s="1">
        <v>21.5</v>
      </c>
      <c r="E293" s="1">
        <v>22.959999</v>
      </c>
      <c r="F293" s="1">
        <v>22.959999</v>
      </c>
      <c r="G293" s="2">
        <v>869000</v>
      </c>
      <c r="H293" s="2">
        <f t="shared" si="32"/>
        <v>2011</v>
      </c>
      <c r="I293" s="2">
        <f t="shared" si="33"/>
        <v>8</v>
      </c>
      <c r="J293" s="2">
        <f t="shared" si="34"/>
        <v>23</v>
      </c>
      <c r="K293" s="2">
        <f t="shared" si="35"/>
        <v>3</v>
      </c>
      <c r="L293" s="2">
        <f t="shared" si="36"/>
        <v>9</v>
      </c>
      <c r="M293" s="3">
        <f t="shared" si="37"/>
        <v>21.950001</v>
      </c>
      <c r="N293" s="1">
        <f t="shared" ca="1" si="38"/>
        <v>21.950001</v>
      </c>
      <c r="O293" s="5">
        <f t="shared" si="39"/>
        <v>4.6013574213504604E-2</v>
      </c>
    </row>
    <row r="294" spans="1:15" s="2" customFormat="1" x14ac:dyDescent="0.5">
      <c r="A294" s="6">
        <v>40779</v>
      </c>
      <c r="B294" s="1">
        <v>23.1</v>
      </c>
      <c r="C294" s="1">
        <v>23.93</v>
      </c>
      <c r="D294" s="1">
        <v>22.83</v>
      </c>
      <c r="E294" s="1">
        <v>23.870000999999998</v>
      </c>
      <c r="F294" s="1">
        <v>23.870000999999998</v>
      </c>
      <c r="G294" s="2">
        <v>684300</v>
      </c>
      <c r="H294" s="2">
        <f t="shared" si="32"/>
        <v>2011</v>
      </c>
      <c r="I294" s="2">
        <f t="shared" si="33"/>
        <v>8</v>
      </c>
      <c r="J294" s="2">
        <f t="shared" si="34"/>
        <v>24</v>
      </c>
      <c r="K294" s="2">
        <f t="shared" si="35"/>
        <v>4</v>
      </c>
      <c r="L294" s="2">
        <f t="shared" si="36"/>
        <v>9</v>
      </c>
      <c r="M294" s="3">
        <f t="shared" si="37"/>
        <v>22.959999</v>
      </c>
      <c r="N294" s="1">
        <f t="shared" ca="1" si="38"/>
        <v>22.959999</v>
      </c>
      <c r="O294" s="5">
        <f t="shared" si="39"/>
        <v>3.9634235175707078E-2</v>
      </c>
    </row>
    <row r="295" spans="1:15" s="2" customFormat="1" x14ac:dyDescent="0.5">
      <c r="A295" s="6">
        <v>40780</v>
      </c>
      <c r="B295" s="1">
        <v>23.870000999999998</v>
      </c>
      <c r="C295" s="1">
        <v>23.870000999999998</v>
      </c>
      <c r="D295" s="1">
        <v>22.9</v>
      </c>
      <c r="E295" s="1">
        <v>23.110001</v>
      </c>
      <c r="F295" s="1">
        <v>23.110001</v>
      </c>
      <c r="G295" s="2">
        <v>679800</v>
      </c>
      <c r="H295" s="2">
        <f t="shared" si="32"/>
        <v>2011</v>
      </c>
      <c r="I295" s="2">
        <f t="shared" si="33"/>
        <v>8</v>
      </c>
      <c r="J295" s="2">
        <f t="shared" si="34"/>
        <v>25</v>
      </c>
      <c r="K295" s="2">
        <f t="shared" si="35"/>
        <v>5</v>
      </c>
      <c r="L295" s="2">
        <f t="shared" si="36"/>
        <v>9</v>
      </c>
      <c r="M295" s="3">
        <f t="shared" si="37"/>
        <v>23.870000999999998</v>
      </c>
      <c r="N295" s="1">
        <f t="shared" ca="1" si="38"/>
        <v>23.870000999999998</v>
      </c>
      <c r="O295" s="5">
        <f t="shared" si="39"/>
        <v>-3.1839127279466695E-2</v>
      </c>
    </row>
    <row r="296" spans="1:15" s="2" customFormat="1" x14ac:dyDescent="0.5">
      <c r="A296" s="6">
        <v>40781</v>
      </c>
      <c r="B296" s="1">
        <v>22.709999</v>
      </c>
      <c r="C296" s="1">
        <v>23.950001</v>
      </c>
      <c r="D296" s="1">
        <v>22.07</v>
      </c>
      <c r="E296" s="1">
        <v>23.73</v>
      </c>
      <c r="F296" s="1">
        <v>23.73</v>
      </c>
      <c r="G296" s="2">
        <v>761800</v>
      </c>
      <c r="H296" s="2">
        <f t="shared" si="32"/>
        <v>2011</v>
      </c>
      <c r="I296" s="2">
        <f t="shared" si="33"/>
        <v>8</v>
      </c>
      <c r="J296" s="2">
        <f t="shared" si="34"/>
        <v>26</v>
      </c>
      <c r="K296" s="2">
        <f t="shared" si="35"/>
        <v>6</v>
      </c>
      <c r="L296" s="2">
        <f t="shared" si="36"/>
        <v>9</v>
      </c>
      <c r="M296" s="3">
        <f t="shared" si="37"/>
        <v>23.110001</v>
      </c>
      <c r="N296" s="1">
        <f t="shared" ca="1" si="38"/>
        <v>23.110001</v>
      </c>
      <c r="O296" s="5">
        <f t="shared" si="39"/>
        <v>2.682816846264946E-2</v>
      </c>
    </row>
    <row r="297" spans="1:15" s="2" customFormat="1" x14ac:dyDescent="0.5">
      <c r="A297" s="6">
        <v>40784</v>
      </c>
      <c r="B297" s="1">
        <v>24.219999000000001</v>
      </c>
      <c r="C297" s="1">
        <v>24.85</v>
      </c>
      <c r="D297" s="1">
        <v>24.02</v>
      </c>
      <c r="E297" s="1">
        <v>24.709999</v>
      </c>
      <c r="F297" s="1">
        <v>24.709999</v>
      </c>
      <c r="G297" s="2">
        <v>803400</v>
      </c>
      <c r="H297" s="2">
        <f t="shared" si="32"/>
        <v>2011</v>
      </c>
      <c r="I297" s="2">
        <f t="shared" si="33"/>
        <v>8</v>
      </c>
      <c r="J297" s="2">
        <f t="shared" si="34"/>
        <v>29</v>
      </c>
      <c r="K297" s="2">
        <f t="shared" si="35"/>
        <v>2</v>
      </c>
      <c r="L297" s="2">
        <f t="shared" si="36"/>
        <v>9</v>
      </c>
      <c r="M297" s="3">
        <f t="shared" si="37"/>
        <v>23.73</v>
      </c>
      <c r="N297" s="1">
        <f t="shared" ca="1" si="38"/>
        <v>23.73</v>
      </c>
      <c r="O297" s="5">
        <f t="shared" si="39"/>
        <v>4.1297892962494753E-2</v>
      </c>
    </row>
    <row r="298" spans="1:15" s="2" customFormat="1" x14ac:dyDescent="0.5">
      <c r="A298" s="6">
        <v>40785</v>
      </c>
      <c r="B298" s="1">
        <v>24.5</v>
      </c>
      <c r="C298" s="1">
        <v>24.77</v>
      </c>
      <c r="D298" s="1">
        <v>24.09</v>
      </c>
      <c r="E298" s="1">
        <v>24.629999000000002</v>
      </c>
      <c r="F298" s="1">
        <v>24.629999000000002</v>
      </c>
      <c r="G298" s="2">
        <v>366200</v>
      </c>
      <c r="H298" s="2">
        <f t="shared" si="32"/>
        <v>2011</v>
      </c>
      <c r="I298" s="2">
        <f t="shared" si="33"/>
        <v>8</v>
      </c>
      <c r="J298" s="2">
        <f t="shared" si="34"/>
        <v>30</v>
      </c>
      <c r="K298" s="2">
        <f t="shared" si="35"/>
        <v>3</v>
      </c>
      <c r="L298" s="2">
        <f t="shared" si="36"/>
        <v>9</v>
      </c>
      <c r="M298" s="3">
        <f t="shared" si="37"/>
        <v>24.709999</v>
      </c>
      <c r="N298" s="1">
        <f t="shared" ca="1" si="38"/>
        <v>24.709999</v>
      </c>
      <c r="O298" s="5">
        <f t="shared" si="39"/>
        <v>-3.2375557765096374E-3</v>
      </c>
    </row>
    <row r="299" spans="1:15" s="2" customFormat="1" x14ac:dyDescent="0.5">
      <c r="A299" s="6">
        <v>40786</v>
      </c>
      <c r="B299" s="1">
        <v>24.799999</v>
      </c>
      <c r="C299" s="1">
        <v>25.5</v>
      </c>
      <c r="D299" s="1">
        <v>24.280000999999999</v>
      </c>
      <c r="E299" s="1">
        <v>24.74</v>
      </c>
      <c r="F299" s="1">
        <v>24.74</v>
      </c>
      <c r="G299" s="2">
        <v>823800</v>
      </c>
      <c r="H299" s="2">
        <f t="shared" si="32"/>
        <v>2011</v>
      </c>
      <c r="I299" s="2">
        <f t="shared" si="33"/>
        <v>8</v>
      </c>
      <c r="J299" s="2">
        <f t="shared" si="34"/>
        <v>31</v>
      </c>
      <c r="K299" s="2">
        <f t="shared" si="35"/>
        <v>4</v>
      </c>
      <c r="L299" s="2">
        <f t="shared" si="36"/>
        <v>9</v>
      </c>
      <c r="M299" s="3">
        <f t="shared" si="37"/>
        <v>24.629999000000002</v>
      </c>
      <c r="N299" s="1">
        <f t="shared" ca="1" si="38"/>
        <v>24.629999000000002</v>
      </c>
      <c r="O299" s="5">
        <f t="shared" si="39"/>
        <v>4.4661390363838205E-3</v>
      </c>
    </row>
    <row r="300" spans="1:15" s="2" customFormat="1" x14ac:dyDescent="0.5">
      <c r="A300" s="6">
        <v>40787</v>
      </c>
      <c r="B300" s="1">
        <v>24.66</v>
      </c>
      <c r="C300" s="1">
        <v>24.870000999999998</v>
      </c>
      <c r="D300" s="1">
        <v>23.84</v>
      </c>
      <c r="E300" s="1">
        <v>24</v>
      </c>
      <c r="F300" s="1">
        <v>24</v>
      </c>
      <c r="G300" s="2">
        <v>848100</v>
      </c>
      <c r="H300" s="2">
        <f t="shared" si="32"/>
        <v>2011</v>
      </c>
      <c r="I300" s="2">
        <f t="shared" si="33"/>
        <v>9</v>
      </c>
      <c r="J300" s="2">
        <f t="shared" si="34"/>
        <v>1</v>
      </c>
      <c r="K300" s="2">
        <f t="shared" si="35"/>
        <v>5</v>
      </c>
      <c r="L300" s="2">
        <f t="shared" si="36"/>
        <v>10</v>
      </c>
      <c r="M300" s="3">
        <f t="shared" si="37"/>
        <v>24.74</v>
      </c>
      <c r="N300" s="1">
        <f t="shared" ca="1" si="38"/>
        <v>24.74</v>
      </c>
      <c r="O300" s="5">
        <f t="shared" si="39"/>
        <v>-2.9911075181891622E-2</v>
      </c>
    </row>
    <row r="301" spans="1:15" s="2" customFormat="1" x14ac:dyDescent="0.5">
      <c r="A301" s="6">
        <v>40788</v>
      </c>
      <c r="B301" s="1">
        <v>23.66</v>
      </c>
      <c r="C301" s="1">
        <v>23.99</v>
      </c>
      <c r="D301" s="1">
        <v>22.68</v>
      </c>
      <c r="E301" s="1">
        <v>23.07</v>
      </c>
      <c r="F301" s="1">
        <v>23.07</v>
      </c>
      <c r="G301" s="2">
        <v>769900</v>
      </c>
      <c r="H301" s="2">
        <f t="shared" si="32"/>
        <v>2011</v>
      </c>
      <c r="I301" s="2">
        <f t="shared" si="33"/>
        <v>9</v>
      </c>
      <c r="J301" s="2">
        <f t="shared" si="34"/>
        <v>2</v>
      </c>
      <c r="K301" s="2">
        <f t="shared" si="35"/>
        <v>6</v>
      </c>
      <c r="L301" s="2">
        <f t="shared" si="36"/>
        <v>10</v>
      </c>
      <c r="M301" s="3">
        <f t="shared" si="37"/>
        <v>24</v>
      </c>
      <c r="N301" s="1">
        <f t="shared" ca="1" si="38"/>
        <v>24</v>
      </c>
      <c r="O301" s="5">
        <f t="shared" si="39"/>
        <v>-3.8749999999999951E-2</v>
      </c>
    </row>
    <row r="302" spans="1:15" s="2" customFormat="1" x14ac:dyDescent="0.5">
      <c r="A302" s="6">
        <v>40792</v>
      </c>
      <c r="B302" s="1">
        <v>22.5</v>
      </c>
      <c r="C302" s="1">
        <v>23.200001</v>
      </c>
      <c r="D302" s="1">
        <v>22.290001</v>
      </c>
      <c r="E302" s="1">
        <v>22.940000999999999</v>
      </c>
      <c r="F302" s="1">
        <v>22.940000999999999</v>
      </c>
      <c r="G302" s="2">
        <v>809800</v>
      </c>
      <c r="H302" s="2">
        <f t="shared" si="32"/>
        <v>2011</v>
      </c>
      <c r="I302" s="2">
        <f t="shared" si="33"/>
        <v>9</v>
      </c>
      <c r="J302" s="2">
        <f t="shared" si="34"/>
        <v>6</v>
      </c>
      <c r="K302" s="2">
        <f t="shared" si="35"/>
        <v>3</v>
      </c>
      <c r="L302" s="2">
        <f t="shared" si="36"/>
        <v>10</v>
      </c>
      <c r="M302" s="3">
        <f t="shared" si="37"/>
        <v>23.07</v>
      </c>
      <c r="N302" s="1">
        <f t="shared" ca="1" si="38"/>
        <v>23.07</v>
      </c>
      <c r="O302" s="5">
        <f t="shared" si="39"/>
        <v>-5.634980494148345E-3</v>
      </c>
    </row>
    <row r="303" spans="1:15" s="2" customFormat="1" x14ac:dyDescent="0.5">
      <c r="A303" s="6">
        <v>40793</v>
      </c>
      <c r="B303" s="1">
        <v>23.389999</v>
      </c>
      <c r="C303" s="1">
        <v>24</v>
      </c>
      <c r="D303" s="1">
        <v>23.280000999999999</v>
      </c>
      <c r="E303" s="1">
        <v>23.84</v>
      </c>
      <c r="F303" s="1">
        <v>23.84</v>
      </c>
      <c r="G303" s="2">
        <v>459200</v>
      </c>
      <c r="H303" s="2">
        <f t="shared" si="32"/>
        <v>2011</v>
      </c>
      <c r="I303" s="2">
        <f t="shared" si="33"/>
        <v>9</v>
      </c>
      <c r="J303" s="2">
        <f t="shared" si="34"/>
        <v>7</v>
      </c>
      <c r="K303" s="2">
        <f t="shared" si="35"/>
        <v>4</v>
      </c>
      <c r="L303" s="2">
        <f t="shared" si="36"/>
        <v>10</v>
      </c>
      <c r="M303" s="3">
        <f t="shared" si="37"/>
        <v>22.940000999999999</v>
      </c>
      <c r="N303" s="1">
        <f t="shared" ca="1" si="38"/>
        <v>22.940000999999999</v>
      </c>
      <c r="O303" s="5">
        <f t="shared" si="39"/>
        <v>3.9232735866053359E-2</v>
      </c>
    </row>
    <row r="304" spans="1:15" s="2" customFormat="1" x14ac:dyDescent="0.5">
      <c r="A304" s="6">
        <v>40794</v>
      </c>
      <c r="B304" s="1">
        <v>23.58</v>
      </c>
      <c r="C304" s="1">
        <v>24.030000999999999</v>
      </c>
      <c r="D304" s="1">
        <v>23.280000999999999</v>
      </c>
      <c r="E304" s="1">
        <v>23.610001</v>
      </c>
      <c r="F304" s="1">
        <v>23.610001</v>
      </c>
      <c r="G304" s="2">
        <v>505700</v>
      </c>
      <c r="H304" s="2">
        <f t="shared" si="32"/>
        <v>2011</v>
      </c>
      <c r="I304" s="2">
        <f t="shared" si="33"/>
        <v>9</v>
      </c>
      <c r="J304" s="2">
        <f t="shared" si="34"/>
        <v>8</v>
      </c>
      <c r="K304" s="2">
        <f t="shared" si="35"/>
        <v>5</v>
      </c>
      <c r="L304" s="2">
        <f t="shared" si="36"/>
        <v>10</v>
      </c>
      <c r="M304" s="3">
        <f t="shared" si="37"/>
        <v>23.84</v>
      </c>
      <c r="N304" s="1">
        <f t="shared" ca="1" si="38"/>
        <v>23.84</v>
      </c>
      <c r="O304" s="5">
        <f t="shared" si="39"/>
        <v>-9.6476090604026288E-3</v>
      </c>
    </row>
    <row r="305" spans="1:15" s="2" customFormat="1" x14ac:dyDescent="0.5">
      <c r="A305" s="6">
        <v>40795</v>
      </c>
      <c r="B305" s="1">
        <v>23.370000999999998</v>
      </c>
      <c r="C305" s="1">
        <v>23.57</v>
      </c>
      <c r="D305" s="1">
        <v>22.549999</v>
      </c>
      <c r="E305" s="1">
        <v>22.969999000000001</v>
      </c>
      <c r="F305" s="1">
        <v>22.969999000000001</v>
      </c>
      <c r="G305" s="2">
        <v>669300</v>
      </c>
      <c r="H305" s="2">
        <f t="shared" si="32"/>
        <v>2011</v>
      </c>
      <c r="I305" s="2">
        <f t="shared" si="33"/>
        <v>9</v>
      </c>
      <c r="J305" s="2">
        <f t="shared" si="34"/>
        <v>9</v>
      </c>
      <c r="K305" s="2">
        <f t="shared" si="35"/>
        <v>6</v>
      </c>
      <c r="L305" s="2">
        <f t="shared" si="36"/>
        <v>10</v>
      </c>
      <c r="M305" s="3">
        <f t="shared" si="37"/>
        <v>23.610001</v>
      </c>
      <c r="N305" s="1">
        <f t="shared" ca="1" si="38"/>
        <v>23.610001</v>
      </c>
      <c r="O305" s="5">
        <f t="shared" si="39"/>
        <v>-2.7107241545648364E-2</v>
      </c>
    </row>
    <row r="306" spans="1:15" s="2" customFormat="1" x14ac:dyDescent="0.5">
      <c r="A306" s="6">
        <v>40798</v>
      </c>
      <c r="B306" s="1">
        <v>22.5</v>
      </c>
      <c r="C306" s="1">
        <v>23.309999000000001</v>
      </c>
      <c r="D306" s="1">
        <v>22.450001</v>
      </c>
      <c r="E306" s="1">
        <v>22.879999000000002</v>
      </c>
      <c r="F306" s="1">
        <v>22.879999000000002</v>
      </c>
      <c r="G306" s="2">
        <v>566600</v>
      </c>
      <c r="H306" s="2">
        <f t="shared" si="32"/>
        <v>2011</v>
      </c>
      <c r="I306" s="2">
        <f t="shared" si="33"/>
        <v>9</v>
      </c>
      <c r="J306" s="2">
        <f t="shared" si="34"/>
        <v>12</v>
      </c>
      <c r="K306" s="2">
        <f t="shared" si="35"/>
        <v>2</v>
      </c>
      <c r="L306" s="2">
        <f t="shared" si="36"/>
        <v>10</v>
      </c>
      <c r="M306" s="3">
        <f t="shared" si="37"/>
        <v>22.969999000000001</v>
      </c>
      <c r="N306" s="1">
        <f t="shared" ca="1" si="38"/>
        <v>22.969999000000001</v>
      </c>
      <c r="O306" s="5">
        <f t="shared" si="39"/>
        <v>-3.9181542846388195E-3</v>
      </c>
    </row>
    <row r="307" spans="1:15" s="2" customFormat="1" x14ac:dyDescent="0.5">
      <c r="A307" s="6">
        <v>40799</v>
      </c>
      <c r="B307" s="1">
        <v>23.01</v>
      </c>
      <c r="C307" s="1">
        <v>24.1</v>
      </c>
      <c r="D307" s="1">
        <v>22.75</v>
      </c>
      <c r="E307" s="1">
        <v>24.08</v>
      </c>
      <c r="F307" s="1">
        <v>24.08</v>
      </c>
      <c r="G307" s="2">
        <v>726500</v>
      </c>
      <c r="H307" s="2">
        <f t="shared" si="32"/>
        <v>2011</v>
      </c>
      <c r="I307" s="2">
        <f t="shared" si="33"/>
        <v>9</v>
      </c>
      <c r="J307" s="2">
        <f t="shared" si="34"/>
        <v>13</v>
      </c>
      <c r="K307" s="2">
        <f t="shared" si="35"/>
        <v>3</v>
      </c>
      <c r="L307" s="2">
        <f t="shared" si="36"/>
        <v>10</v>
      </c>
      <c r="M307" s="3">
        <f t="shared" si="37"/>
        <v>22.879999000000002</v>
      </c>
      <c r="N307" s="1">
        <f t="shared" ca="1" si="38"/>
        <v>22.879999000000002</v>
      </c>
      <c r="O307" s="5">
        <f t="shared" si="39"/>
        <v>5.2447598446136112E-2</v>
      </c>
    </row>
    <row r="308" spans="1:15" s="2" customFormat="1" x14ac:dyDescent="0.5">
      <c r="A308" s="6">
        <v>40800</v>
      </c>
      <c r="B308" s="1">
        <v>24.25</v>
      </c>
      <c r="C308" s="1">
        <v>24.84</v>
      </c>
      <c r="D308" s="1">
        <v>23.790001</v>
      </c>
      <c r="E308" s="1">
        <v>24.34</v>
      </c>
      <c r="F308" s="1">
        <v>24.34</v>
      </c>
      <c r="G308" s="2">
        <v>830800</v>
      </c>
      <c r="H308" s="2">
        <f t="shared" si="32"/>
        <v>2011</v>
      </c>
      <c r="I308" s="2">
        <f t="shared" si="33"/>
        <v>9</v>
      </c>
      <c r="J308" s="2">
        <f t="shared" si="34"/>
        <v>14</v>
      </c>
      <c r="K308" s="2">
        <f t="shared" si="35"/>
        <v>4</v>
      </c>
      <c r="L308" s="2">
        <f t="shared" si="36"/>
        <v>10</v>
      </c>
      <c r="M308" s="3">
        <f t="shared" si="37"/>
        <v>24.08</v>
      </c>
      <c r="N308" s="1">
        <f t="shared" ca="1" si="38"/>
        <v>24.08</v>
      </c>
      <c r="O308" s="5">
        <f t="shared" si="39"/>
        <v>1.0797342192691017E-2</v>
      </c>
    </row>
    <row r="309" spans="1:15" s="2" customFormat="1" x14ac:dyDescent="0.5">
      <c r="A309" s="6">
        <v>40801</v>
      </c>
      <c r="B309" s="1">
        <v>24.58</v>
      </c>
      <c r="C309" s="1">
        <v>24.93</v>
      </c>
      <c r="D309" s="1">
        <v>24.33</v>
      </c>
      <c r="E309" s="1">
        <v>24.82</v>
      </c>
      <c r="F309" s="1">
        <v>24.82</v>
      </c>
      <c r="G309" s="2">
        <v>562600</v>
      </c>
      <c r="H309" s="2">
        <f t="shared" si="32"/>
        <v>2011</v>
      </c>
      <c r="I309" s="2">
        <f t="shared" si="33"/>
        <v>9</v>
      </c>
      <c r="J309" s="2">
        <f t="shared" si="34"/>
        <v>15</v>
      </c>
      <c r="K309" s="2">
        <f t="shared" si="35"/>
        <v>5</v>
      </c>
      <c r="L309" s="2">
        <f t="shared" si="36"/>
        <v>10</v>
      </c>
      <c r="M309" s="3">
        <f t="shared" si="37"/>
        <v>24.34</v>
      </c>
      <c r="N309" s="1">
        <f t="shared" ca="1" si="38"/>
        <v>24.34</v>
      </c>
      <c r="O309" s="5">
        <f t="shared" si="39"/>
        <v>1.9720624486442073E-2</v>
      </c>
    </row>
    <row r="310" spans="1:15" s="2" customFormat="1" x14ac:dyDescent="0.5">
      <c r="A310" s="6">
        <v>40802</v>
      </c>
      <c r="B310" s="1">
        <v>24.780000999999999</v>
      </c>
      <c r="C310" s="1">
        <v>25.84</v>
      </c>
      <c r="D310" s="1">
        <v>24.49</v>
      </c>
      <c r="E310" s="1">
        <v>25.799999</v>
      </c>
      <c r="F310" s="1">
        <v>25.799999</v>
      </c>
      <c r="G310" s="2">
        <v>1417100</v>
      </c>
      <c r="H310" s="2">
        <f t="shared" si="32"/>
        <v>2011</v>
      </c>
      <c r="I310" s="2">
        <f t="shared" si="33"/>
        <v>9</v>
      </c>
      <c r="J310" s="2">
        <f t="shared" si="34"/>
        <v>16</v>
      </c>
      <c r="K310" s="2">
        <f t="shared" si="35"/>
        <v>6</v>
      </c>
      <c r="L310" s="2">
        <f t="shared" si="36"/>
        <v>10</v>
      </c>
      <c r="M310" s="3">
        <f t="shared" si="37"/>
        <v>24.82</v>
      </c>
      <c r="N310" s="1">
        <f t="shared" ca="1" si="38"/>
        <v>24.82</v>
      </c>
      <c r="O310" s="5">
        <f t="shared" si="39"/>
        <v>3.9484246575342441E-2</v>
      </c>
    </row>
    <row r="311" spans="1:15" s="2" customFormat="1" x14ac:dyDescent="0.5">
      <c r="A311" s="6">
        <v>40805</v>
      </c>
      <c r="B311" s="1">
        <v>24.950001</v>
      </c>
      <c r="C311" s="1">
        <v>25.809999000000001</v>
      </c>
      <c r="D311" s="1">
        <v>23.82</v>
      </c>
      <c r="E311" s="1">
        <v>25.77</v>
      </c>
      <c r="F311" s="1">
        <v>25.77</v>
      </c>
      <c r="G311" s="2">
        <v>1157400</v>
      </c>
      <c r="H311" s="2">
        <f t="shared" si="32"/>
        <v>2011</v>
      </c>
      <c r="I311" s="2">
        <f t="shared" si="33"/>
        <v>9</v>
      </c>
      <c r="J311" s="2">
        <f t="shared" si="34"/>
        <v>19</v>
      </c>
      <c r="K311" s="2">
        <f t="shared" si="35"/>
        <v>2</v>
      </c>
      <c r="L311" s="2">
        <f t="shared" si="36"/>
        <v>10</v>
      </c>
      <c r="M311" s="3">
        <f t="shared" si="37"/>
        <v>25.799999</v>
      </c>
      <c r="N311" s="1">
        <f t="shared" ca="1" si="38"/>
        <v>25.799999</v>
      </c>
      <c r="O311" s="5">
        <f t="shared" si="39"/>
        <v>-1.1627519830523791E-3</v>
      </c>
    </row>
    <row r="312" spans="1:15" s="2" customFormat="1" x14ac:dyDescent="0.5">
      <c r="A312" s="6">
        <v>40806</v>
      </c>
      <c r="B312" s="1">
        <v>25.98</v>
      </c>
      <c r="C312" s="1">
        <v>26.6</v>
      </c>
      <c r="D312" s="1">
        <v>25.67</v>
      </c>
      <c r="E312" s="1">
        <v>26.01</v>
      </c>
      <c r="F312" s="1">
        <v>26.01</v>
      </c>
      <c r="G312" s="2">
        <v>1180400</v>
      </c>
      <c r="H312" s="2">
        <f t="shared" si="32"/>
        <v>2011</v>
      </c>
      <c r="I312" s="2">
        <f t="shared" si="33"/>
        <v>9</v>
      </c>
      <c r="J312" s="2">
        <f t="shared" si="34"/>
        <v>20</v>
      </c>
      <c r="K312" s="2">
        <f t="shared" si="35"/>
        <v>3</v>
      </c>
      <c r="L312" s="2">
        <f t="shared" si="36"/>
        <v>10</v>
      </c>
      <c r="M312" s="3">
        <f t="shared" si="37"/>
        <v>25.77</v>
      </c>
      <c r="N312" s="1">
        <f t="shared" ca="1" si="38"/>
        <v>25.77</v>
      </c>
      <c r="O312" s="5">
        <f t="shared" si="39"/>
        <v>9.3131548311990997E-3</v>
      </c>
    </row>
    <row r="313" spans="1:15" s="2" customFormat="1" x14ac:dyDescent="0.5">
      <c r="A313" s="6">
        <v>40807</v>
      </c>
      <c r="B313" s="1">
        <v>25.950001</v>
      </c>
      <c r="C313" s="1">
        <v>26.950001</v>
      </c>
      <c r="D313" s="1">
        <v>25.700001</v>
      </c>
      <c r="E313" s="1">
        <v>25.85</v>
      </c>
      <c r="F313" s="1">
        <v>25.85</v>
      </c>
      <c r="G313" s="2">
        <v>987600</v>
      </c>
      <c r="H313" s="2">
        <f t="shared" si="32"/>
        <v>2011</v>
      </c>
      <c r="I313" s="2">
        <f t="shared" si="33"/>
        <v>9</v>
      </c>
      <c r="J313" s="2">
        <f t="shared" si="34"/>
        <v>21</v>
      </c>
      <c r="K313" s="2">
        <f t="shared" si="35"/>
        <v>4</v>
      </c>
      <c r="L313" s="2">
        <f t="shared" si="36"/>
        <v>10</v>
      </c>
      <c r="M313" s="3">
        <f t="shared" si="37"/>
        <v>26.01</v>
      </c>
      <c r="N313" s="1">
        <f t="shared" ca="1" si="38"/>
        <v>26.01</v>
      </c>
      <c r="O313" s="5">
        <f t="shared" si="39"/>
        <v>-6.1514801999230651E-3</v>
      </c>
    </row>
    <row r="314" spans="1:15" s="2" customFormat="1" x14ac:dyDescent="0.5">
      <c r="A314" s="6">
        <v>40808</v>
      </c>
      <c r="B314" s="1">
        <v>25.639999</v>
      </c>
      <c r="C314" s="1">
        <v>26.110001</v>
      </c>
      <c r="D314" s="1">
        <v>24.879999000000002</v>
      </c>
      <c r="E314" s="1">
        <v>25.629999000000002</v>
      </c>
      <c r="F314" s="1">
        <v>25.629999000000002</v>
      </c>
      <c r="G314" s="2">
        <v>775800</v>
      </c>
      <c r="H314" s="2">
        <f t="shared" si="32"/>
        <v>2011</v>
      </c>
      <c r="I314" s="2">
        <f t="shared" si="33"/>
        <v>9</v>
      </c>
      <c r="J314" s="2">
        <f t="shared" si="34"/>
        <v>22</v>
      </c>
      <c r="K314" s="2">
        <f t="shared" si="35"/>
        <v>5</v>
      </c>
      <c r="L314" s="2">
        <f t="shared" si="36"/>
        <v>10</v>
      </c>
      <c r="M314" s="3">
        <f t="shared" si="37"/>
        <v>25.85</v>
      </c>
      <c r="N314" s="1">
        <f t="shared" ca="1" si="38"/>
        <v>25.85</v>
      </c>
      <c r="O314" s="5">
        <f t="shared" si="39"/>
        <v>-8.5106769825918915E-3</v>
      </c>
    </row>
    <row r="315" spans="1:15" s="2" customFormat="1" x14ac:dyDescent="0.5">
      <c r="A315" s="6">
        <v>40809</v>
      </c>
      <c r="B315" s="1">
        <v>25.49</v>
      </c>
      <c r="C315" s="1">
        <v>26.620000999999998</v>
      </c>
      <c r="D315" s="1">
        <v>25.35</v>
      </c>
      <c r="E315" s="1">
        <v>26.379999000000002</v>
      </c>
      <c r="F315" s="1">
        <v>26.379999000000002</v>
      </c>
      <c r="G315" s="2">
        <v>1156400</v>
      </c>
      <c r="H315" s="2">
        <f t="shared" si="32"/>
        <v>2011</v>
      </c>
      <c r="I315" s="2">
        <f t="shared" si="33"/>
        <v>9</v>
      </c>
      <c r="J315" s="2">
        <f t="shared" si="34"/>
        <v>23</v>
      </c>
      <c r="K315" s="2">
        <f t="shared" si="35"/>
        <v>6</v>
      </c>
      <c r="L315" s="2">
        <f t="shared" si="36"/>
        <v>10</v>
      </c>
      <c r="M315" s="3">
        <f t="shared" si="37"/>
        <v>25.629999000000002</v>
      </c>
      <c r="N315" s="1">
        <f t="shared" ca="1" si="38"/>
        <v>25.629999000000002</v>
      </c>
      <c r="O315" s="5">
        <f t="shared" si="39"/>
        <v>2.9262584052383245E-2</v>
      </c>
    </row>
    <row r="316" spans="1:15" s="2" customFormat="1" x14ac:dyDescent="0.5">
      <c r="A316" s="6">
        <v>40812</v>
      </c>
      <c r="B316" s="1">
        <v>26.52</v>
      </c>
      <c r="C316" s="1">
        <v>26.52</v>
      </c>
      <c r="D316" s="1">
        <v>24.9</v>
      </c>
      <c r="E316" s="1">
        <v>25.52</v>
      </c>
      <c r="F316" s="1">
        <v>25.52</v>
      </c>
      <c r="G316" s="2">
        <v>934800</v>
      </c>
      <c r="H316" s="2">
        <f t="shared" si="32"/>
        <v>2011</v>
      </c>
      <c r="I316" s="2">
        <f t="shared" si="33"/>
        <v>9</v>
      </c>
      <c r="J316" s="2">
        <f t="shared" si="34"/>
        <v>26</v>
      </c>
      <c r="K316" s="2">
        <f t="shared" si="35"/>
        <v>2</v>
      </c>
      <c r="L316" s="2">
        <f t="shared" si="36"/>
        <v>10</v>
      </c>
      <c r="M316" s="3">
        <f t="shared" si="37"/>
        <v>26.379999000000002</v>
      </c>
      <c r="N316" s="1">
        <f t="shared" ca="1" si="38"/>
        <v>26.379999000000002</v>
      </c>
      <c r="O316" s="5">
        <f t="shared" si="39"/>
        <v>-3.2600418218363125E-2</v>
      </c>
    </row>
    <row r="317" spans="1:15" s="2" customFormat="1" x14ac:dyDescent="0.5">
      <c r="A317" s="6">
        <v>40813</v>
      </c>
      <c r="B317" s="1">
        <v>26</v>
      </c>
      <c r="C317" s="1">
        <v>26.99</v>
      </c>
      <c r="D317" s="1">
        <v>25.57</v>
      </c>
      <c r="E317" s="1">
        <v>26.190000999999999</v>
      </c>
      <c r="F317" s="1">
        <v>26.190000999999999</v>
      </c>
      <c r="G317" s="2">
        <v>674500</v>
      </c>
      <c r="H317" s="2">
        <f t="shared" si="32"/>
        <v>2011</v>
      </c>
      <c r="I317" s="2">
        <f t="shared" si="33"/>
        <v>9</v>
      </c>
      <c r="J317" s="2">
        <f t="shared" si="34"/>
        <v>27</v>
      </c>
      <c r="K317" s="2">
        <f t="shared" si="35"/>
        <v>3</v>
      </c>
      <c r="L317" s="2">
        <f t="shared" si="36"/>
        <v>10</v>
      </c>
      <c r="M317" s="3">
        <f t="shared" si="37"/>
        <v>25.52</v>
      </c>
      <c r="N317" s="1">
        <f t="shared" ca="1" si="38"/>
        <v>25.52</v>
      </c>
      <c r="O317" s="5">
        <f t="shared" si="39"/>
        <v>2.6253957680250739E-2</v>
      </c>
    </row>
    <row r="318" spans="1:15" s="2" customFormat="1" x14ac:dyDescent="0.5">
      <c r="A318" s="6">
        <v>40814</v>
      </c>
      <c r="B318" s="1">
        <v>26</v>
      </c>
      <c r="C318" s="1">
        <v>26.5</v>
      </c>
      <c r="D318" s="1">
        <v>24.51</v>
      </c>
      <c r="E318" s="1">
        <v>24.59</v>
      </c>
      <c r="F318" s="1">
        <v>24.59</v>
      </c>
      <c r="G318" s="2">
        <v>723300</v>
      </c>
      <c r="H318" s="2">
        <f t="shared" si="32"/>
        <v>2011</v>
      </c>
      <c r="I318" s="2">
        <f t="shared" si="33"/>
        <v>9</v>
      </c>
      <c r="J318" s="2">
        <f t="shared" si="34"/>
        <v>28</v>
      </c>
      <c r="K318" s="2">
        <f t="shared" si="35"/>
        <v>4</v>
      </c>
      <c r="L318" s="2">
        <f t="shared" si="36"/>
        <v>10</v>
      </c>
      <c r="M318" s="3">
        <f t="shared" si="37"/>
        <v>26.190000999999999</v>
      </c>
      <c r="N318" s="1">
        <f t="shared" ca="1" si="38"/>
        <v>26.190000999999999</v>
      </c>
      <c r="O318" s="5">
        <f t="shared" si="39"/>
        <v>-6.1092055704770609E-2</v>
      </c>
    </row>
    <row r="319" spans="1:15" s="2" customFormat="1" x14ac:dyDescent="0.5">
      <c r="A319" s="6">
        <v>40815</v>
      </c>
      <c r="B319" s="1">
        <v>25.719999000000001</v>
      </c>
      <c r="C319" s="1">
        <v>25.82</v>
      </c>
      <c r="D319" s="1">
        <v>23.549999</v>
      </c>
      <c r="E319" s="1">
        <v>24.120000999999998</v>
      </c>
      <c r="F319" s="1">
        <v>24.120000999999998</v>
      </c>
      <c r="G319" s="2">
        <v>929600</v>
      </c>
      <c r="H319" s="2">
        <f t="shared" si="32"/>
        <v>2011</v>
      </c>
      <c r="I319" s="2">
        <f t="shared" si="33"/>
        <v>9</v>
      </c>
      <c r="J319" s="2">
        <f t="shared" si="34"/>
        <v>29</v>
      </c>
      <c r="K319" s="2">
        <f t="shared" si="35"/>
        <v>5</v>
      </c>
      <c r="L319" s="2">
        <f t="shared" si="36"/>
        <v>10</v>
      </c>
      <c r="M319" s="3">
        <f t="shared" si="37"/>
        <v>24.59</v>
      </c>
      <c r="N319" s="1">
        <f t="shared" ca="1" si="38"/>
        <v>24.59</v>
      </c>
      <c r="O319" s="5">
        <f t="shared" si="39"/>
        <v>-1.911342008946737E-2</v>
      </c>
    </row>
    <row r="320" spans="1:15" s="2" customFormat="1" x14ac:dyDescent="0.5">
      <c r="A320" s="6">
        <v>40816</v>
      </c>
      <c r="B320" s="1">
        <v>24.799999</v>
      </c>
      <c r="C320" s="1">
        <v>24.889999</v>
      </c>
      <c r="D320" s="1">
        <v>23.49</v>
      </c>
      <c r="E320" s="1">
        <v>24.389999</v>
      </c>
      <c r="F320" s="1">
        <v>24.389999</v>
      </c>
      <c r="G320" s="2">
        <v>1336100</v>
      </c>
      <c r="H320" s="2">
        <f t="shared" si="32"/>
        <v>2011</v>
      </c>
      <c r="I320" s="2">
        <f t="shared" si="33"/>
        <v>9</v>
      </c>
      <c r="J320" s="2">
        <f t="shared" si="34"/>
        <v>30</v>
      </c>
      <c r="K320" s="2">
        <f t="shared" si="35"/>
        <v>6</v>
      </c>
      <c r="L320" s="2">
        <f t="shared" si="36"/>
        <v>10</v>
      </c>
      <c r="M320" s="3">
        <f t="shared" si="37"/>
        <v>24.120000999999998</v>
      </c>
      <c r="N320" s="1">
        <f t="shared" ca="1" si="38"/>
        <v>24.120000999999998</v>
      </c>
      <c r="O320" s="5">
        <f t="shared" si="39"/>
        <v>1.1193946467912719E-2</v>
      </c>
    </row>
    <row r="321" spans="1:15" s="2" customFormat="1" x14ac:dyDescent="0.5">
      <c r="A321" s="6">
        <v>40819</v>
      </c>
      <c r="B321" s="1">
        <v>24.950001</v>
      </c>
      <c r="C321" s="1">
        <v>25</v>
      </c>
      <c r="D321" s="1">
        <v>23.25</v>
      </c>
      <c r="E321" s="1">
        <v>23.73</v>
      </c>
      <c r="F321" s="1">
        <v>23.73</v>
      </c>
      <c r="G321" s="2">
        <v>1023200</v>
      </c>
      <c r="H321" s="2">
        <f t="shared" si="32"/>
        <v>2011</v>
      </c>
      <c r="I321" s="2">
        <f t="shared" si="33"/>
        <v>10</v>
      </c>
      <c r="J321" s="2">
        <f t="shared" si="34"/>
        <v>3</v>
      </c>
      <c r="K321" s="2">
        <f t="shared" si="35"/>
        <v>2</v>
      </c>
      <c r="L321" s="2">
        <f t="shared" si="36"/>
        <v>11</v>
      </c>
      <c r="M321" s="3">
        <f t="shared" si="37"/>
        <v>24.389999</v>
      </c>
      <c r="N321" s="1">
        <f t="shared" ca="1" si="38"/>
        <v>24.389999</v>
      </c>
      <c r="O321" s="5">
        <f t="shared" si="39"/>
        <v>-2.7060230711776545E-2</v>
      </c>
    </row>
    <row r="322" spans="1:15" s="2" customFormat="1" x14ac:dyDescent="0.5">
      <c r="A322" s="6">
        <v>40820</v>
      </c>
      <c r="B322" s="1">
        <v>23.290001</v>
      </c>
      <c r="C322" s="1">
        <v>24.32</v>
      </c>
      <c r="D322" s="1">
        <v>22.93</v>
      </c>
      <c r="E322" s="1">
        <v>23.66</v>
      </c>
      <c r="F322" s="1">
        <v>23.66</v>
      </c>
      <c r="G322" s="2">
        <v>1200300</v>
      </c>
      <c r="H322" s="2">
        <f t="shared" ref="H322:H385" si="40">YEAR(A322)</f>
        <v>2011</v>
      </c>
      <c r="I322" s="2">
        <f t="shared" ref="I322:I385" si="41">MONTH(A322)</f>
        <v>10</v>
      </c>
      <c r="J322" s="2">
        <f t="shared" ref="J322:J385" si="42">DAY(A322)</f>
        <v>4</v>
      </c>
      <c r="K322" s="2">
        <f t="shared" ref="K322:K385" si="43">WEEKDAY(A322)</f>
        <v>3</v>
      </c>
      <c r="L322" s="2">
        <f t="shared" si="36"/>
        <v>11</v>
      </c>
      <c r="M322" s="3">
        <f t="shared" si="37"/>
        <v>23.73</v>
      </c>
      <c r="N322" s="1">
        <f t="shared" ca="1" si="38"/>
        <v>23.73</v>
      </c>
      <c r="O322" s="5">
        <f t="shared" si="39"/>
        <v>-2.9498525073746729E-3</v>
      </c>
    </row>
    <row r="323" spans="1:15" s="2" customFormat="1" x14ac:dyDescent="0.5">
      <c r="A323" s="6">
        <v>40821</v>
      </c>
      <c r="B323" s="1">
        <v>24.030000999999999</v>
      </c>
      <c r="C323" s="1">
        <v>25.84</v>
      </c>
      <c r="D323" s="1">
        <v>23.35</v>
      </c>
      <c r="E323" s="1">
        <v>25.370000999999998</v>
      </c>
      <c r="F323" s="1">
        <v>25.370000999999998</v>
      </c>
      <c r="G323" s="2">
        <v>1229500</v>
      </c>
      <c r="H323" s="2">
        <f t="shared" si="40"/>
        <v>2011</v>
      </c>
      <c r="I323" s="2">
        <f t="shared" si="41"/>
        <v>10</v>
      </c>
      <c r="J323" s="2">
        <f t="shared" si="42"/>
        <v>5</v>
      </c>
      <c r="K323" s="2">
        <f t="shared" si="43"/>
        <v>4</v>
      </c>
      <c r="L323" s="2">
        <f t="shared" ref="L323:L386" si="44">I323+1</f>
        <v>11</v>
      </c>
      <c r="M323" s="3">
        <f t="shared" ref="M323:M386" si="45">F322</f>
        <v>23.66</v>
      </c>
      <c r="N323" s="1">
        <f t="shared" ref="N323:N386" ca="1" si="46">OFFSET(F323, -1, 0)</f>
        <v>23.66</v>
      </c>
      <c r="O323" s="5">
        <f t="shared" ref="O323:O386" si="47">(F323/M323)-1</f>
        <v>7.227392223161444E-2</v>
      </c>
    </row>
    <row r="324" spans="1:15" s="2" customFormat="1" x14ac:dyDescent="0.5">
      <c r="A324" s="6">
        <v>40822</v>
      </c>
      <c r="B324" s="1">
        <v>25.370000999999998</v>
      </c>
      <c r="C324" s="1">
        <v>27.6</v>
      </c>
      <c r="D324" s="1">
        <v>25.02</v>
      </c>
      <c r="E324" s="1">
        <v>26.959999</v>
      </c>
      <c r="F324" s="1">
        <v>26.959999</v>
      </c>
      <c r="G324" s="2">
        <v>1769100</v>
      </c>
      <c r="H324" s="2">
        <f t="shared" si="40"/>
        <v>2011</v>
      </c>
      <c r="I324" s="2">
        <f t="shared" si="41"/>
        <v>10</v>
      </c>
      <c r="J324" s="2">
        <f t="shared" si="42"/>
        <v>6</v>
      </c>
      <c r="K324" s="2">
        <f t="shared" si="43"/>
        <v>5</v>
      </c>
      <c r="L324" s="2">
        <f t="shared" si="44"/>
        <v>11</v>
      </c>
      <c r="M324" s="3">
        <f t="shared" si="45"/>
        <v>25.370000999999998</v>
      </c>
      <c r="N324" s="1">
        <f t="shared" ca="1" si="46"/>
        <v>25.370000999999998</v>
      </c>
      <c r="O324" s="5">
        <f t="shared" si="47"/>
        <v>6.267236646935892E-2</v>
      </c>
    </row>
    <row r="325" spans="1:15" s="2" customFormat="1" x14ac:dyDescent="0.5">
      <c r="A325" s="6">
        <v>40823</v>
      </c>
      <c r="B325" s="1">
        <v>26.98</v>
      </c>
      <c r="C325" s="1">
        <v>27.6</v>
      </c>
      <c r="D325" s="1">
        <v>26.049999</v>
      </c>
      <c r="E325" s="1">
        <v>26.99</v>
      </c>
      <c r="F325" s="1">
        <v>26.99</v>
      </c>
      <c r="G325" s="2">
        <v>1311600</v>
      </c>
      <c r="H325" s="2">
        <f t="shared" si="40"/>
        <v>2011</v>
      </c>
      <c r="I325" s="2">
        <f t="shared" si="41"/>
        <v>10</v>
      </c>
      <c r="J325" s="2">
        <f t="shared" si="42"/>
        <v>7</v>
      </c>
      <c r="K325" s="2">
        <f t="shared" si="43"/>
        <v>6</v>
      </c>
      <c r="L325" s="2">
        <f t="shared" si="44"/>
        <v>11</v>
      </c>
      <c r="M325" s="3">
        <f t="shared" si="45"/>
        <v>26.959999</v>
      </c>
      <c r="N325" s="1">
        <f t="shared" ca="1" si="46"/>
        <v>26.959999</v>
      </c>
      <c r="O325" s="5">
        <f t="shared" si="47"/>
        <v>1.1127967771809022E-3</v>
      </c>
    </row>
    <row r="326" spans="1:15" s="2" customFormat="1" x14ac:dyDescent="0.5">
      <c r="A326" s="6">
        <v>40826</v>
      </c>
      <c r="B326" s="1">
        <v>27.309999000000001</v>
      </c>
      <c r="C326" s="1">
        <v>28.18</v>
      </c>
      <c r="D326" s="1">
        <v>27</v>
      </c>
      <c r="E326" s="1">
        <v>27.879999000000002</v>
      </c>
      <c r="F326" s="1">
        <v>27.879999000000002</v>
      </c>
      <c r="G326" s="2">
        <v>923500</v>
      </c>
      <c r="H326" s="2">
        <f t="shared" si="40"/>
        <v>2011</v>
      </c>
      <c r="I326" s="2">
        <f t="shared" si="41"/>
        <v>10</v>
      </c>
      <c r="J326" s="2">
        <f t="shared" si="42"/>
        <v>10</v>
      </c>
      <c r="K326" s="2">
        <f t="shared" si="43"/>
        <v>2</v>
      </c>
      <c r="L326" s="2">
        <f t="shared" si="44"/>
        <v>11</v>
      </c>
      <c r="M326" s="3">
        <f t="shared" si="45"/>
        <v>26.99</v>
      </c>
      <c r="N326" s="1">
        <f t="shared" ca="1" si="46"/>
        <v>26.99</v>
      </c>
      <c r="O326" s="5">
        <f t="shared" si="47"/>
        <v>3.2975138940348314E-2</v>
      </c>
    </row>
    <row r="327" spans="1:15" s="2" customFormat="1" x14ac:dyDescent="0.5">
      <c r="A327" s="6">
        <v>40827</v>
      </c>
      <c r="B327" s="1">
        <v>27.51</v>
      </c>
      <c r="C327" s="1">
        <v>27.77</v>
      </c>
      <c r="D327" s="1">
        <v>27.09</v>
      </c>
      <c r="E327" s="1">
        <v>27.610001</v>
      </c>
      <c r="F327" s="1">
        <v>27.610001</v>
      </c>
      <c r="G327" s="2">
        <v>575700</v>
      </c>
      <c r="H327" s="2">
        <f t="shared" si="40"/>
        <v>2011</v>
      </c>
      <c r="I327" s="2">
        <f t="shared" si="41"/>
        <v>10</v>
      </c>
      <c r="J327" s="2">
        <f t="shared" si="42"/>
        <v>11</v>
      </c>
      <c r="K327" s="2">
        <f t="shared" si="43"/>
        <v>3</v>
      </c>
      <c r="L327" s="2">
        <f t="shared" si="44"/>
        <v>11</v>
      </c>
      <c r="M327" s="3">
        <f t="shared" si="45"/>
        <v>27.879999000000002</v>
      </c>
      <c r="N327" s="1">
        <f t="shared" ca="1" si="46"/>
        <v>27.879999000000002</v>
      </c>
      <c r="O327" s="5">
        <f t="shared" si="47"/>
        <v>-9.6842901608426013E-3</v>
      </c>
    </row>
    <row r="328" spans="1:15" s="2" customFormat="1" x14ac:dyDescent="0.5">
      <c r="A328" s="6">
        <v>40828</v>
      </c>
      <c r="B328" s="1">
        <v>27.25</v>
      </c>
      <c r="C328" s="1">
        <v>28</v>
      </c>
      <c r="D328" s="1">
        <v>27.200001</v>
      </c>
      <c r="E328" s="1">
        <v>27.799999</v>
      </c>
      <c r="F328" s="1">
        <v>27.799999</v>
      </c>
      <c r="G328" s="2">
        <v>1123400</v>
      </c>
      <c r="H328" s="2">
        <f t="shared" si="40"/>
        <v>2011</v>
      </c>
      <c r="I328" s="2">
        <f t="shared" si="41"/>
        <v>10</v>
      </c>
      <c r="J328" s="2">
        <f t="shared" si="42"/>
        <v>12</v>
      </c>
      <c r="K328" s="2">
        <f t="shared" si="43"/>
        <v>4</v>
      </c>
      <c r="L328" s="2">
        <f t="shared" si="44"/>
        <v>11</v>
      </c>
      <c r="M328" s="3">
        <f t="shared" si="45"/>
        <v>27.610001</v>
      </c>
      <c r="N328" s="1">
        <f t="shared" ca="1" si="46"/>
        <v>27.610001</v>
      </c>
      <c r="O328" s="5">
        <f t="shared" si="47"/>
        <v>6.8814919637272265E-3</v>
      </c>
    </row>
    <row r="329" spans="1:15" s="2" customFormat="1" x14ac:dyDescent="0.5">
      <c r="A329" s="6">
        <v>40829</v>
      </c>
      <c r="B329" s="1">
        <v>27.629999000000002</v>
      </c>
      <c r="C329" s="1">
        <v>28.469999000000001</v>
      </c>
      <c r="D329" s="1">
        <v>27.440000999999999</v>
      </c>
      <c r="E329" s="1">
        <v>27.940000999999999</v>
      </c>
      <c r="F329" s="1">
        <v>27.940000999999999</v>
      </c>
      <c r="G329" s="2">
        <v>1043500</v>
      </c>
      <c r="H329" s="2">
        <f t="shared" si="40"/>
        <v>2011</v>
      </c>
      <c r="I329" s="2">
        <f t="shared" si="41"/>
        <v>10</v>
      </c>
      <c r="J329" s="2">
        <f t="shared" si="42"/>
        <v>13</v>
      </c>
      <c r="K329" s="2">
        <f t="shared" si="43"/>
        <v>5</v>
      </c>
      <c r="L329" s="2">
        <f t="shared" si="44"/>
        <v>11</v>
      </c>
      <c r="M329" s="3">
        <f t="shared" si="45"/>
        <v>27.799999</v>
      </c>
      <c r="N329" s="1">
        <f t="shared" ca="1" si="46"/>
        <v>27.799999</v>
      </c>
      <c r="O329" s="5">
        <f t="shared" si="47"/>
        <v>5.0360433466203336E-3</v>
      </c>
    </row>
    <row r="330" spans="1:15" s="2" customFormat="1" x14ac:dyDescent="0.5">
      <c r="A330" s="6">
        <v>40830</v>
      </c>
      <c r="B330" s="1">
        <v>28</v>
      </c>
      <c r="C330" s="1">
        <v>28.549999</v>
      </c>
      <c r="D330" s="1">
        <v>27.26</v>
      </c>
      <c r="E330" s="1">
        <v>28.049999</v>
      </c>
      <c r="F330" s="1">
        <v>28.049999</v>
      </c>
      <c r="G330" s="2">
        <v>1400500</v>
      </c>
      <c r="H330" s="2">
        <f t="shared" si="40"/>
        <v>2011</v>
      </c>
      <c r="I330" s="2">
        <f t="shared" si="41"/>
        <v>10</v>
      </c>
      <c r="J330" s="2">
        <f t="shared" si="42"/>
        <v>14</v>
      </c>
      <c r="K330" s="2">
        <f t="shared" si="43"/>
        <v>6</v>
      </c>
      <c r="L330" s="2">
        <f t="shared" si="44"/>
        <v>11</v>
      </c>
      <c r="M330" s="3">
        <f t="shared" si="45"/>
        <v>27.940000999999999</v>
      </c>
      <c r="N330" s="1">
        <f t="shared" ca="1" si="46"/>
        <v>27.940000999999999</v>
      </c>
      <c r="O330" s="5">
        <f t="shared" si="47"/>
        <v>3.9369361511476519E-3</v>
      </c>
    </row>
    <row r="331" spans="1:15" s="2" customFormat="1" x14ac:dyDescent="0.5">
      <c r="A331" s="6">
        <v>40833</v>
      </c>
      <c r="B331" s="1">
        <v>27.860001</v>
      </c>
      <c r="C331" s="1">
        <v>28</v>
      </c>
      <c r="D331" s="1">
        <v>27.26</v>
      </c>
      <c r="E331" s="1">
        <v>27.42</v>
      </c>
      <c r="F331" s="1">
        <v>27.42</v>
      </c>
      <c r="G331" s="2">
        <v>754500</v>
      </c>
      <c r="H331" s="2">
        <f t="shared" si="40"/>
        <v>2011</v>
      </c>
      <c r="I331" s="2">
        <f t="shared" si="41"/>
        <v>10</v>
      </c>
      <c r="J331" s="2">
        <f t="shared" si="42"/>
        <v>17</v>
      </c>
      <c r="K331" s="2">
        <f t="shared" si="43"/>
        <v>2</v>
      </c>
      <c r="L331" s="2">
        <f t="shared" si="44"/>
        <v>11</v>
      </c>
      <c r="M331" s="3">
        <f t="shared" si="45"/>
        <v>28.049999</v>
      </c>
      <c r="N331" s="1">
        <f t="shared" ca="1" si="46"/>
        <v>28.049999</v>
      </c>
      <c r="O331" s="5">
        <f t="shared" si="47"/>
        <v>-2.245985819821239E-2</v>
      </c>
    </row>
    <row r="332" spans="1:15" s="2" customFormat="1" x14ac:dyDescent="0.5">
      <c r="A332" s="6">
        <v>40834</v>
      </c>
      <c r="B332" s="1">
        <v>27.299999</v>
      </c>
      <c r="C332" s="1">
        <v>28.43</v>
      </c>
      <c r="D332" s="1">
        <v>26.709999</v>
      </c>
      <c r="E332" s="1">
        <v>28.34</v>
      </c>
      <c r="F332" s="1">
        <v>28.34</v>
      </c>
      <c r="G332" s="2">
        <v>999700</v>
      </c>
      <c r="H332" s="2">
        <f t="shared" si="40"/>
        <v>2011</v>
      </c>
      <c r="I332" s="2">
        <f t="shared" si="41"/>
        <v>10</v>
      </c>
      <c r="J332" s="2">
        <f t="shared" si="42"/>
        <v>18</v>
      </c>
      <c r="K332" s="2">
        <f t="shared" si="43"/>
        <v>3</v>
      </c>
      <c r="L332" s="2">
        <f t="shared" si="44"/>
        <v>11</v>
      </c>
      <c r="M332" s="3">
        <f t="shared" si="45"/>
        <v>27.42</v>
      </c>
      <c r="N332" s="1">
        <f t="shared" ca="1" si="46"/>
        <v>27.42</v>
      </c>
      <c r="O332" s="5">
        <f t="shared" si="47"/>
        <v>3.3552151714077327E-2</v>
      </c>
    </row>
    <row r="333" spans="1:15" s="2" customFormat="1" x14ac:dyDescent="0.5">
      <c r="A333" s="6">
        <v>40835</v>
      </c>
      <c r="B333" s="1">
        <v>28.02</v>
      </c>
      <c r="C333" s="1">
        <v>28.059999000000001</v>
      </c>
      <c r="D333" s="1">
        <v>27.299999</v>
      </c>
      <c r="E333" s="1">
        <v>27.57</v>
      </c>
      <c r="F333" s="1">
        <v>27.57</v>
      </c>
      <c r="G333" s="2">
        <v>792900</v>
      </c>
      <c r="H333" s="2">
        <f t="shared" si="40"/>
        <v>2011</v>
      </c>
      <c r="I333" s="2">
        <f t="shared" si="41"/>
        <v>10</v>
      </c>
      <c r="J333" s="2">
        <f t="shared" si="42"/>
        <v>19</v>
      </c>
      <c r="K333" s="2">
        <f t="shared" si="43"/>
        <v>4</v>
      </c>
      <c r="L333" s="2">
        <f t="shared" si="44"/>
        <v>11</v>
      </c>
      <c r="M333" s="3">
        <f t="shared" si="45"/>
        <v>28.34</v>
      </c>
      <c r="N333" s="1">
        <f t="shared" ca="1" si="46"/>
        <v>28.34</v>
      </c>
      <c r="O333" s="5">
        <f t="shared" si="47"/>
        <v>-2.7170077628793199E-2</v>
      </c>
    </row>
    <row r="334" spans="1:15" s="2" customFormat="1" x14ac:dyDescent="0.5">
      <c r="A334" s="6">
        <v>40836</v>
      </c>
      <c r="B334" s="1">
        <v>27.440000999999999</v>
      </c>
      <c r="C334" s="1">
        <v>27.469999000000001</v>
      </c>
      <c r="D334" s="1">
        <v>27</v>
      </c>
      <c r="E334" s="1">
        <v>27.34</v>
      </c>
      <c r="F334" s="1">
        <v>27.34</v>
      </c>
      <c r="G334" s="2">
        <v>999700</v>
      </c>
      <c r="H334" s="2">
        <f t="shared" si="40"/>
        <v>2011</v>
      </c>
      <c r="I334" s="2">
        <f t="shared" si="41"/>
        <v>10</v>
      </c>
      <c r="J334" s="2">
        <f t="shared" si="42"/>
        <v>20</v>
      </c>
      <c r="K334" s="2">
        <f t="shared" si="43"/>
        <v>5</v>
      </c>
      <c r="L334" s="2">
        <f t="shared" si="44"/>
        <v>11</v>
      </c>
      <c r="M334" s="3">
        <f t="shared" si="45"/>
        <v>27.57</v>
      </c>
      <c r="N334" s="1">
        <f t="shared" ca="1" si="46"/>
        <v>27.57</v>
      </c>
      <c r="O334" s="5">
        <f t="shared" si="47"/>
        <v>-8.342401160681967E-3</v>
      </c>
    </row>
    <row r="335" spans="1:15" s="2" customFormat="1" x14ac:dyDescent="0.5">
      <c r="A335" s="6">
        <v>40837</v>
      </c>
      <c r="B335" s="1">
        <v>27.4</v>
      </c>
      <c r="C335" s="1">
        <v>28.299999</v>
      </c>
      <c r="D335" s="1">
        <v>27.01</v>
      </c>
      <c r="E335" s="1">
        <v>28.030000999999999</v>
      </c>
      <c r="F335" s="1">
        <v>28.030000999999999</v>
      </c>
      <c r="G335" s="2">
        <v>1142600</v>
      </c>
      <c r="H335" s="2">
        <f t="shared" si="40"/>
        <v>2011</v>
      </c>
      <c r="I335" s="2">
        <f t="shared" si="41"/>
        <v>10</v>
      </c>
      <c r="J335" s="2">
        <f t="shared" si="42"/>
        <v>21</v>
      </c>
      <c r="K335" s="2">
        <f t="shared" si="43"/>
        <v>6</v>
      </c>
      <c r="L335" s="2">
        <f t="shared" si="44"/>
        <v>11</v>
      </c>
      <c r="M335" s="3">
        <f t="shared" si="45"/>
        <v>27.34</v>
      </c>
      <c r="N335" s="1">
        <f t="shared" ca="1" si="46"/>
        <v>27.34</v>
      </c>
      <c r="O335" s="5">
        <f t="shared" si="47"/>
        <v>2.5237783467446873E-2</v>
      </c>
    </row>
    <row r="336" spans="1:15" s="2" customFormat="1" x14ac:dyDescent="0.5">
      <c r="A336" s="6">
        <v>40840</v>
      </c>
      <c r="B336" s="1">
        <v>27.870000999999998</v>
      </c>
      <c r="C336" s="1">
        <v>28.889999</v>
      </c>
      <c r="D336" s="1">
        <v>27.75</v>
      </c>
      <c r="E336" s="1">
        <v>28.549999</v>
      </c>
      <c r="F336" s="1">
        <v>28.549999</v>
      </c>
      <c r="G336" s="2">
        <v>940600</v>
      </c>
      <c r="H336" s="2">
        <f t="shared" si="40"/>
        <v>2011</v>
      </c>
      <c r="I336" s="2">
        <f t="shared" si="41"/>
        <v>10</v>
      </c>
      <c r="J336" s="2">
        <f t="shared" si="42"/>
        <v>24</v>
      </c>
      <c r="K336" s="2">
        <f t="shared" si="43"/>
        <v>2</v>
      </c>
      <c r="L336" s="2">
        <f t="shared" si="44"/>
        <v>11</v>
      </c>
      <c r="M336" s="3">
        <f t="shared" si="45"/>
        <v>28.030000999999999</v>
      </c>
      <c r="N336" s="1">
        <f t="shared" ca="1" si="46"/>
        <v>28.030000999999999</v>
      </c>
      <c r="O336" s="5">
        <f t="shared" si="47"/>
        <v>1.8551479894702849E-2</v>
      </c>
    </row>
    <row r="337" spans="1:15" s="2" customFormat="1" x14ac:dyDescent="0.5">
      <c r="A337" s="6">
        <v>40841</v>
      </c>
      <c r="B337" s="1">
        <v>28.23</v>
      </c>
      <c r="C337" s="1">
        <v>28.860001</v>
      </c>
      <c r="D337" s="1">
        <v>27.799999</v>
      </c>
      <c r="E337" s="1">
        <v>28.25</v>
      </c>
      <c r="F337" s="1">
        <v>28.25</v>
      </c>
      <c r="G337" s="2">
        <v>654400</v>
      </c>
      <c r="H337" s="2">
        <f t="shared" si="40"/>
        <v>2011</v>
      </c>
      <c r="I337" s="2">
        <f t="shared" si="41"/>
        <v>10</v>
      </c>
      <c r="J337" s="2">
        <f t="shared" si="42"/>
        <v>25</v>
      </c>
      <c r="K337" s="2">
        <f t="shared" si="43"/>
        <v>3</v>
      </c>
      <c r="L337" s="2">
        <f t="shared" si="44"/>
        <v>11</v>
      </c>
      <c r="M337" s="3">
        <f t="shared" si="45"/>
        <v>28.549999</v>
      </c>
      <c r="N337" s="1">
        <f t="shared" ca="1" si="46"/>
        <v>28.549999</v>
      </c>
      <c r="O337" s="5">
        <f t="shared" si="47"/>
        <v>-1.0507846252463926E-2</v>
      </c>
    </row>
    <row r="338" spans="1:15" s="2" customFormat="1" x14ac:dyDescent="0.5">
      <c r="A338" s="6">
        <v>40842</v>
      </c>
      <c r="B338" s="1">
        <v>28.190000999999999</v>
      </c>
      <c r="C338" s="1">
        <v>28.370000999999998</v>
      </c>
      <c r="D338" s="1">
        <v>27.4</v>
      </c>
      <c r="E338" s="1">
        <v>27.98</v>
      </c>
      <c r="F338" s="1">
        <v>27.98</v>
      </c>
      <c r="G338" s="2">
        <v>510500</v>
      </c>
      <c r="H338" s="2">
        <f t="shared" si="40"/>
        <v>2011</v>
      </c>
      <c r="I338" s="2">
        <f t="shared" si="41"/>
        <v>10</v>
      </c>
      <c r="J338" s="2">
        <f t="shared" si="42"/>
        <v>26</v>
      </c>
      <c r="K338" s="2">
        <f t="shared" si="43"/>
        <v>4</v>
      </c>
      <c r="L338" s="2">
        <f t="shared" si="44"/>
        <v>11</v>
      </c>
      <c r="M338" s="3">
        <f t="shared" si="45"/>
        <v>28.25</v>
      </c>
      <c r="N338" s="1">
        <f t="shared" ca="1" si="46"/>
        <v>28.25</v>
      </c>
      <c r="O338" s="5">
        <f t="shared" si="47"/>
        <v>-9.5575221238938246E-3</v>
      </c>
    </row>
    <row r="339" spans="1:15" s="2" customFormat="1" x14ac:dyDescent="0.5">
      <c r="A339" s="6">
        <v>40843</v>
      </c>
      <c r="B339" s="1">
        <v>28.34</v>
      </c>
      <c r="C339" s="1">
        <v>28.950001</v>
      </c>
      <c r="D339" s="1">
        <v>28.110001</v>
      </c>
      <c r="E339" s="1">
        <v>28.76</v>
      </c>
      <c r="F339" s="1">
        <v>28.76</v>
      </c>
      <c r="G339" s="2">
        <v>869400</v>
      </c>
      <c r="H339" s="2">
        <f t="shared" si="40"/>
        <v>2011</v>
      </c>
      <c r="I339" s="2">
        <f t="shared" si="41"/>
        <v>10</v>
      </c>
      <c r="J339" s="2">
        <f t="shared" si="42"/>
        <v>27</v>
      </c>
      <c r="K339" s="2">
        <f t="shared" si="43"/>
        <v>5</v>
      </c>
      <c r="L339" s="2">
        <f t="shared" si="44"/>
        <v>11</v>
      </c>
      <c r="M339" s="3">
        <f t="shared" si="45"/>
        <v>27.98</v>
      </c>
      <c r="N339" s="1">
        <f t="shared" ca="1" si="46"/>
        <v>27.98</v>
      </c>
      <c r="O339" s="5">
        <f t="shared" si="47"/>
        <v>2.7877055039313925E-2</v>
      </c>
    </row>
    <row r="340" spans="1:15" s="2" customFormat="1" x14ac:dyDescent="0.5">
      <c r="A340" s="6">
        <v>40844</v>
      </c>
      <c r="B340" s="1">
        <v>28.5</v>
      </c>
      <c r="C340" s="1">
        <v>30</v>
      </c>
      <c r="D340" s="1">
        <v>28.01</v>
      </c>
      <c r="E340" s="1">
        <v>29.870000999999998</v>
      </c>
      <c r="F340" s="1">
        <v>29.870000999999998</v>
      </c>
      <c r="G340" s="2">
        <v>1264000</v>
      </c>
      <c r="H340" s="2">
        <f t="shared" si="40"/>
        <v>2011</v>
      </c>
      <c r="I340" s="2">
        <f t="shared" si="41"/>
        <v>10</v>
      </c>
      <c r="J340" s="2">
        <f t="shared" si="42"/>
        <v>28</v>
      </c>
      <c r="K340" s="2">
        <f t="shared" si="43"/>
        <v>6</v>
      </c>
      <c r="L340" s="2">
        <f t="shared" si="44"/>
        <v>11</v>
      </c>
      <c r="M340" s="3">
        <f t="shared" si="45"/>
        <v>28.76</v>
      </c>
      <c r="N340" s="1">
        <f t="shared" ca="1" si="46"/>
        <v>28.76</v>
      </c>
      <c r="O340" s="5">
        <f t="shared" si="47"/>
        <v>3.8595305980528405E-2</v>
      </c>
    </row>
    <row r="341" spans="1:15" s="2" customFormat="1" x14ac:dyDescent="0.5">
      <c r="A341" s="6">
        <v>40847</v>
      </c>
      <c r="B341" s="1">
        <v>29.5</v>
      </c>
      <c r="C341" s="1">
        <v>29.51</v>
      </c>
      <c r="D341" s="1">
        <v>28.75</v>
      </c>
      <c r="E341" s="1">
        <v>29.370000999999998</v>
      </c>
      <c r="F341" s="1">
        <v>29.370000999999998</v>
      </c>
      <c r="G341" s="2">
        <v>1134000</v>
      </c>
      <c r="H341" s="2">
        <f t="shared" si="40"/>
        <v>2011</v>
      </c>
      <c r="I341" s="2">
        <f t="shared" si="41"/>
        <v>10</v>
      </c>
      <c r="J341" s="2">
        <f t="shared" si="42"/>
        <v>31</v>
      </c>
      <c r="K341" s="2">
        <f t="shared" si="43"/>
        <v>2</v>
      </c>
      <c r="L341" s="2">
        <f t="shared" si="44"/>
        <v>11</v>
      </c>
      <c r="M341" s="3">
        <f t="shared" si="45"/>
        <v>29.870000999999998</v>
      </c>
      <c r="N341" s="1">
        <f t="shared" ca="1" si="46"/>
        <v>29.870000999999998</v>
      </c>
      <c r="O341" s="5">
        <f t="shared" si="47"/>
        <v>-1.6739202653525243E-2</v>
      </c>
    </row>
    <row r="342" spans="1:15" s="2" customFormat="1" x14ac:dyDescent="0.5">
      <c r="A342" s="6">
        <v>40848</v>
      </c>
      <c r="B342" s="1">
        <v>28.389999</v>
      </c>
      <c r="C342" s="1">
        <v>28.92</v>
      </c>
      <c r="D342" s="1">
        <v>28</v>
      </c>
      <c r="E342" s="1">
        <v>28.879999000000002</v>
      </c>
      <c r="F342" s="1">
        <v>28.879999000000002</v>
      </c>
      <c r="G342" s="2">
        <v>635200</v>
      </c>
      <c r="H342" s="2">
        <f t="shared" si="40"/>
        <v>2011</v>
      </c>
      <c r="I342" s="2">
        <f t="shared" si="41"/>
        <v>11</v>
      </c>
      <c r="J342" s="2">
        <f t="shared" si="42"/>
        <v>1</v>
      </c>
      <c r="K342" s="2">
        <f t="shared" si="43"/>
        <v>3</v>
      </c>
      <c r="L342" s="2">
        <f t="shared" si="44"/>
        <v>12</v>
      </c>
      <c r="M342" s="3">
        <f t="shared" si="45"/>
        <v>29.370000999999998</v>
      </c>
      <c r="N342" s="1">
        <f t="shared" ca="1" si="46"/>
        <v>29.370000999999998</v>
      </c>
      <c r="O342" s="5">
        <f t="shared" si="47"/>
        <v>-1.6683758369636981E-2</v>
      </c>
    </row>
    <row r="343" spans="1:15" s="2" customFormat="1" x14ac:dyDescent="0.5">
      <c r="A343" s="6">
        <v>40849</v>
      </c>
      <c r="B343" s="1">
        <v>29</v>
      </c>
      <c r="C343" s="1">
        <v>29.26</v>
      </c>
      <c r="D343" s="1">
        <v>28.25</v>
      </c>
      <c r="E343" s="1">
        <v>28.709999</v>
      </c>
      <c r="F343" s="1">
        <v>28.709999</v>
      </c>
      <c r="G343" s="2">
        <v>875300</v>
      </c>
      <c r="H343" s="2">
        <f t="shared" si="40"/>
        <v>2011</v>
      </c>
      <c r="I343" s="2">
        <f t="shared" si="41"/>
        <v>11</v>
      </c>
      <c r="J343" s="2">
        <f t="shared" si="42"/>
        <v>2</v>
      </c>
      <c r="K343" s="2">
        <f t="shared" si="43"/>
        <v>4</v>
      </c>
      <c r="L343" s="2">
        <f t="shared" si="44"/>
        <v>12</v>
      </c>
      <c r="M343" s="3">
        <f t="shared" si="45"/>
        <v>28.879999000000002</v>
      </c>
      <c r="N343" s="1">
        <f t="shared" ca="1" si="46"/>
        <v>28.879999000000002</v>
      </c>
      <c r="O343" s="5">
        <f t="shared" si="47"/>
        <v>-5.8864267966214356E-3</v>
      </c>
    </row>
    <row r="344" spans="1:15" s="2" customFormat="1" x14ac:dyDescent="0.5">
      <c r="A344" s="6">
        <v>40850</v>
      </c>
      <c r="B344" s="1">
        <v>30</v>
      </c>
      <c r="C344" s="1">
        <v>32.490001999999997</v>
      </c>
      <c r="D344" s="1">
        <v>29.530000999999999</v>
      </c>
      <c r="E344" s="1">
        <v>32.459999000000003</v>
      </c>
      <c r="F344" s="1">
        <v>32.459999000000003</v>
      </c>
      <c r="G344" s="2">
        <v>2509700</v>
      </c>
      <c r="H344" s="2">
        <f t="shared" si="40"/>
        <v>2011</v>
      </c>
      <c r="I344" s="2">
        <f t="shared" si="41"/>
        <v>11</v>
      </c>
      <c r="J344" s="2">
        <f t="shared" si="42"/>
        <v>3</v>
      </c>
      <c r="K344" s="2">
        <f t="shared" si="43"/>
        <v>5</v>
      </c>
      <c r="L344" s="2">
        <f t="shared" si="44"/>
        <v>12</v>
      </c>
      <c r="M344" s="3">
        <f t="shared" si="45"/>
        <v>28.709999</v>
      </c>
      <c r="N344" s="1">
        <f t="shared" ca="1" si="46"/>
        <v>28.709999</v>
      </c>
      <c r="O344" s="5">
        <f t="shared" si="47"/>
        <v>0.1306165144763678</v>
      </c>
    </row>
    <row r="345" spans="1:15" s="2" customFormat="1" x14ac:dyDescent="0.5">
      <c r="A345" s="6">
        <v>40851</v>
      </c>
      <c r="B345" s="1">
        <v>31.459999</v>
      </c>
      <c r="C345" s="1">
        <v>32.400002000000001</v>
      </c>
      <c r="D345" s="1">
        <v>30.51</v>
      </c>
      <c r="E345" s="1">
        <v>32.310001</v>
      </c>
      <c r="F345" s="1">
        <v>32.310001</v>
      </c>
      <c r="G345" s="2">
        <v>3032900</v>
      </c>
      <c r="H345" s="2">
        <f t="shared" si="40"/>
        <v>2011</v>
      </c>
      <c r="I345" s="2">
        <f t="shared" si="41"/>
        <v>11</v>
      </c>
      <c r="J345" s="2">
        <f t="shared" si="42"/>
        <v>4</v>
      </c>
      <c r="K345" s="2">
        <f t="shared" si="43"/>
        <v>6</v>
      </c>
      <c r="L345" s="2">
        <f t="shared" si="44"/>
        <v>12</v>
      </c>
      <c r="M345" s="3">
        <f t="shared" si="45"/>
        <v>32.459999000000003</v>
      </c>
      <c r="N345" s="1">
        <f t="shared" ca="1" si="46"/>
        <v>32.459999000000003</v>
      </c>
      <c r="O345" s="5">
        <f t="shared" si="47"/>
        <v>-4.621010616790322E-3</v>
      </c>
    </row>
    <row r="346" spans="1:15" s="2" customFormat="1" x14ac:dyDescent="0.5">
      <c r="A346" s="6">
        <v>40854</v>
      </c>
      <c r="B346" s="1">
        <v>31.639999</v>
      </c>
      <c r="C346" s="1">
        <v>32</v>
      </c>
      <c r="D346" s="1">
        <v>30.75</v>
      </c>
      <c r="E346" s="1">
        <v>31.27</v>
      </c>
      <c r="F346" s="1">
        <v>31.27</v>
      </c>
      <c r="G346" s="2">
        <v>1266300</v>
      </c>
      <c r="H346" s="2">
        <f t="shared" si="40"/>
        <v>2011</v>
      </c>
      <c r="I346" s="2">
        <f t="shared" si="41"/>
        <v>11</v>
      </c>
      <c r="J346" s="2">
        <f t="shared" si="42"/>
        <v>7</v>
      </c>
      <c r="K346" s="2">
        <f t="shared" si="43"/>
        <v>2</v>
      </c>
      <c r="L346" s="2">
        <f t="shared" si="44"/>
        <v>12</v>
      </c>
      <c r="M346" s="3">
        <f t="shared" si="45"/>
        <v>32.310001</v>
      </c>
      <c r="N346" s="1">
        <f t="shared" ca="1" si="46"/>
        <v>32.310001</v>
      </c>
      <c r="O346" s="5">
        <f t="shared" si="47"/>
        <v>-3.2188206988913448E-2</v>
      </c>
    </row>
    <row r="347" spans="1:15" s="2" customFormat="1" x14ac:dyDescent="0.5">
      <c r="A347" s="6">
        <v>40855</v>
      </c>
      <c r="B347" s="1">
        <v>31.370000999999998</v>
      </c>
      <c r="C347" s="1">
        <v>32</v>
      </c>
      <c r="D347" s="1">
        <v>30.719999000000001</v>
      </c>
      <c r="E347" s="1">
        <v>31.84</v>
      </c>
      <c r="F347" s="1">
        <v>31.84</v>
      </c>
      <c r="G347" s="2">
        <v>1167900</v>
      </c>
      <c r="H347" s="2">
        <f t="shared" si="40"/>
        <v>2011</v>
      </c>
      <c r="I347" s="2">
        <f t="shared" si="41"/>
        <v>11</v>
      </c>
      <c r="J347" s="2">
        <f t="shared" si="42"/>
        <v>8</v>
      </c>
      <c r="K347" s="2">
        <f t="shared" si="43"/>
        <v>3</v>
      </c>
      <c r="L347" s="2">
        <f t="shared" si="44"/>
        <v>12</v>
      </c>
      <c r="M347" s="3">
        <f t="shared" si="45"/>
        <v>31.27</v>
      </c>
      <c r="N347" s="1">
        <f t="shared" ca="1" si="46"/>
        <v>31.27</v>
      </c>
      <c r="O347" s="5">
        <f t="shared" si="47"/>
        <v>1.8228333866325608E-2</v>
      </c>
    </row>
    <row r="348" spans="1:15" s="2" customFormat="1" x14ac:dyDescent="0.5">
      <c r="A348" s="6">
        <v>40856</v>
      </c>
      <c r="B348" s="1">
        <v>30.870000999999998</v>
      </c>
      <c r="C348" s="1">
        <v>31.49</v>
      </c>
      <c r="D348" s="1">
        <v>30.299999</v>
      </c>
      <c r="E348" s="1">
        <v>30.879999000000002</v>
      </c>
      <c r="F348" s="1">
        <v>30.879999000000002</v>
      </c>
      <c r="G348" s="2">
        <v>953700</v>
      </c>
      <c r="H348" s="2">
        <f t="shared" si="40"/>
        <v>2011</v>
      </c>
      <c r="I348" s="2">
        <f t="shared" si="41"/>
        <v>11</v>
      </c>
      <c r="J348" s="2">
        <f t="shared" si="42"/>
        <v>9</v>
      </c>
      <c r="K348" s="2">
        <f t="shared" si="43"/>
        <v>4</v>
      </c>
      <c r="L348" s="2">
        <f t="shared" si="44"/>
        <v>12</v>
      </c>
      <c r="M348" s="3">
        <f t="shared" si="45"/>
        <v>31.84</v>
      </c>
      <c r="N348" s="1">
        <f t="shared" ca="1" si="46"/>
        <v>31.84</v>
      </c>
      <c r="O348" s="5">
        <f t="shared" si="47"/>
        <v>-3.0150785175879324E-2</v>
      </c>
    </row>
    <row r="349" spans="1:15" s="2" customFormat="1" x14ac:dyDescent="0.5">
      <c r="A349" s="6">
        <v>40857</v>
      </c>
      <c r="B349" s="1">
        <v>30.940000999999999</v>
      </c>
      <c r="C349" s="1">
        <v>31.5</v>
      </c>
      <c r="D349" s="1">
        <v>30.65</v>
      </c>
      <c r="E349" s="1">
        <v>31.33</v>
      </c>
      <c r="F349" s="1">
        <v>31.33</v>
      </c>
      <c r="G349" s="2">
        <v>747300</v>
      </c>
      <c r="H349" s="2">
        <f t="shared" si="40"/>
        <v>2011</v>
      </c>
      <c r="I349" s="2">
        <f t="shared" si="41"/>
        <v>11</v>
      </c>
      <c r="J349" s="2">
        <f t="shared" si="42"/>
        <v>10</v>
      </c>
      <c r="K349" s="2">
        <f t="shared" si="43"/>
        <v>5</v>
      </c>
      <c r="L349" s="2">
        <f t="shared" si="44"/>
        <v>12</v>
      </c>
      <c r="M349" s="3">
        <f t="shared" si="45"/>
        <v>30.879999000000002</v>
      </c>
      <c r="N349" s="1">
        <f t="shared" ca="1" si="46"/>
        <v>30.879999000000002</v>
      </c>
      <c r="O349" s="5">
        <f t="shared" si="47"/>
        <v>1.4572571715433025E-2</v>
      </c>
    </row>
    <row r="350" spans="1:15" s="2" customFormat="1" x14ac:dyDescent="0.5">
      <c r="A350" s="6">
        <v>40858</v>
      </c>
      <c r="B350" s="1">
        <v>31.9</v>
      </c>
      <c r="C350" s="1">
        <v>34.5</v>
      </c>
      <c r="D350" s="1">
        <v>30.57</v>
      </c>
      <c r="E350" s="1">
        <v>33.639999000000003</v>
      </c>
      <c r="F350" s="1">
        <v>33.639999000000003</v>
      </c>
      <c r="G350" s="2">
        <v>3868300</v>
      </c>
      <c r="H350" s="2">
        <f t="shared" si="40"/>
        <v>2011</v>
      </c>
      <c r="I350" s="2">
        <f t="shared" si="41"/>
        <v>11</v>
      </c>
      <c r="J350" s="2">
        <f t="shared" si="42"/>
        <v>11</v>
      </c>
      <c r="K350" s="2">
        <f t="shared" si="43"/>
        <v>6</v>
      </c>
      <c r="L350" s="2">
        <f t="shared" si="44"/>
        <v>12</v>
      </c>
      <c r="M350" s="3">
        <f t="shared" si="45"/>
        <v>31.33</v>
      </c>
      <c r="N350" s="1">
        <f t="shared" ca="1" si="46"/>
        <v>31.33</v>
      </c>
      <c r="O350" s="5">
        <f t="shared" si="47"/>
        <v>7.3731216086817986E-2</v>
      </c>
    </row>
    <row r="351" spans="1:15" s="2" customFormat="1" x14ac:dyDescent="0.5">
      <c r="A351" s="6">
        <v>40861</v>
      </c>
      <c r="B351" s="1">
        <v>33</v>
      </c>
      <c r="C351" s="1">
        <v>33.540000999999997</v>
      </c>
      <c r="D351" s="1">
        <v>32.619999</v>
      </c>
      <c r="E351" s="1">
        <v>33.220001000000003</v>
      </c>
      <c r="F351" s="1">
        <v>33.220001000000003</v>
      </c>
      <c r="G351" s="2">
        <v>1325700</v>
      </c>
      <c r="H351" s="2">
        <f t="shared" si="40"/>
        <v>2011</v>
      </c>
      <c r="I351" s="2">
        <f t="shared" si="41"/>
        <v>11</v>
      </c>
      <c r="J351" s="2">
        <f t="shared" si="42"/>
        <v>14</v>
      </c>
      <c r="K351" s="2">
        <f t="shared" si="43"/>
        <v>2</v>
      </c>
      <c r="L351" s="2">
        <f t="shared" si="44"/>
        <v>12</v>
      </c>
      <c r="M351" s="3">
        <f t="shared" si="45"/>
        <v>33.639999000000003</v>
      </c>
      <c r="N351" s="1">
        <f t="shared" ca="1" si="46"/>
        <v>33.639999000000003</v>
      </c>
      <c r="O351" s="5">
        <f t="shared" si="47"/>
        <v>-1.2485077660079558E-2</v>
      </c>
    </row>
    <row r="352" spans="1:15" s="2" customFormat="1" x14ac:dyDescent="0.5">
      <c r="A352" s="6">
        <v>40862</v>
      </c>
      <c r="B352" s="1">
        <v>32.919998</v>
      </c>
      <c r="C352" s="1">
        <v>34.400002000000001</v>
      </c>
      <c r="D352" s="1">
        <v>32.729999999999997</v>
      </c>
      <c r="E352" s="1">
        <v>33.93</v>
      </c>
      <c r="F352" s="1">
        <v>33.93</v>
      </c>
      <c r="G352" s="2">
        <v>891000</v>
      </c>
      <c r="H352" s="2">
        <f t="shared" si="40"/>
        <v>2011</v>
      </c>
      <c r="I352" s="2">
        <f t="shared" si="41"/>
        <v>11</v>
      </c>
      <c r="J352" s="2">
        <f t="shared" si="42"/>
        <v>15</v>
      </c>
      <c r="K352" s="2">
        <f t="shared" si="43"/>
        <v>3</v>
      </c>
      <c r="L352" s="2">
        <f t="shared" si="44"/>
        <v>12</v>
      </c>
      <c r="M352" s="3">
        <f t="shared" si="45"/>
        <v>33.220001000000003</v>
      </c>
      <c r="N352" s="1">
        <f t="shared" ca="1" si="46"/>
        <v>33.220001000000003</v>
      </c>
      <c r="O352" s="5">
        <f t="shared" si="47"/>
        <v>2.1372636322316563E-2</v>
      </c>
    </row>
    <row r="353" spans="1:15" s="2" customFormat="1" x14ac:dyDescent="0.5">
      <c r="A353" s="6">
        <v>40863</v>
      </c>
      <c r="B353" s="1">
        <v>33.479999999999997</v>
      </c>
      <c r="C353" s="1">
        <v>35</v>
      </c>
      <c r="D353" s="1">
        <v>33.400002000000001</v>
      </c>
      <c r="E353" s="1">
        <v>34.939999</v>
      </c>
      <c r="F353" s="1">
        <v>34.939999</v>
      </c>
      <c r="G353" s="2">
        <v>1833200</v>
      </c>
      <c r="H353" s="2">
        <f t="shared" si="40"/>
        <v>2011</v>
      </c>
      <c r="I353" s="2">
        <f t="shared" si="41"/>
        <v>11</v>
      </c>
      <c r="J353" s="2">
        <f t="shared" si="42"/>
        <v>16</v>
      </c>
      <c r="K353" s="2">
        <f t="shared" si="43"/>
        <v>4</v>
      </c>
      <c r="L353" s="2">
        <f t="shared" si="44"/>
        <v>12</v>
      </c>
      <c r="M353" s="3">
        <f t="shared" si="45"/>
        <v>33.93</v>
      </c>
      <c r="N353" s="1">
        <f t="shared" ca="1" si="46"/>
        <v>33.93</v>
      </c>
      <c r="O353" s="5">
        <f t="shared" si="47"/>
        <v>2.9767138225758938E-2</v>
      </c>
    </row>
    <row r="354" spans="1:15" s="2" customFormat="1" x14ac:dyDescent="0.5">
      <c r="A354" s="6">
        <v>40864</v>
      </c>
      <c r="B354" s="1">
        <v>34.5</v>
      </c>
      <c r="C354" s="1">
        <v>34.900002000000001</v>
      </c>
      <c r="D354" s="1">
        <v>33.189999</v>
      </c>
      <c r="E354" s="1">
        <v>33.68</v>
      </c>
      <c r="F354" s="1">
        <v>33.68</v>
      </c>
      <c r="G354" s="2">
        <v>1349300</v>
      </c>
      <c r="H354" s="2">
        <f t="shared" si="40"/>
        <v>2011</v>
      </c>
      <c r="I354" s="2">
        <f t="shared" si="41"/>
        <v>11</v>
      </c>
      <c r="J354" s="2">
        <f t="shared" si="42"/>
        <v>17</v>
      </c>
      <c r="K354" s="2">
        <f t="shared" si="43"/>
        <v>5</v>
      </c>
      <c r="L354" s="2">
        <f t="shared" si="44"/>
        <v>12</v>
      </c>
      <c r="M354" s="3">
        <f t="shared" si="45"/>
        <v>34.939999</v>
      </c>
      <c r="N354" s="1">
        <f t="shared" ca="1" si="46"/>
        <v>34.939999</v>
      </c>
      <c r="O354" s="5">
        <f t="shared" si="47"/>
        <v>-3.6061792674922488E-2</v>
      </c>
    </row>
    <row r="355" spans="1:15" s="2" customFormat="1" x14ac:dyDescent="0.5">
      <c r="A355" s="6">
        <v>40865</v>
      </c>
      <c r="B355" s="1">
        <v>33.639999000000003</v>
      </c>
      <c r="C355" s="1">
        <v>34.110000999999997</v>
      </c>
      <c r="D355" s="1">
        <v>32.540000999999997</v>
      </c>
      <c r="E355" s="1">
        <v>32.599997999999999</v>
      </c>
      <c r="F355" s="1">
        <v>32.599997999999999</v>
      </c>
      <c r="G355" s="2">
        <v>902800</v>
      </c>
      <c r="H355" s="2">
        <f t="shared" si="40"/>
        <v>2011</v>
      </c>
      <c r="I355" s="2">
        <f t="shared" si="41"/>
        <v>11</v>
      </c>
      <c r="J355" s="2">
        <f t="shared" si="42"/>
        <v>18</v>
      </c>
      <c r="K355" s="2">
        <f t="shared" si="43"/>
        <v>6</v>
      </c>
      <c r="L355" s="2">
        <f t="shared" si="44"/>
        <v>12</v>
      </c>
      <c r="M355" s="3">
        <f t="shared" si="45"/>
        <v>33.68</v>
      </c>
      <c r="N355" s="1">
        <f t="shared" ca="1" si="46"/>
        <v>33.68</v>
      </c>
      <c r="O355" s="5">
        <f t="shared" si="47"/>
        <v>-3.2066567695962056E-2</v>
      </c>
    </row>
    <row r="356" spans="1:15" s="2" customFormat="1" x14ac:dyDescent="0.5">
      <c r="A356" s="6">
        <v>40868</v>
      </c>
      <c r="B356" s="1">
        <v>32.439999</v>
      </c>
      <c r="C356" s="1">
        <v>32.439999</v>
      </c>
      <c r="D356" s="1">
        <v>31.049999</v>
      </c>
      <c r="E356" s="1">
        <v>31.76</v>
      </c>
      <c r="F356" s="1">
        <v>31.76</v>
      </c>
      <c r="G356" s="2">
        <v>1031600</v>
      </c>
      <c r="H356" s="2">
        <f t="shared" si="40"/>
        <v>2011</v>
      </c>
      <c r="I356" s="2">
        <f t="shared" si="41"/>
        <v>11</v>
      </c>
      <c r="J356" s="2">
        <f t="shared" si="42"/>
        <v>21</v>
      </c>
      <c r="K356" s="2">
        <f t="shared" si="43"/>
        <v>2</v>
      </c>
      <c r="L356" s="2">
        <f t="shared" si="44"/>
        <v>12</v>
      </c>
      <c r="M356" s="3">
        <f t="shared" si="45"/>
        <v>32.599997999999999</v>
      </c>
      <c r="N356" s="1">
        <f t="shared" ca="1" si="46"/>
        <v>32.599997999999999</v>
      </c>
      <c r="O356" s="5">
        <f t="shared" si="47"/>
        <v>-2.5766811396736866E-2</v>
      </c>
    </row>
    <row r="357" spans="1:15" s="2" customFormat="1" x14ac:dyDescent="0.5">
      <c r="A357" s="6">
        <v>40869</v>
      </c>
      <c r="B357" s="1">
        <v>31.76</v>
      </c>
      <c r="C357" s="1">
        <v>32.790000999999997</v>
      </c>
      <c r="D357" s="1">
        <v>31.049999</v>
      </c>
      <c r="E357" s="1">
        <v>32.07</v>
      </c>
      <c r="F357" s="1">
        <v>32.07</v>
      </c>
      <c r="G357" s="2">
        <v>732600</v>
      </c>
      <c r="H357" s="2">
        <f t="shared" si="40"/>
        <v>2011</v>
      </c>
      <c r="I357" s="2">
        <f t="shared" si="41"/>
        <v>11</v>
      </c>
      <c r="J357" s="2">
        <f t="shared" si="42"/>
        <v>22</v>
      </c>
      <c r="K357" s="2">
        <f t="shared" si="43"/>
        <v>3</v>
      </c>
      <c r="L357" s="2">
        <f t="shared" si="44"/>
        <v>12</v>
      </c>
      <c r="M357" s="3">
        <f t="shared" si="45"/>
        <v>31.76</v>
      </c>
      <c r="N357" s="1">
        <f t="shared" ca="1" si="46"/>
        <v>31.76</v>
      </c>
      <c r="O357" s="5">
        <f t="shared" si="47"/>
        <v>9.7607052896724333E-3</v>
      </c>
    </row>
    <row r="358" spans="1:15" s="2" customFormat="1" x14ac:dyDescent="0.5">
      <c r="A358" s="6">
        <v>40870</v>
      </c>
      <c r="B358" s="1">
        <v>31.76</v>
      </c>
      <c r="C358" s="1">
        <v>32.049999</v>
      </c>
      <c r="D358" s="1">
        <v>31.25</v>
      </c>
      <c r="E358" s="1">
        <v>31.450001</v>
      </c>
      <c r="F358" s="1">
        <v>31.450001</v>
      </c>
      <c r="G358" s="2">
        <v>451800</v>
      </c>
      <c r="H358" s="2">
        <f t="shared" si="40"/>
        <v>2011</v>
      </c>
      <c r="I358" s="2">
        <f t="shared" si="41"/>
        <v>11</v>
      </c>
      <c r="J358" s="2">
        <f t="shared" si="42"/>
        <v>23</v>
      </c>
      <c r="K358" s="2">
        <f t="shared" si="43"/>
        <v>4</v>
      </c>
      <c r="L358" s="2">
        <f t="shared" si="44"/>
        <v>12</v>
      </c>
      <c r="M358" s="3">
        <f t="shared" si="45"/>
        <v>32.07</v>
      </c>
      <c r="N358" s="1">
        <f t="shared" ca="1" si="46"/>
        <v>32.07</v>
      </c>
      <c r="O358" s="5">
        <f t="shared" si="47"/>
        <v>-1.9332678515746826E-2</v>
      </c>
    </row>
    <row r="359" spans="1:15" s="2" customFormat="1" x14ac:dyDescent="0.5">
      <c r="A359" s="6">
        <v>40872</v>
      </c>
      <c r="B359" s="1">
        <v>31.549999</v>
      </c>
      <c r="C359" s="1">
        <v>32.409999999999997</v>
      </c>
      <c r="D359" s="1">
        <v>31.08</v>
      </c>
      <c r="E359" s="1">
        <v>31.66</v>
      </c>
      <c r="F359" s="1">
        <v>31.66</v>
      </c>
      <c r="G359" s="2">
        <v>239600</v>
      </c>
      <c r="H359" s="2">
        <f t="shared" si="40"/>
        <v>2011</v>
      </c>
      <c r="I359" s="2">
        <f t="shared" si="41"/>
        <v>11</v>
      </c>
      <c r="J359" s="2">
        <f t="shared" si="42"/>
        <v>25</v>
      </c>
      <c r="K359" s="2">
        <f t="shared" si="43"/>
        <v>6</v>
      </c>
      <c r="L359" s="2">
        <f t="shared" si="44"/>
        <v>12</v>
      </c>
      <c r="M359" s="3">
        <f t="shared" si="45"/>
        <v>31.450001</v>
      </c>
      <c r="N359" s="1">
        <f t="shared" ca="1" si="46"/>
        <v>31.450001</v>
      </c>
      <c r="O359" s="5">
        <f t="shared" si="47"/>
        <v>6.6772334919797949E-3</v>
      </c>
    </row>
    <row r="360" spans="1:15" s="2" customFormat="1" x14ac:dyDescent="0.5">
      <c r="A360" s="6">
        <v>40875</v>
      </c>
      <c r="B360" s="1">
        <v>32</v>
      </c>
      <c r="C360" s="1">
        <v>33.279998999999997</v>
      </c>
      <c r="D360" s="1">
        <v>31.809999000000001</v>
      </c>
      <c r="E360" s="1">
        <v>32.560001</v>
      </c>
      <c r="F360" s="1">
        <v>32.560001</v>
      </c>
      <c r="G360" s="2">
        <v>681200</v>
      </c>
      <c r="H360" s="2">
        <f t="shared" si="40"/>
        <v>2011</v>
      </c>
      <c r="I360" s="2">
        <f t="shared" si="41"/>
        <v>11</v>
      </c>
      <c r="J360" s="2">
        <f t="shared" si="42"/>
        <v>28</v>
      </c>
      <c r="K360" s="2">
        <f t="shared" si="43"/>
        <v>2</v>
      </c>
      <c r="L360" s="2">
        <f t="shared" si="44"/>
        <v>12</v>
      </c>
      <c r="M360" s="3">
        <f t="shared" si="45"/>
        <v>31.66</v>
      </c>
      <c r="N360" s="1">
        <f t="shared" ca="1" si="46"/>
        <v>31.66</v>
      </c>
      <c r="O360" s="5">
        <f t="shared" si="47"/>
        <v>2.842706885660129E-2</v>
      </c>
    </row>
    <row r="361" spans="1:15" s="2" customFormat="1" x14ac:dyDescent="0.5">
      <c r="A361" s="6">
        <v>40876</v>
      </c>
      <c r="B361" s="1">
        <v>32.490001999999997</v>
      </c>
      <c r="C361" s="1">
        <v>33.07</v>
      </c>
      <c r="D361" s="1">
        <v>31.629999000000002</v>
      </c>
      <c r="E361" s="1">
        <v>31.75</v>
      </c>
      <c r="F361" s="1">
        <v>31.75</v>
      </c>
      <c r="G361" s="2">
        <v>591100</v>
      </c>
      <c r="H361" s="2">
        <f t="shared" si="40"/>
        <v>2011</v>
      </c>
      <c r="I361" s="2">
        <f t="shared" si="41"/>
        <v>11</v>
      </c>
      <c r="J361" s="2">
        <f t="shared" si="42"/>
        <v>29</v>
      </c>
      <c r="K361" s="2">
        <f t="shared" si="43"/>
        <v>3</v>
      </c>
      <c r="L361" s="2">
        <f t="shared" si="44"/>
        <v>12</v>
      </c>
      <c r="M361" s="3">
        <f t="shared" si="45"/>
        <v>32.560001</v>
      </c>
      <c r="N361" s="1">
        <f t="shared" ca="1" si="46"/>
        <v>32.560001</v>
      </c>
      <c r="O361" s="5">
        <f t="shared" si="47"/>
        <v>-2.4877179825639417E-2</v>
      </c>
    </row>
    <row r="362" spans="1:15" s="2" customFormat="1" x14ac:dyDescent="0.5">
      <c r="A362" s="6">
        <v>40877</v>
      </c>
      <c r="B362" s="1">
        <v>32.5</v>
      </c>
      <c r="C362" s="1">
        <v>32.93</v>
      </c>
      <c r="D362" s="1">
        <v>32.220001000000003</v>
      </c>
      <c r="E362" s="1">
        <v>32.740001999999997</v>
      </c>
      <c r="F362" s="1">
        <v>32.740001999999997</v>
      </c>
      <c r="G362" s="2">
        <v>760300</v>
      </c>
      <c r="H362" s="2">
        <f t="shared" si="40"/>
        <v>2011</v>
      </c>
      <c r="I362" s="2">
        <f t="shared" si="41"/>
        <v>11</v>
      </c>
      <c r="J362" s="2">
        <f t="shared" si="42"/>
        <v>30</v>
      </c>
      <c r="K362" s="2">
        <f t="shared" si="43"/>
        <v>4</v>
      </c>
      <c r="L362" s="2">
        <f t="shared" si="44"/>
        <v>12</v>
      </c>
      <c r="M362" s="3">
        <f t="shared" si="45"/>
        <v>31.75</v>
      </c>
      <c r="N362" s="1">
        <f t="shared" ca="1" si="46"/>
        <v>31.75</v>
      </c>
      <c r="O362" s="5">
        <f t="shared" si="47"/>
        <v>3.1181165354330576E-2</v>
      </c>
    </row>
    <row r="363" spans="1:15" s="2" customFormat="1" x14ac:dyDescent="0.5">
      <c r="A363" s="6">
        <v>40878</v>
      </c>
      <c r="B363" s="1">
        <v>32.57</v>
      </c>
      <c r="C363" s="1">
        <v>33.990001999999997</v>
      </c>
      <c r="D363" s="1">
        <v>31.98</v>
      </c>
      <c r="E363" s="1">
        <v>32.599997999999999</v>
      </c>
      <c r="F363" s="1">
        <v>32.599997999999999</v>
      </c>
      <c r="G363" s="2">
        <v>1030200</v>
      </c>
      <c r="H363" s="2">
        <f t="shared" si="40"/>
        <v>2011</v>
      </c>
      <c r="I363" s="2">
        <f t="shared" si="41"/>
        <v>12</v>
      </c>
      <c r="J363" s="2">
        <f t="shared" si="42"/>
        <v>1</v>
      </c>
      <c r="K363" s="2">
        <f t="shared" si="43"/>
        <v>5</v>
      </c>
      <c r="L363" s="2">
        <f t="shared" si="44"/>
        <v>13</v>
      </c>
      <c r="M363" s="3">
        <f t="shared" si="45"/>
        <v>32.740001999999997</v>
      </c>
      <c r="N363" s="1">
        <f t="shared" ca="1" si="46"/>
        <v>32.740001999999997</v>
      </c>
      <c r="O363" s="5">
        <f t="shared" si="47"/>
        <v>-4.2762367577130478E-3</v>
      </c>
    </row>
    <row r="364" spans="1:15" s="2" customFormat="1" x14ac:dyDescent="0.5">
      <c r="A364" s="6">
        <v>40879</v>
      </c>
      <c r="B364" s="1">
        <v>32.830002</v>
      </c>
      <c r="C364" s="1">
        <v>33.689999</v>
      </c>
      <c r="D364" s="1">
        <v>32.400002000000001</v>
      </c>
      <c r="E364" s="1">
        <v>33.299999</v>
      </c>
      <c r="F364" s="1">
        <v>33.299999</v>
      </c>
      <c r="G364" s="2">
        <v>802800</v>
      </c>
      <c r="H364" s="2">
        <f t="shared" si="40"/>
        <v>2011</v>
      </c>
      <c r="I364" s="2">
        <f t="shared" si="41"/>
        <v>12</v>
      </c>
      <c r="J364" s="2">
        <f t="shared" si="42"/>
        <v>2</v>
      </c>
      <c r="K364" s="2">
        <f t="shared" si="43"/>
        <v>6</v>
      </c>
      <c r="L364" s="2">
        <f t="shared" si="44"/>
        <v>13</v>
      </c>
      <c r="M364" s="3">
        <f t="shared" si="45"/>
        <v>32.599997999999999</v>
      </c>
      <c r="N364" s="1">
        <f t="shared" ca="1" si="46"/>
        <v>32.599997999999999</v>
      </c>
      <c r="O364" s="5">
        <f t="shared" si="47"/>
        <v>2.1472424630210041E-2</v>
      </c>
    </row>
    <row r="365" spans="1:15" s="2" customFormat="1" x14ac:dyDescent="0.5">
      <c r="A365" s="6">
        <v>40882</v>
      </c>
      <c r="B365" s="1">
        <v>33.529998999999997</v>
      </c>
      <c r="C365" s="1">
        <v>35</v>
      </c>
      <c r="D365" s="1">
        <v>33.43</v>
      </c>
      <c r="E365" s="1">
        <v>34.419998</v>
      </c>
      <c r="F365" s="1">
        <v>34.419998</v>
      </c>
      <c r="G365" s="2">
        <v>1160100</v>
      </c>
      <c r="H365" s="2">
        <f t="shared" si="40"/>
        <v>2011</v>
      </c>
      <c r="I365" s="2">
        <f t="shared" si="41"/>
        <v>12</v>
      </c>
      <c r="J365" s="2">
        <f t="shared" si="42"/>
        <v>5</v>
      </c>
      <c r="K365" s="2">
        <f t="shared" si="43"/>
        <v>2</v>
      </c>
      <c r="L365" s="2">
        <f t="shared" si="44"/>
        <v>13</v>
      </c>
      <c r="M365" s="3">
        <f t="shared" si="45"/>
        <v>33.299999</v>
      </c>
      <c r="N365" s="1">
        <f t="shared" ca="1" si="46"/>
        <v>33.299999</v>
      </c>
      <c r="O365" s="5">
        <f t="shared" si="47"/>
        <v>3.3633604613621859E-2</v>
      </c>
    </row>
    <row r="366" spans="1:15" s="2" customFormat="1" x14ac:dyDescent="0.5">
      <c r="A366" s="6">
        <v>40883</v>
      </c>
      <c r="B366" s="1">
        <v>34.200001</v>
      </c>
      <c r="C366" s="1">
        <v>34.979999999999997</v>
      </c>
      <c r="D366" s="1">
        <v>34.029998999999997</v>
      </c>
      <c r="E366" s="1">
        <v>34.869999</v>
      </c>
      <c r="F366" s="1">
        <v>34.869999</v>
      </c>
      <c r="G366" s="2">
        <v>951800</v>
      </c>
      <c r="H366" s="2">
        <f t="shared" si="40"/>
        <v>2011</v>
      </c>
      <c r="I366" s="2">
        <f t="shared" si="41"/>
        <v>12</v>
      </c>
      <c r="J366" s="2">
        <f t="shared" si="42"/>
        <v>6</v>
      </c>
      <c r="K366" s="2">
        <f t="shared" si="43"/>
        <v>3</v>
      </c>
      <c r="L366" s="2">
        <f t="shared" si="44"/>
        <v>13</v>
      </c>
      <c r="M366" s="3">
        <f t="shared" si="45"/>
        <v>34.419998</v>
      </c>
      <c r="N366" s="1">
        <f t="shared" ca="1" si="46"/>
        <v>34.419998</v>
      </c>
      <c r="O366" s="5">
        <f t="shared" si="47"/>
        <v>1.3073824118176924E-2</v>
      </c>
    </row>
    <row r="367" spans="1:15" s="2" customFormat="1" x14ac:dyDescent="0.5">
      <c r="A367" s="6">
        <v>40884</v>
      </c>
      <c r="B367" s="1">
        <v>34.630001</v>
      </c>
      <c r="C367" s="1">
        <v>34.889999000000003</v>
      </c>
      <c r="D367" s="1">
        <v>33.799999</v>
      </c>
      <c r="E367" s="1">
        <v>34.189999</v>
      </c>
      <c r="F367" s="1">
        <v>34.189999</v>
      </c>
      <c r="G367" s="2">
        <v>674300</v>
      </c>
      <c r="H367" s="2">
        <f t="shared" si="40"/>
        <v>2011</v>
      </c>
      <c r="I367" s="2">
        <f t="shared" si="41"/>
        <v>12</v>
      </c>
      <c r="J367" s="2">
        <f t="shared" si="42"/>
        <v>7</v>
      </c>
      <c r="K367" s="2">
        <f t="shared" si="43"/>
        <v>4</v>
      </c>
      <c r="L367" s="2">
        <f t="shared" si="44"/>
        <v>13</v>
      </c>
      <c r="M367" s="3">
        <f t="shared" si="45"/>
        <v>34.869999</v>
      </c>
      <c r="N367" s="1">
        <f t="shared" ca="1" si="46"/>
        <v>34.869999</v>
      </c>
      <c r="O367" s="5">
        <f t="shared" si="47"/>
        <v>-1.9501004287381773E-2</v>
      </c>
    </row>
    <row r="368" spans="1:15" s="2" customFormat="1" x14ac:dyDescent="0.5">
      <c r="A368" s="6">
        <v>40885</v>
      </c>
      <c r="B368" s="1">
        <v>30.84</v>
      </c>
      <c r="C368" s="1">
        <v>31.65</v>
      </c>
      <c r="D368" s="1">
        <v>29.610001</v>
      </c>
      <c r="E368" s="1">
        <v>30.889999</v>
      </c>
      <c r="F368" s="1">
        <v>30.889999</v>
      </c>
      <c r="G368" s="2">
        <v>3305800</v>
      </c>
      <c r="H368" s="2">
        <f t="shared" si="40"/>
        <v>2011</v>
      </c>
      <c r="I368" s="2">
        <f t="shared" si="41"/>
        <v>12</v>
      </c>
      <c r="J368" s="2">
        <f t="shared" si="42"/>
        <v>8</v>
      </c>
      <c r="K368" s="2">
        <f t="shared" si="43"/>
        <v>5</v>
      </c>
      <c r="L368" s="2">
        <f t="shared" si="44"/>
        <v>13</v>
      </c>
      <c r="M368" s="3">
        <f t="shared" si="45"/>
        <v>34.189999</v>
      </c>
      <c r="N368" s="1">
        <f t="shared" ca="1" si="46"/>
        <v>34.189999</v>
      </c>
      <c r="O368" s="5">
        <f t="shared" si="47"/>
        <v>-9.6519452954649143E-2</v>
      </c>
    </row>
    <row r="369" spans="1:15" s="2" customFormat="1" x14ac:dyDescent="0.5">
      <c r="A369" s="6">
        <v>40886</v>
      </c>
      <c r="B369" s="1">
        <v>30.540001</v>
      </c>
      <c r="C369" s="1">
        <v>31.120000999999998</v>
      </c>
      <c r="D369" s="1">
        <v>30.280000999999999</v>
      </c>
      <c r="E369" s="1">
        <v>31.040001</v>
      </c>
      <c r="F369" s="1">
        <v>31.040001</v>
      </c>
      <c r="G369" s="2">
        <v>1239500</v>
      </c>
      <c r="H369" s="2">
        <f t="shared" si="40"/>
        <v>2011</v>
      </c>
      <c r="I369" s="2">
        <f t="shared" si="41"/>
        <v>12</v>
      </c>
      <c r="J369" s="2">
        <f t="shared" si="42"/>
        <v>9</v>
      </c>
      <c r="K369" s="2">
        <f t="shared" si="43"/>
        <v>6</v>
      </c>
      <c r="L369" s="2">
        <f t="shared" si="44"/>
        <v>13</v>
      </c>
      <c r="M369" s="3">
        <f t="shared" si="45"/>
        <v>30.889999</v>
      </c>
      <c r="N369" s="1">
        <f t="shared" ca="1" si="46"/>
        <v>30.889999</v>
      </c>
      <c r="O369" s="5">
        <f t="shared" si="47"/>
        <v>4.856005336872915E-3</v>
      </c>
    </row>
    <row r="370" spans="1:15" s="2" customFormat="1" x14ac:dyDescent="0.5">
      <c r="A370" s="6">
        <v>40889</v>
      </c>
      <c r="B370" s="1">
        <v>30.440000999999999</v>
      </c>
      <c r="C370" s="1">
        <v>30.620000999999998</v>
      </c>
      <c r="D370" s="1">
        <v>30.02</v>
      </c>
      <c r="E370" s="1">
        <v>30.41</v>
      </c>
      <c r="F370" s="1">
        <v>30.41</v>
      </c>
      <c r="G370" s="2">
        <v>758700</v>
      </c>
      <c r="H370" s="2">
        <f t="shared" si="40"/>
        <v>2011</v>
      </c>
      <c r="I370" s="2">
        <f t="shared" si="41"/>
        <v>12</v>
      </c>
      <c r="J370" s="2">
        <f t="shared" si="42"/>
        <v>12</v>
      </c>
      <c r="K370" s="2">
        <f t="shared" si="43"/>
        <v>2</v>
      </c>
      <c r="L370" s="2">
        <f t="shared" si="44"/>
        <v>13</v>
      </c>
      <c r="M370" s="3">
        <f t="shared" si="45"/>
        <v>31.040001</v>
      </c>
      <c r="N370" s="1">
        <f t="shared" ca="1" si="46"/>
        <v>31.040001</v>
      </c>
      <c r="O370" s="5">
        <f t="shared" si="47"/>
        <v>-2.0296423315192547E-2</v>
      </c>
    </row>
    <row r="371" spans="1:15" s="2" customFormat="1" x14ac:dyDescent="0.5">
      <c r="A371" s="6">
        <v>40890</v>
      </c>
      <c r="B371" s="1">
        <v>30.57</v>
      </c>
      <c r="C371" s="1">
        <v>30.93</v>
      </c>
      <c r="D371" s="1">
        <v>28.91</v>
      </c>
      <c r="E371" s="1">
        <v>29.450001</v>
      </c>
      <c r="F371" s="1">
        <v>29.450001</v>
      </c>
      <c r="G371" s="2">
        <v>994100</v>
      </c>
      <c r="H371" s="2">
        <f t="shared" si="40"/>
        <v>2011</v>
      </c>
      <c r="I371" s="2">
        <f t="shared" si="41"/>
        <v>12</v>
      </c>
      <c r="J371" s="2">
        <f t="shared" si="42"/>
        <v>13</v>
      </c>
      <c r="K371" s="2">
        <f t="shared" si="43"/>
        <v>3</v>
      </c>
      <c r="L371" s="2">
        <f t="shared" si="44"/>
        <v>13</v>
      </c>
      <c r="M371" s="3">
        <f t="shared" si="45"/>
        <v>30.41</v>
      </c>
      <c r="N371" s="1">
        <f t="shared" ca="1" si="46"/>
        <v>30.41</v>
      </c>
      <c r="O371" s="5">
        <f t="shared" si="47"/>
        <v>-3.1568530088786573E-2</v>
      </c>
    </row>
    <row r="372" spans="1:15" s="2" customFormat="1" x14ac:dyDescent="0.5">
      <c r="A372" s="6">
        <v>40891</v>
      </c>
      <c r="B372" s="1">
        <v>29.5</v>
      </c>
      <c r="C372" s="1">
        <v>29.68</v>
      </c>
      <c r="D372" s="1">
        <v>28</v>
      </c>
      <c r="E372" s="1">
        <v>28.530000999999999</v>
      </c>
      <c r="F372" s="1">
        <v>28.530000999999999</v>
      </c>
      <c r="G372" s="2">
        <v>1163900</v>
      </c>
      <c r="H372" s="2">
        <f t="shared" si="40"/>
        <v>2011</v>
      </c>
      <c r="I372" s="2">
        <f t="shared" si="41"/>
        <v>12</v>
      </c>
      <c r="J372" s="2">
        <f t="shared" si="42"/>
        <v>14</v>
      </c>
      <c r="K372" s="2">
        <f t="shared" si="43"/>
        <v>4</v>
      </c>
      <c r="L372" s="2">
        <f t="shared" si="44"/>
        <v>13</v>
      </c>
      <c r="M372" s="3">
        <f t="shared" si="45"/>
        <v>29.450001</v>
      </c>
      <c r="N372" s="1">
        <f t="shared" ca="1" si="46"/>
        <v>29.450001</v>
      </c>
      <c r="O372" s="5">
        <f t="shared" si="47"/>
        <v>-3.1239387733806967E-2</v>
      </c>
    </row>
    <row r="373" spans="1:15" s="2" customFormat="1" x14ac:dyDescent="0.5">
      <c r="A373" s="6">
        <v>40892</v>
      </c>
      <c r="B373" s="1">
        <v>28.67</v>
      </c>
      <c r="C373" s="1">
        <v>29.17</v>
      </c>
      <c r="D373" s="1">
        <v>28.120000999999998</v>
      </c>
      <c r="E373" s="1">
        <v>28.620000999999998</v>
      </c>
      <c r="F373" s="1">
        <v>28.620000999999998</v>
      </c>
      <c r="G373" s="2">
        <v>700300</v>
      </c>
      <c r="H373" s="2">
        <f t="shared" si="40"/>
        <v>2011</v>
      </c>
      <c r="I373" s="2">
        <f t="shared" si="41"/>
        <v>12</v>
      </c>
      <c r="J373" s="2">
        <f t="shared" si="42"/>
        <v>15</v>
      </c>
      <c r="K373" s="2">
        <f t="shared" si="43"/>
        <v>5</v>
      </c>
      <c r="L373" s="2">
        <f t="shared" si="44"/>
        <v>13</v>
      </c>
      <c r="M373" s="3">
        <f t="shared" si="45"/>
        <v>28.530000999999999</v>
      </c>
      <c r="N373" s="1">
        <f t="shared" ca="1" si="46"/>
        <v>28.530000999999999</v>
      </c>
      <c r="O373" s="5">
        <f t="shared" si="47"/>
        <v>3.1545740219216523E-3</v>
      </c>
    </row>
    <row r="374" spans="1:15" s="2" customFormat="1" x14ac:dyDescent="0.5">
      <c r="A374" s="6">
        <v>40893</v>
      </c>
      <c r="B374" s="1">
        <v>28.790001</v>
      </c>
      <c r="C374" s="1">
        <v>28.93</v>
      </c>
      <c r="D374" s="1">
        <v>27.98</v>
      </c>
      <c r="E374" s="1">
        <v>28</v>
      </c>
      <c r="F374" s="1">
        <v>28</v>
      </c>
      <c r="G374" s="2">
        <v>1029700</v>
      </c>
      <c r="H374" s="2">
        <f t="shared" si="40"/>
        <v>2011</v>
      </c>
      <c r="I374" s="2">
        <f t="shared" si="41"/>
        <v>12</v>
      </c>
      <c r="J374" s="2">
        <f t="shared" si="42"/>
        <v>16</v>
      </c>
      <c r="K374" s="2">
        <f t="shared" si="43"/>
        <v>6</v>
      </c>
      <c r="L374" s="2">
        <f t="shared" si="44"/>
        <v>13</v>
      </c>
      <c r="M374" s="3">
        <f t="shared" si="45"/>
        <v>28.620000999999998</v>
      </c>
      <c r="N374" s="1">
        <f t="shared" ca="1" si="46"/>
        <v>28.620000999999998</v>
      </c>
      <c r="O374" s="5">
        <f t="shared" si="47"/>
        <v>-2.1663206790244249E-2</v>
      </c>
    </row>
    <row r="375" spans="1:15" s="2" customFormat="1" x14ac:dyDescent="0.5">
      <c r="A375" s="6">
        <v>40896</v>
      </c>
      <c r="B375" s="1">
        <v>28.09</v>
      </c>
      <c r="C375" s="1">
        <v>28.5</v>
      </c>
      <c r="D375" s="1">
        <v>27.370000999999998</v>
      </c>
      <c r="E375" s="1">
        <v>27.75</v>
      </c>
      <c r="F375" s="1">
        <v>27.75</v>
      </c>
      <c r="G375" s="2">
        <v>987000</v>
      </c>
      <c r="H375" s="2">
        <f t="shared" si="40"/>
        <v>2011</v>
      </c>
      <c r="I375" s="2">
        <f t="shared" si="41"/>
        <v>12</v>
      </c>
      <c r="J375" s="2">
        <f t="shared" si="42"/>
        <v>19</v>
      </c>
      <c r="K375" s="2">
        <f t="shared" si="43"/>
        <v>2</v>
      </c>
      <c r="L375" s="2">
        <f t="shared" si="44"/>
        <v>13</v>
      </c>
      <c r="M375" s="3">
        <f t="shared" si="45"/>
        <v>28</v>
      </c>
      <c r="N375" s="1">
        <f t="shared" ca="1" si="46"/>
        <v>28</v>
      </c>
      <c r="O375" s="5">
        <f t="shared" si="47"/>
        <v>-8.9285714285713969E-3</v>
      </c>
    </row>
    <row r="376" spans="1:15" s="2" customFormat="1" x14ac:dyDescent="0.5">
      <c r="A376" s="6">
        <v>40897</v>
      </c>
      <c r="B376" s="1">
        <v>28.049999</v>
      </c>
      <c r="C376" s="1">
        <v>28.450001</v>
      </c>
      <c r="D376" s="1">
        <v>27.719999000000001</v>
      </c>
      <c r="E376" s="1">
        <v>27.9</v>
      </c>
      <c r="F376" s="1">
        <v>27.9</v>
      </c>
      <c r="G376" s="2">
        <v>843300</v>
      </c>
      <c r="H376" s="2">
        <f t="shared" si="40"/>
        <v>2011</v>
      </c>
      <c r="I376" s="2">
        <f t="shared" si="41"/>
        <v>12</v>
      </c>
      <c r="J376" s="2">
        <f t="shared" si="42"/>
        <v>20</v>
      </c>
      <c r="K376" s="2">
        <f t="shared" si="43"/>
        <v>3</v>
      </c>
      <c r="L376" s="2">
        <f t="shared" si="44"/>
        <v>13</v>
      </c>
      <c r="M376" s="3">
        <f t="shared" si="45"/>
        <v>27.75</v>
      </c>
      <c r="N376" s="1">
        <f t="shared" ca="1" si="46"/>
        <v>27.75</v>
      </c>
      <c r="O376" s="5">
        <f t="shared" si="47"/>
        <v>5.4054054054053502E-3</v>
      </c>
    </row>
    <row r="377" spans="1:15" s="2" customFormat="1" x14ac:dyDescent="0.5">
      <c r="A377" s="6">
        <v>40898</v>
      </c>
      <c r="B377" s="1">
        <v>27.91</v>
      </c>
      <c r="C377" s="1">
        <v>28.07</v>
      </c>
      <c r="D377" s="1">
        <v>26.030000999999999</v>
      </c>
      <c r="E377" s="1">
        <v>27.57</v>
      </c>
      <c r="F377" s="1">
        <v>27.57</v>
      </c>
      <c r="G377" s="2">
        <v>1705500</v>
      </c>
      <c r="H377" s="2">
        <f t="shared" si="40"/>
        <v>2011</v>
      </c>
      <c r="I377" s="2">
        <f t="shared" si="41"/>
        <v>12</v>
      </c>
      <c r="J377" s="2">
        <f t="shared" si="42"/>
        <v>21</v>
      </c>
      <c r="K377" s="2">
        <f t="shared" si="43"/>
        <v>4</v>
      </c>
      <c r="L377" s="2">
        <f t="shared" si="44"/>
        <v>13</v>
      </c>
      <c r="M377" s="3">
        <f t="shared" si="45"/>
        <v>27.9</v>
      </c>
      <c r="N377" s="1">
        <f t="shared" ca="1" si="46"/>
        <v>27.9</v>
      </c>
      <c r="O377" s="5">
        <f t="shared" si="47"/>
        <v>-1.1827956989247213E-2</v>
      </c>
    </row>
    <row r="378" spans="1:15" s="2" customFormat="1" x14ac:dyDescent="0.5">
      <c r="A378" s="6">
        <v>40899</v>
      </c>
      <c r="B378" s="1">
        <v>27.6</v>
      </c>
      <c r="C378" s="1">
        <v>28.049999</v>
      </c>
      <c r="D378" s="1">
        <v>27.299999</v>
      </c>
      <c r="E378" s="1">
        <v>27.77</v>
      </c>
      <c r="F378" s="1">
        <v>27.77</v>
      </c>
      <c r="G378" s="2">
        <v>1009400</v>
      </c>
      <c r="H378" s="2">
        <f t="shared" si="40"/>
        <v>2011</v>
      </c>
      <c r="I378" s="2">
        <f t="shared" si="41"/>
        <v>12</v>
      </c>
      <c r="J378" s="2">
        <f t="shared" si="42"/>
        <v>22</v>
      </c>
      <c r="K378" s="2">
        <f t="shared" si="43"/>
        <v>5</v>
      </c>
      <c r="L378" s="2">
        <f t="shared" si="44"/>
        <v>13</v>
      </c>
      <c r="M378" s="3">
        <f t="shared" si="45"/>
        <v>27.57</v>
      </c>
      <c r="N378" s="1">
        <f t="shared" ca="1" si="46"/>
        <v>27.57</v>
      </c>
      <c r="O378" s="5">
        <f t="shared" si="47"/>
        <v>7.2542618788538071E-3</v>
      </c>
    </row>
    <row r="379" spans="1:15" s="2" customFormat="1" x14ac:dyDescent="0.5">
      <c r="A379" s="6">
        <v>40900</v>
      </c>
      <c r="B379" s="1">
        <v>28</v>
      </c>
      <c r="C379" s="1">
        <v>28</v>
      </c>
      <c r="D379" s="1">
        <v>27.52</v>
      </c>
      <c r="E379" s="1">
        <v>27.9</v>
      </c>
      <c r="F379" s="1">
        <v>27.9</v>
      </c>
      <c r="G379" s="2">
        <v>591400</v>
      </c>
      <c r="H379" s="2">
        <f t="shared" si="40"/>
        <v>2011</v>
      </c>
      <c r="I379" s="2">
        <f t="shared" si="41"/>
        <v>12</v>
      </c>
      <c r="J379" s="2">
        <f t="shared" si="42"/>
        <v>23</v>
      </c>
      <c r="K379" s="2">
        <f t="shared" si="43"/>
        <v>6</v>
      </c>
      <c r="L379" s="2">
        <f t="shared" si="44"/>
        <v>13</v>
      </c>
      <c r="M379" s="3">
        <f t="shared" si="45"/>
        <v>27.77</v>
      </c>
      <c r="N379" s="1">
        <f t="shared" ca="1" si="46"/>
        <v>27.77</v>
      </c>
      <c r="O379" s="5">
        <f t="shared" si="47"/>
        <v>4.6813107670147236E-3</v>
      </c>
    </row>
    <row r="380" spans="1:15" s="2" customFormat="1" x14ac:dyDescent="0.5">
      <c r="A380" s="6">
        <v>40904</v>
      </c>
      <c r="B380" s="1">
        <v>27.66</v>
      </c>
      <c r="C380" s="1">
        <v>28.77</v>
      </c>
      <c r="D380" s="1">
        <v>27.639999</v>
      </c>
      <c r="E380" s="1">
        <v>28.57</v>
      </c>
      <c r="F380" s="1">
        <v>28.57</v>
      </c>
      <c r="G380" s="2">
        <v>777500</v>
      </c>
      <c r="H380" s="2">
        <f t="shared" si="40"/>
        <v>2011</v>
      </c>
      <c r="I380" s="2">
        <f t="shared" si="41"/>
        <v>12</v>
      </c>
      <c r="J380" s="2">
        <f t="shared" si="42"/>
        <v>27</v>
      </c>
      <c r="K380" s="2">
        <f t="shared" si="43"/>
        <v>3</v>
      </c>
      <c r="L380" s="2">
        <f t="shared" si="44"/>
        <v>13</v>
      </c>
      <c r="M380" s="3">
        <f t="shared" si="45"/>
        <v>27.9</v>
      </c>
      <c r="N380" s="1">
        <f t="shared" ca="1" si="46"/>
        <v>27.9</v>
      </c>
      <c r="O380" s="5">
        <f t="shared" si="47"/>
        <v>2.4014336917562717E-2</v>
      </c>
    </row>
    <row r="381" spans="1:15" s="2" customFormat="1" x14ac:dyDescent="0.5">
      <c r="A381" s="6">
        <v>40905</v>
      </c>
      <c r="B381" s="1">
        <v>28.99</v>
      </c>
      <c r="C381" s="1">
        <v>29.24</v>
      </c>
      <c r="D381" s="1">
        <v>28.040001</v>
      </c>
      <c r="E381" s="1">
        <v>28.51</v>
      </c>
      <c r="F381" s="1">
        <v>28.51</v>
      </c>
      <c r="G381" s="2">
        <v>575200</v>
      </c>
      <c r="H381" s="2">
        <f t="shared" si="40"/>
        <v>2011</v>
      </c>
      <c r="I381" s="2">
        <f t="shared" si="41"/>
        <v>12</v>
      </c>
      <c r="J381" s="2">
        <f t="shared" si="42"/>
        <v>28</v>
      </c>
      <c r="K381" s="2">
        <f t="shared" si="43"/>
        <v>4</v>
      </c>
      <c r="L381" s="2">
        <f t="shared" si="44"/>
        <v>13</v>
      </c>
      <c r="M381" s="3">
        <f t="shared" si="45"/>
        <v>28.57</v>
      </c>
      <c r="N381" s="1">
        <f t="shared" ca="1" si="46"/>
        <v>28.57</v>
      </c>
      <c r="O381" s="5">
        <f t="shared" si="47"/>
        <v>-2.1001050052502634E-3</v>
      </c>
    </row>
    <row r="382" spans="1:15" s="2" customFormat="1" x14ac:dyDescent="0.5">
      <c r="A382" s="6">
        <v>40906</v>
      </c>
      <c r="B382" s="1">
        <v>28.59</v>
      </c>
      <c r="C382" s="1">
        <v>29.34</v>
      </c>
      <c r="D382" s="1">
        <v>28.549999</v>
      </c>
      <c r="E382" s="1">
        <v>28.73</v>
      </c>
      <c r="F382" s="1">
        <v>28.73</v>
      </c>
      <c r="G382" s="2">
        <v>488200</v>
      </c>
      <c r="H382" s="2">
        <f t="shared" si="40"/>
        <v>2011</v>
      </c>
      <c r="I382" s="2">
        <f t="shared" si="41"/>
        <v>12</v>
      </c>
      <c r="J382" s="2">
        <f t="shared" si="42"/>
        <v>29</v>
      </c>
      <c r="K382" s="2">
        <f t="shared" si="43"/>
        <v>5</v>
      </c>
      <c r="L382" s="2">
        <f t="shared" si="44"/>
        <v>13</v>
      </c>
      <c r="M382" s="3">
        <f t="shared" si="45"/>
        <v>28.51</v>
      </c>
      <c r="N382" s="1">
        <f t="shared" ca="1" si="46"/>
        <v>28.51</v>
      </c>
      <c r="O382" s="5">
        <f t="shared" si="47"/>
        <v>7.7165906699403486E-3</v>
      </c>
    </row>
    <row r="383" spans="1:15" s="2" customFormat="1" x14ac:dyDescent="0.5">
      <c r="A383" s="6">
        <v>40907</v>
      </c>
      <c r="B383" s="1">
        <v>28.49</v>
      </c>
      <c r="C383" s="1">
        <v>28.98</v>
      </c>
      <c r="D383" s="1">
        <v>28.25</v>
      </c>
      <c r="E383" s="1">
        <v>28.559999000000001</v>
      </c>
      <c r="F383" s="1">
        <v>28.559999000000001</v>
      </c>
      <c r="G383" s="2">
        <v>339800</v>
      </c>
      <c r="H383" s="2">
        <f t="shared" si="40"/>
        <v>2011</v>
      </c>
      <c r="I383" s="2">
        <f t="shared" si="41"/>
        <v>12</v>
      </c>
      <c r="J383" s="2">
        <f t="shared" si="42"/>
        <v>30</v>
      </c>
      <c r="K383" s="2">
        <f t="shared" si="43"/>
        <v>6</v>
      </c>
      <c r="L383" s="2">
        <f t="shared" si="44"/>
        <v>13</v>
      </c>
      <c r="M383" s="3">
        <f t="shared" si="45"/>
        <v>28.73</v>
      </c>
      <c r="N383" s="1">
        <f t="shared" ca="1" si="46"/>
        <v>28.73</v>
      </c>
      <c r="O383" s="5">
        <f t="shared" si="47"/>
        <v>-5.9171945701357309E-3</v>
      </c>
    </row>
    <row r="384" spans="1:15" s="2" customFormat="1" x14ac:dyDescent="0.5">
      <c r="A384" s="6">
        <v>40911</v>
      </c>
      <c r="B384" s="1">
        <v>28.940000999999999</v>
      </c>
      <c r="C384" s="1">
        <v>29.5</v>
      </c>
      <c r="D384" s="1">
        <v>27.65</v>
      </c>
      <c r="E384" s="1">
        <v>28.08</v>
      </c>
      <c r="F384" s="1">
        <v>28.08</v>
      </c>
      <c r="G384" s="2">
        <v>928100</v>
      </c>
      <c r="H384" s="2">
        <f t="shared" si="40"/>
        <v>2012</v>
      </c>
      <c r="I384" s="2">
        <f t="shared" si="41"/>
        <v>1</v>
      </c>
      <c r="J384" s="2">
        <f t="shared" si="42"/>
        <v>3</v>
      </c>
      <c r="K384" s="2">
        <f t="shared" si="43"/>
        <v>3</v>
      </c>
      <c r="L384" s="2">
        <f t="shared" si="44"/>
        <v>2</v>
      </c>
      <c r="M384" s="3">
        <f t="shared" si="45"/>
        <v>28.559999000000001</v>
      </c>
      <c r="N384" s="1">
        <f t="shared" ca="1" si="46"/>
        <v>28.559999000000001</v>
      </c>
      <c r="O384" s="5">
        <f t="shared" si="47"/>
        <v>-1.6806688263539593E-2</v>
      </c>
    </row>
    <row r="385" spans="1:15" s="2" customFormat="1" x14ac:dyDescent="0.5">
      <c r="A385" s="6">
        <v>40912</v>
      </c>
      <c r="B385" s="1">
        <v>28.209999</v>
      </c>
      <c r="C385" s="1">
        <v>28.67</v>
      </c>
      <c r="D385" s="1">
        <v>27.5</v>
      </c>
      <c r="E385" s="1">
        <v>27.709999</v>
      </c>
      <c r="F385" s="1">
        <v>27.709999</v>
      </c>
      <c r="G385" s="2">
        <v>630100</v>
      </c>
      <c r="H385" s="2">
        <f t="shared" si="40"/>
        <v>2012</v>
      </c>
      <c r="I385" s="2">
        <f t="shared" si="41"/>
        <v>1</v>
      </c>
      <c r="J385" s="2">
        <f t="shared" si="42"/>
        <v>4</v>
      </c>
      <c r="K385" s="2">
        <f t="shared" si="43"/>
        <v>4</v>
      </c>
      <c r="L385" s="2">
        <f t="shared" si="44"/>
        <v>2</v>
      </c>
      <c r="M385" s="3">
        <f t="shared" si="45"/>
        <v>28.08</v>
      </c>
      <c r="N385" s="1">
        <f t="shared" ca="1" si="46"/>
        <v>28.08</v>
      </c>
      <c r="O385" s="5">
        <f t="shared" si="47"/>
        <v>-1.3176673789173754E-2</v>
      </c>
    </row>
    <row r="386" spans="1:15" s="2" customFormat="1" x14ac:dyDescent="0.5">
      <c r="A386" s="6">
        <v>40913</v>
      </c>
      <c r="B386" s="1">
        <v>27.76</v>
      </c>
      <c r="C386" s="1">
        <v>27.93</v>
      </c>
      <c r="D386" s="1">
        <v>26.85</v>
      </c>
      <c r="E386" s="1">
        <v>27.120000999999998</v>
      </c>
      <c r="F386" s="1">
        <v>27.120000999999998</v>
      </c>
      <c r="G386" s="2">
        <v>1005500</v>
      </c>
      <c r="H386" s="2">
        <f t="shared" ref="H386:H449" si="48">YEAR(A386)</f>
        <v>2012</v>
      </c>
      <c r="I386" s="2">
        <f t="shared" ref="I386:I449" si="49">MONTH(A386)</f>
        <v>1</v>
      </c>
      <c r="J386" s="2">
        <f t="shared" ref="J386:J449" si="50">DAY(A386)</f>
        <v>5</v>
      </c>
      <c r="K386" s="2">
        <f t="shared" ref="K386:K449" si="51">WEEKDAY(A386)</f>
        <v>5</v>
      </c>
      <c r="L386" s="2">
        <f t="shared" si="44"/>
        <v>2</v>
      </c>
      <c r="M386" s="3">
        <f t="shared" si="45"/>
        <v>27.709999</v>
      </c>
      <c r="N386" s="1">
        <f t="shared" ca="1" si="46"/>
        <v>27.709999</v>
      </c>
      <c r="O386" s="5">
        <f t="shared" si="47"/>
        <v>-2.129188095604051E-2</v>
      </c>
    </row>
    <row r="387" spans="1:15" s="2" customFormat="1" x14ac:dyDescent="0.5">
      <c r="A387" s="6">
        <v>40914</v>
      </c>
      <c r="B387" s="1">
        <v>27.200001</v>
      </c>
      <c r="C387" s="1">
        <v>27.790001</v>
      </c>
      <c r="D387" s="1">
        <v>26.41</v>
      </c>
      <c r="E387" s="1">
        <v>26.91</v>
      </c>
      <c r="F387" s="1">
        <v>26.91</v>
      </c>
      <c r="G387" s="2">
        <v>986300</v>
      </c>
      <c r="H387" s="2">
        <f t="shared" si="48"/>
        <v>2012</v>
      </c>
      <c r="I387" s="2">
        <f t="shared" si="49"/>
        <v>1</v>
      </c>
      <c r="J387" s="2">
        <f t="shared" si="50"/>
        <v>6</v>
      </c>
      <c r="K387" s="2">
        <f t="shared" si="51"/>
        <v>6</v>
      </c>
      <c r="L387" s="2">
        <f t="shared" ref="L387:L450" si="52">I387+1</f>
        <v>2</v>
      </c>
      <c r="M387" s="3">
        <f t="shared" ref="M387:M450" si="53">F386</f>
        <v>27.120000999999998</v>
      </c>
      <c r="N387" s="1">
        <f t="shared" ref="N387:N450" ca="1" si="54">OFFSET(F387, -1, 0)</f>
        <v>27.120000999999998</v>
      </c>
      <c r="O387" s="5">
        <f t="shared" ref="O387:O450" si="55">(F387/M387)-1</f>
        <v>-7.7433994194910927E-3</v>
      </c>
    </row>
    <row r="388" spans="1:15" s="2" customFormat="1" x14ac:dyDescent="0.5">
      <c r="A388" s="6">
        <v>40917</v>
      </c>
      <c r="B388" s="1">
        <v>27</v>
      </c>
      <c r="C388" s="1">
        <v>27.49</v>
      </c>
      <c r="D388" s="1">
        <v>26.120000999999998</v>
      </c>
      <c r="E388" s="1">
        <v>27.25</v>
      </c>
      <c r="F388" s="1">
        <v>27.25</v>
      </c>
      <c r="G388" s="2">
        <v>897000</v>
      </c>
      <c r="H388" s="2">
        <f t="shared" si="48"/>
        <v>2012</v>
      </c>
      <c r="I388" s="2">
        <f t="shared" si="49"/>
        <v>1</v>
      </c>
      <c r="J388" s="2">
        <f t="shared" si="50"/>
        <v>9</v>
      </c>
      <c r="K388" s="2">
        <f t="shared" si="51"/>
        <v>2</v>
      </c>
      <c r="L388" s="2">
        <f t="shared" si="52"/>
        <v>2</v>
      </c>
      <c r="M388" s="3">
        <f t="shared" si="53"/>
        <v>26.91</v>
      </c>
      <c r="N388" s="1">
        <f t="shared" ca="1" si="54"/>
        <v>26.91</v>
      </c>
      <c r="O388" s="5">
        <f t="shared" si="55"/>
        <v>1.263470828688229E-2</v>
      </c>
    </row>
    <row r="389" spans="1:15" s="2" customFormat="1" x14ac:dyDescent="0.5">
      <c r="A389" s="6">
        <v>40918</v>
      </c>
      <c r="B389" s="1">
        <v>27.440000999999999</v>
      </c>
      <c r="C389" s="1">
        <v>27.76</v>
      </c>
      <c r="D389" s="1">
        <v>27.25</v>
      </c>
      <c r="E389" s="1">
        <v>27.620000999999998</v>
      </c>
      <c r="F389" s="1">
        <v>27.620000999999998</v>
      </c>
      <c r="G389" s="2">
        <v>671800</v>
      </c>
      <c r="H389" s="2">
        <f t="shared" si="48"/>
        <v>2012</v>
      </c>
      <c r="I389" s="2">
        <f t="shared" si="49"/>
        <v>1</v>
      </c>
      <c r="J389" s="2">
        <f t="shared" si="50"/>
        <v>10</v>
      </c>
      <c r="K389" s="2">
        <f t="shared" si="51"/>
        <v>3</v>
      </c>
      <c r="L389" s="2">
        <f t="shared" si="52"/>
        <v>2</v>
      </c>
      <c r="M389" s="3">
        <f t="shared" si="53"/>
        <v>27.25</v>
      </c>
      <c r="N389" s="1">
        <f t="shared" ca="1" si="54"/>
        <v>27.25</v>
      </c>
      <c r="O389" s="5">
        <f t="shared" si="55"/>
        <v>1.3578018348623822E-2</v>
      </c>
    </row>
    <row r="390" spans="1:15" s="2" customFormat="1" x14ac:dyDescent="0.5">
      <c r="A390" s="6">
        <v>40919</v>
      </c>
      <c r="B390" s="1">
        <v>27.620000999999998</v>
      </c>
      <c r="C390" s="1">
        <v>28.379999000000002</v>
      </c>
      <c r="D390" s="1">
        <v>27.299999</v>
      </c>
      <c r="E390" s="1">
        <v>28.23</v>
      </c>
      <c r="F390" s="1">
        <v>28.23</v>
      </c>
      <c r="G390" s="2">
        <v>672300</v>
      </c>
      <c r="H390" s="2">
        <f t="shared" si="48"/>
        <v>2012</v>
      </c>
      <c r="I390" s="2">
        <f t="shared" si="49"/>
        <v>1</v>
      </c>
      <c r="J390" s="2">
        <f t="shared" si="50"/>
        <v>11</v>
      </c>
      <c r="K390" s="2">
        <f t="shared" si="51"/>
        <v>4</v>
      </c>
      <c r="L390" s="2">
        <f t="shared" si="52"/>
        <v>2</v>
      </c>
      <c r="M390" s="3">
        <f t="shared" si="53"/>
        <v>27.620000999999998</v>
      </c>
      <c r="N390" s="1">
        <f t="shared" ca="1" si="54"/>
        <v>27.620000999999998</v>
      </c>
      <c r="O390" s="5">
        <f t="shared" si="55"/>
        <v>2.2085408324206801E-2</v>
      </c>
    </row>
    <row r="391" spans="1:15" s="2" customFormat="1" x14ac:dyDescent="0.5">
      <c r="A391" s="6">
        <v>40920</v>
      </c>
      <c r="B391" s="1">
        <v>28.48</v>
      </c>
      <c r="C391" s="1">
        <v>28.620000999999998</v>
      </c>
      <c r="D391" s="1">
        <v>27.809999000000001</v>
      </c>
      <c r="E391" s="1">
        <v>28.25</v>
      </c>
      <c r="F391" s="1">
        <v>28.25</v>
      </c>
      <c r="G391" s="2">
        <v>729300</v>
      </c>
      <c r="H391" s="2">
        <f t="shared" si="48"/>
        <v>2012</v>
      </c>
      <c r="I391" s="2">
        <f t="shared" si="49"/>
        <v>1</v>
      </c>
      <c r="J391" s="2">
        <f t="shared" si="50"/>
        <v>12</v>
      </c>
      <c r="K391" s="2">
        <f t="shared" si="51"/>
        <v>5</v>
      </c>
      <c r="L391" s="2">
        <f t="shared" si="52"/>
        <v>2</v>
      </c>
      <c r="M391" s="3">
        <f t="shared" si="53"/>
        <v>28.23</v>
      </c>
      <c r="N391" s="1">
        <f t="shared" ca="1" si="54"/>
        <v>28.23</v>
      </c>
      <c r="O391" s="5">
        <f t="shared" si="55"/>
        <v>7.0846617074038498E-4</v>
      </c>
    </row>
    <row r="392" spans="1:15" s="2" customFormat="1" x14ac:dyDescent="0.5">
      <c r="A392" s="6">
        <v>40921</v>
      </c>
      <c r="B392" s="1">
        <v>28.4</v>
      </c>
      <c r="C392" s="1">
        <v>28.5</v>
      </c>
      <c r="D392" s="1">
        <v>22.639999</v>
      </c>
      <c r="E392" s="1">
        <v>22.790001</v>
      </c>
      <c r="F392" s="1">
        <v>22.790001</v>
      </c>
      <c r="G392" s="2">
        <v>5500400</v>
      </c>
      <c r="H392" s="2">
        <f t="shared" si="48"/>
        <v>2012</v>
      </c>
      <c r="I392" s="2">
        <f t="shared" si="49"/>
        <v>1</v>
      </c>
      <c r="J392" s="2">
        <f t="shared" si="50"/>
        <v>13</v>
      </c>
      <c r="K392" s="2">
        <f t="shared" si="51"/>
        <v>6</v>
      </c>
      <c r="L392" s="2">
        <f t="shared" si="52"/>
        <v>2</v>
      </c>
      <c r="M392" s="3">
        <f t="shared" si="53"/>
        <v>28.25</v>
      </c>
      <c r="N392" s="1">
        <f t="shared" ca="1" si="54"/>
        <v>28.25</v>
      </c>
      <c r="O392" s="5">
        <f t="shared" si="55"/>
        <v>-0.19327430088495579</v>
      </c>
    </row>
    <row r="393" spans="1:15" s="2" customFormat="1" x14ac:dyDescent="0.5">
      <c r="A393" s="6">
        <v>40925</v>
      </c>
      <c r="B393" s="1">
        <v>26.620000999999998</v>
      </c>
      <c r="C393" s="1">
        <v>27.34</v>
      </c>
      <c r="D393" s="1">
        <v>26.41</v>
      </c>
      <c r="E393" s="1">
        <v>26.6</v>
      </c>
      <c r="F393" s="1">
        <v>26.6</v>
      </c>
      <c r="G393" s="2">
        <v>4651600</v>
      </c>
      <c r="H393" s="2">
        <f t="shared" si="48"/>
        <v>2012</v>
      </c>
      <c r="I393" s="2">
        <f t="shared" si="49"/>
        <v>1</v>
      </c>
      <c r="J393" s="2">
        <f t="shared" si="50"/>
        <v>17</v>
      </c>
      <c r="K393" s="2">
        <f t="shared" si="51"/>
        <v>3</v>
      </c>
      <c r="L393" s="2">
        <f t="shared" si="52"/>
        <v>2</v>
      </c>
      <c r="M393" s="3">
        <f t="shared" si="53"/>
        <v>22.790001</v>
      </c>
      <c r="N393" s="1">
        <f t="shared" ca="1" si="54"/>
        <v>22.790001</v>
      </c>
      <c r="O393" s="5">
        <f t="shared" si="55"/>
        <v>0.16717853588510168</v>
      </c>
    </row>
    <row r="394" spans="1:15" s="2" customFormat="1" x14ac:dyDescent="0.5">
      <c r="A394" s="6">
        <v>40926</v>
      </c>
      <c r="B394" s="1">
        <v>26.690000999999999</v>
      </c>
      <c r="C394" s="1">
        <v>26.879999000000002</v>
      </c>
      <c r="D394" s="1">
        <v>26.25</v>
      </c>
      <c r="E394" s="1">
        <v>26.809999000000001</v>
      </c>
      <c r="F394" s="1">
        <v>26.809999000000001</v>
      </c>
      <c r="G394" s="2">
        <v>1260200</v>
      </c>
      <c r="H394" s="2">
        <f t="shared" si="48"/>
        <v>2012</v>
      </c>
      <c r="I394" s="2">
        <f t="shared" si="49"/>
        <v>1</v>
      </c>
      <c r="J394" s="2">
        <f t="shared" si="50"/>
        <v>18</v>
      </c>
      <c r="K394" s="2">
        <f t="shared" si="51"/>
        <v>4</v>
      </c>
      <c r="L394" s="2">
        <f t="shared" si="52"/>
        <v>2</v>
      </c>
      <c r="M394" s="3">
        <f t="shared" si="53"/>
        <v>26.6</v>
      </c>
      <c r="N394" s="1">
        <f t="shared" ca="1" si="54"/>
        <v>26.6</v>
      </c>
      <c r="O394" s="5">
        <f t="shared" si="55"/>
        <v>7.8946992481203626E-3</v>
      </c>
    </row>
    <row r="395" spans="1:15" s="2" customFormat="1" x14ac:dyDescent="0.5">
      <c r="A395" s="6">
        <v>40927</v>
      </c>
      <c r="B395" s="1">
        <v>27.190000999999999</v>
      </c>
      <c r="C395" s="1">
        <v>27.74</v>
      </c>
      <c r="D395" s="1">
        <v>26.610001</v>
      </c>
      <c r="E395" s="1">
        <v>26.76</v>
      </c>
      <c r="F395" s="1">
        <v>26.76</v>
      </c>
      <c r="G395" s="2">
        <v>1246300</v>
      </c>
      <c r="H395" s="2">
        <f t="shared" si="48"/>
        <v>2012</v>
      </c>
      <c r="I395" s="2">
        <f t="shared" si="49"/>
        <v>1</v>
      </c>
      <c r="J395" s="2">
        <f t="shared" si="50"/>
        <v>19</v>
      </c>
      <c r="K395" s="2">
        <f t="shared" si="51"/>
        <v>5</v>
      </c>
      <c r="L395" s="2">
        <f t="shared" si="52"/>
        <v>2</v>
      </c>
      <c r="M395" s="3">
        <f t="shared" si="53"/>
        <v>26.809999000000001</v>
      </c>
      <c r="N395" s="1">
        <f t="shared" ca="1" si="54"/>
        <v>26.809999000000001</v>
      </c>
      <c r="O395" s="5">
        <f t="shared" si="55"/>
        <v>-1.8649385253614037E-3</v>
      </c>
    </row>
    <row r="396" spans="1:15" s="2" customFormat="1" x14ac:dyDescent="0.5">
      <c r="A396" s="6">
        <v>40928</v>
      </c>
      <c r="B396" s="1">
        <v>26.9</v>
      </c>
      <c r="C396" s="1">
        <v>27</v>
      </c>
      <c r="D396" s="1">
        <v>26.4</v>
      </c>
      <c r="E396" s="1">
        <v>26.6</v>
      </c>
      <c r="F396" s="1">
        <v>26.6</v>
      </c>
      <c r="G396" s="2">
        <v>662300</v>
      </c>
      <c r="H396" s="2">
        <f t="shared" si="48"/>
        <v>2012</v>
      </c>
      <c r="I396" s="2">
        <f t="shared" si="49"/>
        <v>1</v>
      </c>
      <c r="J396" s="2">
        <f t="shared" si="50"/>
        <v>20</v>
      </c>
      <c r="K396" s="2">
        <f t="shared" si="51"/>
        <v>6</v>
      </c>
      <c r="L396" s="2">
        <f t="shared" si="52"/>
        <v>2</v>
      </c>
      <c r="M396" s="3">
        <f t="shared" si="53"/>
        <v>26.76</v>
      </c>
      <c r="N396" s="1">
        <f t="shared" ca="1" si="54"/>
        <v>26.76</v>
      </c>
      <c r="O396" s="5">
        <f t="shared" si="55"/>
        <v>-5.9790732436472149E-3</v>
      </c>
    </row>
    <row r="397" spans="1:15" s="2" customFormat="1" x14ac:dyDescent="0.5">
      <c r="A397" s="6">
        <v>40931</v>
      </c>
      <c r="B397" s="1">
        <v>26.809999000000001</v>
      </c>
      <c r="C397" s="1">
        <v>27.209999</v>
      </c>
      <c r="D397" s="1">
        <v>26.6</v>
      </c>
      <c r="E397" s="1">
        <v>26.77</v>
      </c>
      <c r="F397" s="1">
        <v>26.77</v>
      </c>
      <c r="G397" s="2">
        <v>594600</v>
      </c>
      <c r="H397" s="2">
        <f t="shared" si="48"/>
        <v>2012</v>
      </c>
      <c r="I397" s="2">
        <f t="shared" si="49"/>
        <v>1</v>
      </c>
      <c r="J397" s="2">
        <f t="shared" si="50"/>
        <v>23</v>
      </c>
      <c r="K397" s="2">
        <f t="shared" si="51"/>
        <v>2</v>
      </c>
      <c r="L397" s="2">
        <f t="shared" si="52"/>
        <v>2</v>
      </c>
      <c r="M397" s="3">
        <f t="shared" si="53"/>
        <v>26.6</v>
      </c>
      <c r="N397" s="1">
        <f t="shared" ca="1" si="54"/>
        <v>26.6</v>
      </c>
      <c r="O397" s="5">
        <f t="shared" si="55"/>
        <v>6.3909774436090583E-3</v>
      </c>
    </row>
    <row r="398" spans="1:15" s="2" customFormat="1" x14ac:dyDescent="0.5">
      <c r="A398" s="6">
        <v>40932</v>
      </c>
      <c r="B398" s="1">
        <v>26.629999000000002</v>
      </c>
      <c r="C398" s="1">
        <v>27.68</v>
      </c>
      <c r="D398" s="1">
        <v>26.440000999999999</v>
      </c>
      <c r="E398" s="1">
        <v>27.42</v>
      </c>
      <c r="F398" s="1">
        <v>27.42</v>
      </c>
      <c r="G398" s="2">
        <v>858000</v>
      </c>
      <c r="H398" s="2">
        <f t="shared" si="48"/>
        <v>2012</v>
      </c>
      <c r="I398" s="2">
        <f t="shared" si="49"/>
        <v>1</v>
      </c>
      <c r="J398" s="2">
        <f t="shared" si="50"/>
        <v>24</v>
      </c>
      <c r="K398" s="2">
        <f t="shared" si="51"/>
        <v>3</v>
      </c>
      <c r="L398" s="2">
        <f t="shared" si="52"/>
        <v>2</v>
      </c>
      <c r="M398" s="3">
        <f t="shared" si="53"/>
        <v>26.77</v>
      </c>
      <c r="N398" s="1">
        <f t="shared" ca="1" si="54"/>
        <v>26.77</v>
      </c>
      <c r="O398" s="5">
        <f t="shared" si="55"/>
        <v>2.4280911468061328E-2</v>
      </c>
    </row>
    <row r="399" spans="1:15" s="2" customFormat="1" x14ac:dyDescent="0.5">
      <c r="A399" s="6">
        <v>40933</v>
      </c>
      <c r="B399" s="1">
        <v>27.27</v>
      </c>
      <c r="C399" s="1">
        <v>28.01</v>
      </c>
      <c r="D399" s="1">
        <v>27.049999</v>
      </c>
      <c r="E399" s="1">
        <v>27.969999000000001</v>
      </c>
      <c r="F399" s="1">
        <v>27.969999000000001</v>
      </c>
      <c r="G399" s="2">
        <v>611200</v>
      </c>
      <c r="H399" s="2">
        <f t="shared" si="48"/>
        <v>2012</v>
      </c>
      <c r="I399" s="2">
        <f t="shared" si="49"/>
        <v>1</v>
      </c>
      <c r="J399" s="2">
        <f t="shared" si="50"/>
        <v>25</v>
      </c>
      <c r="K399" s="2">
        <f t="shared" si="51"/>
        <v>4</v>
      </c>
      <c r="L399" s="2">
        <f t="shared" si="52"/>
        <v>2</v>
      </c>
      <c r="M399" s="3">
        <f t="shared" si="53"/>
        <v>27.42</v>
      </c>
      <c r="N399" s="1">
        <f t="shared" ca="1" si="54"/>
        <v>27.42</v>
      </c>
      <c r="O399" s="5">
        <f t="shared" si="55"/>
        <v>2.0058315098468338E-2</v>
      </c>
    </row>
    <row r="400" spans="1:15" s="2" customFormat="1" x14ac:dyDescent="0.5">
      <c r="A400" s="6">
        <v>40934</v>
      </c>
      <c r="B400" s="1">
        <v>28.07</v>
      </c>
      <c r="C400" s="1">
        <v>29.58</v>
      </c>
      <c r="D400" s="1">
        <v>28</v>
      </c>
      <c r="E400" s="1">
        <v>28.940000999999999</v>
      </c>
      <c r="F400" s="1">
        <v>28.940000999999999</v>
      </c>
      <c r="G400" s="2">
        <v>1271100</v>
      </c>
      <c r="H400" s="2">
        <f t="shared" si="48"/>
        <v>2012</v>
      </c>
      <c r="I400" s="2">
        <f t="shared" si="49"/>
        <v>1</v>
      </c>
      <c r="J400" s="2">
        <f t="shared" si="50"/>
        <v>26</v>
      </c>
      <c r="K400" s="2">
        <f t="shared" si="51"/>
        <v>5</v>
      </c>
      <c r="L400" s="2">
        <f t="shared" si="52"/>
        <v>2</v>
      </c>
      <c r="M400" s="3">
        <f t="shared" si="53"/>
        <v>27.969999000000001</v>
      </c>
      <c r="N400" s="1">
        <f t="shared" ca="1" si="54"/>
        <v>27.969999000000001</v>
      </c>
      <c r="O400" s="5">
        <f t="shared" si="55"/>
        <v>3.4680087046123909E-2</v>
      </c>
    </row>
    <row r="401" spans="1:15" s="2" customFormat="1" x14ac:dyDescent="0.5">
      <c r="A401" s="6">
        <v>40935</v>
      </c>
      <c r="B401" s="1">
        <v>28.5</v>
      </c>
      <c r="C401" s="1">
        <v>29.719999000000001</v>
      </c>
      <c r="D401" s="1">
        <v>28.5</v>
      </c>
      <c r="E401" s="1">
        <v>29.33</v>
      </c>
      <c r="F401" s="1">
        <v>29.33</v>
      </c>
      <c r="G401" s="2">
        <v>748400</v>
      </c>
      <c r="H401" s="2">
        <f t="shared" si="48"/>
        <v>2012</v>
      </c>
      <c r="I401" s="2">
        <f t="shared" si="49"/>
        <v>1</v>
      </c>
      <c r="J401" s="2">
        <f t="shared" si="50"/>
        <v>27</v>
      </c>
      <c r="K401" s="2">
        <f t="shared" si="51"/>
        <v>6</v>
      </c>
      <c r="L401" s="2">
        <f t="shared" si="52"/>
        <v>2</v>
      </c>
      <c r="M401" s="3">
        <f t="shared" si="53"/>
        <v>28.940000999999999</v>
      </c>
      <c r="N401" s="1">
        <f t="shared" ca="1" si="54"/>
        <v>28.940000999999999</v>
      </c>
      <c r="O401" s="5">
        <f t="shared" si="55"/>
        <v>1.3476122547473324E-2</v>
      </c>
    </row>
    <row r="402" spans="1:15" s="2" customFormat="1" x14ac:dyDescent="0.5">
      <c r="A402" s="6">
        <v>40938</v>
      </c>
      <c r="B402" s="1">
        <v>29.49</v>
      </c>
      <c r="C402" s="1">
        <v>29.610001</v>
      </c>
      <c r="D402" s="1">
        <v>28.530000999999999</v>
      </c>
      <c r="E402" s="1">
        <v>29.57</v>
      </c>
      <c r="F402" s="1">
        <v>29.57</v>
      </c>
      <c r="G402" s="2">
        <v>729000</v>
      </c>
      <c r="H402" s="2">
        <f t="shared" si="48"/>
        <v>2012</v>
      </c>
      <c r="I402" s="2">
        <f t="shared" si="49"/>
        <v>1</v>
      </c>
      <c r="J402" s="2">
        <f t="shared" si="50"/>
        <v>30</v>
      </c>
      <c r="K402" s="2">
        <f t="shared" si="51"/>
        <v>2</v>
      </c>
      <c r="L402" s="2">
        <f t="shared" si="52"/>
        <v>2</v>
      </c>
      <c r="M402" s="3">
        <f t="shared" si="53"/>
        <v>29.33</v>
      </c>
      <c r="N402" s="1">
        <f t="shared" ca="1" si="54"/>
        <v>29.33</v>
      </c>
      <c r="O402" s="5">
        <f t="shared" si="55"/>
        <v>8.1827480395499919E-3</v>
      </c>
    </row>
    <row r="403" spans="1:15" s="2" customFormat="1" x14ac:dyDescent="0.5">
      <c r="A403" s="6">
        <v>40939</v>
      </c>
      <c r="B403" s="1">
        <v>29.9</v>
      </c>
      <c r="C403" s="1">
        <v>30</v>
      </c>
      <c r="D403" s="1">
        <v>28.870000999999998</v>
      </c>
      <c r="E403" s="1">
        <v>29.07</v>
      </c>
      <c r="F403" s="1">
        <v>29.07</v>
      </c>
      <c r="G403" s="2">
        <v>956400</v>
      </c>
      <c r="H403" s="2">
        <f t="shared" si="48"/>
        <v>2012</v>
      </c>
      <c r="I403" s="2">
        <f t="shared" si="49"/>
        <v>1</v>
      </c>
      <c r="J403" s="2">
        <f t="shared" si="50"/>
        <v>31</v>
      </c>
      <c r="K403" s="2">
        <f t="shared" si="51"/>
        <v>3</v>
      </c>
      <c r="L403" s="2">
        <f t="shared" si="52"/>
        <v>2</v>
      </c>
      <c r="M403" s="3">
        <f t="shared" si="53"/>
        <v>29.57</v>
      </c>
      <c r="N403" s="1">
        <f t="shared" ca="1" si="54"/>
        <v>29.57</v>
      </c>
      <c r="O403" s="5">
        <f t="shared" si="55"/>
        <v>-1.6909029421711241E-2</v>
      </c>
    </row>
    <row r="404" spans="1:15" s="2" customFormat="1" x14ac:dyDescent="0.5">
      <c r="A404" s="6">
        <v>40940</v>
      </c>
      <c r="B404" s="1">
        <v>29.07</v>
      </c>
      <c r="C404" s="1">
        <v>29.700001</v>
      </c>
      <c r="D404" s="1">
        <v>29</v>
      </c>
      <c r="E404" s="1">
        <v>29.58</v>
      </c>
      <c r="F404" s="1">
        <v>29.58</v>
      </c>
      <c r="G404" s="2">
        <v>523200</v>
      </c>
      <c r="H404" s="2">
        <f t="shared" si="48"/>
        <v>2012</v>
      </c>
      <c r="I404" s="2">
        <f t="shared" si="49"/>
        <v>2</v>
      </c>
      <c r="J404" s="2">
        <f t="shared" si="50"/>
        <v>1</v>
      </c>
      <c r="K404" s="2">
        <f t="shared" si="51"/>
        <v>4</v>
      </c>
      <c r="L404" s="2">
        <f t="shared" si="52"/>
        <v>3</v>
      </c>
      <c r="M404" s="3">
        <f t="shared" si="53"/>
        <v>29.07</v>
      </c>
      <c r="N404" s="1">
        <f t="shared" ca="1" si="54"/>
        <v>29.07</v>
      </c>
      <c r="O404" s="5">
        <f t="shared" si="55"/>
        <v>1.754385964912264E-2</v>
      </c>
    </row>
    <row r="405" spans="1:15" s="2" customFormat="1" x14ac:dyDescent="0.5">
      <c r="A405" s="6">
        <v>40941</v>
      </c>
      <c r="B405" s="1">
        <v>29.719999000000001</v>
      </c>
      <c r="C405" s="1">
        <v>30.879999000000002</v>
      </c>
      <c r="D405" s="1">
        <v>29.610001</v>
      </c>
      <c r="E405" s="1">
        <v>30.25</v>
      </c>
      <c r="F405" s="1">
        <v>30.25</v>
      </c>
      <c r="G405" s="2">
        <v>805700</v>
      </c>
      <c r="H405" s="2">
        <f t="shared" si="48"/>
        <v>2012</v>
      </c>
      <c r="I405" s="2">
        <f t="shared" si="49"/>
        <v>2</v>
      </c>
      <c r="J405" s="2">
        <f t="shared" si="50"/>
        <v>2</v>
      </c>
      <c r="K405" s="2">
        <f t="shared" si="51"/>
        <v>5</v>
      </c>
      <c r="L405" s="2">
        <f t="shared" si="52"/>
        <v>3</v>
      </c>
      <c r="M405" s="3">
        <f t="shared" si="53"/>
        <v>29.58</v>
      </c>
      <c r="N405" s="1">
        <f t="shared" ca="1" si="54"/>
        <v>29.58</v>
      </c>
      <c r="O405" s="5">
        <f t="shared" si="55"/>
        <v>2.2650439486139318E-2</v>
      </c>
    </row>
    <row r="406" spans="1:15" s="2" customFormat="1" x14ac:dyDescent="0.5">
      <c r="A406" s="6">
        <v>40942</v>
      </c>
      <c r="B406" s="1">
        <v>30.41</v>
      </c>
      <c r="C406" s="1">
        <v>31.33</v>
      </c>
      <c r="D406" s="1">
        <v>30.25</v>
      </c>
      <c r="E406" s="1">
        <v>31.15</v>
      </c>
      <c r="F406" s="1">
        <v>31.15</v>
      </c>
      <c r="G406" s="2">
        <v>764500</v>
      </c>
      <c r="H406" s="2">
        <f t="shared" si="48"/>
        <v>2012</v>
      </c>
      <c r="I406" s="2">
        <f t="shared" si="49"/>
        <v>2</v>
      </c>
      <c r="J406" s="2">
        <f t="shared" si="50"/>
        <v>3</v>
      </c>
      <c r="K406" s="2">
        <f t="shared" si="51"/>
        <v>6</v>
      </c>
      <c r="L406" s="2">
        <f t="shared" si="52"/>
        <v>3</v>
      </c>
      <c r="M406" s="3">
        <f t="shared" si="53"/>
        <v>30.25</v>
      </c>
      <c r="N406" s="1">
        <f t="shared" ca="1" si="54"/>
        <v>30.25</v>
      </c>
      <c r="O406" s="5">
        <f t="shared" si="55"/>
        <v>2.9752066115702469E-2</v>
      </c>
    </row>
    <row r="407" spans="1:15" s="2" customFormat="1" x14ac:dyDescent="0.5">
      <c r="A407" s="6">
        <v>40945</v>
      </c>
      <c r="B407" s="1">
        <v>31.1</v>
      </c>
      <c r="C407" s="1">
        <v>31.9</v>
      </c>
      <c r="D407" s="1">
        <v>31.049999</v>
      </c>
      <c r="E407" s="1">
        <v>31.799999</v>
      </c>
      <c r="F407" s="1">
        <v>31.799999</v>
      </c>
      <c r="G407" s="2">
        <v>652100</v>
      </c>
      <c r="H407" s="2">
        <f t="shared" si="48"/>
        <v>2012</v>
      </c>
      <c r="I407" s="2">
        <f t="shared" si="49"/>
        <v>2</v>
      </c>
      <c r="J407" s="2">
        <f t="shared" si="50"/>
        <v>6</v>
      </c>
      <c r="K407" s="2">
        <f t="shared" si="51"/>
        <v>2</v>
      </c>
      <c r="L407" s="2">
        <f t="shared" si="52"/>
        <v>3</v>
      </c>
      <c r="M407" s="3">
        <f t="shared" si="53"/>
        <v>31.15</v>
      </c>
      <c r="N407" s="1">
        <f t="shared" ca="1" si="54"/>
        <v>31.15</v>
      </c>
      <c r="O407" s="5">
        <f t="shared" si="55"/>
        <v>2.0866741573033698E-2</v>
      </c>
    </row>
    <row r="408" spans="1:15" s="2" customFormat="1" x14ac:dyDescent="0.5">
      <c r="A408" s="6">
        <v>40946</v>
      </c>
      <c r="B408" s="1">
        <v>31.799999</v>
      </c>
      <c r="C408" s="1">
        <v>31.799999</v>
      </c>
      <c r="D408" s="1">
        <v>30.82</v>
      </c>
      <c r="E408" s="1">
        <v>31.6</v>
      </c>
      <c r="F408" s="1">
        <v>31.6</v>
      </c>
      <c r="G408" s="2">
        <v>1021600</v>
      </c>
      <c r="H408" s="2">
        <f t="shared" si="48"/>
        <v>2012</v>
      </c>
      <c r="I408" s="2">
        <f t="shared" si="49"/>
        <v>2</v>
      </c>
      <c r="J408" s="2">
        <f t="shared" si="50"/>
        <v>7</v>
      </c>
      <c r="K408" s="2">
        <f t="shared" si="51"/>
        <v>3</v>
      </c>
      <c r="L408" s="2">
        <f t="shared" si="52"/>
        <v>3</v>
      </c>
      <c r="M408" s="3">
        <f t="shared" si="53"/>
        <v>31.799999</v>
      </c>
      <c r="N408" s="1">
        <f t="shared" ca="1" si="54"/>
        <v>31.799999</v>
      </c>
      <c r="O408" s="5">
        <f t="shared" si="55"/>
        <v>-6.2892769273357185E-3</v>
      </c>
    </row>
    <row r="409" spans="1:15" s="2" customFormat="1" x14ac:dyDescent="0.5">
      <c r="A409" s="6">
        <v>40947</v>
      </c>
      <c r="B409" s="1">
        <v>31.6</v>
      </c>
      <c r="C409" s="1">
        <v>32.009998000000003</v>
      </c>
      <c r="D409" s="1">
        <v>31.290001</v>
      </c>
      <c r="E409" s="1">
        <v>31.93</v>
      </c>
      <c r="F409" s="1">
        <v>31.93</v>
      </c>
      <c r="G409" s="2">
        <v>623700</v>
      </c>
      <c r="H409" s="2">
        <f t="shared" si="48"/>
        <v>2012</v>
      </c>
      <c r="I409" s="2">
        <f t="shared" si="49"/>
        <v>2</v>
      </c>
      <c r="J409" s="2">
        <f t="shared" si="50"/>
        <v>8</v>
      </c>
      <c r="K409" s="2">
        <f t="shared" si="51"/>
        <v>4</v>
      </c>
      <c r="L409" s="2">
        <f t="shared" si="52"/>
        <v>3</v>
      </c>
      <c r="M409" s="3">
        <f t="shared" si="53"/>
        <v>31.6</v>
      </c>
      <c r="N409" s="1">
        <f t="shared" ca="1" si="54"/>
        <v>31.6</v>
      </c>
      <c r="O409" s="5">
        <f t="shared" si="55"/>
        <v>1.04430379746836E-2</v>
      </c>
    </row>
    <row r="410" spans="1:15" s="2" customFormat="1" x14ac:dyDescent="0.5">
      <c r="A410" s="6">
        <v>40948</v>
      </c>
      <c r="B410" s="1">
        <v>32</v>
      </c>
      <c r="C410" s="1">
        <v>32.900002000000001</v>
      </c>
      <c r="D410" s="1">
        <v>31.43</v>
      </c>
      <c r="E410" s="1">
        <v>32.580002</v>
      </c>
      <c r="F410" s="1">
        <v>32.580002</v>
      </c>
      <c r="G410" s="2">
        <v>1277100</v>
      </c>
      <c r="H410" s="2">
        <f t="shared" si="48"/>
        <v>2012</v>
      </c>
      <c r="I410" s="2">
        <f t="shared" si="49"/>
        <v>2</v>
      </c>
      <c r="J410" s="2">
        <f t="shared" si="50"/>
        <v>9</v>
      </c>
      <c r="K410" s="2">
        <f t="shared" si="51"/>
        <v>5</v>
      </c>
      <c r="L410" s="2">
        <f t="shared" si="52"/>
        <v>3</v>
      </c>
      <c r="M410" s="3">
        <f t="shared" si="53"/>
        <v>31.93</v>
      </c>
      <c r="N410" s="1">
        <f t="shared" ca="1" si="54"/>
        <v>31.93</v>
      </c>
      <c r="O410" s="5">
        <f t="shared" si="55"/>
        <v>2.0357093642342727E-2</v>
      </c>
    </row>
    <row r="411" spans="1:15" s="2" customFormat="1" x14ac:dyDescent="0.5">
      <c r="A411" s="6">
        <v>40949</v>
      </c>
      <c r="B411" s="1">
        <v>32.259998000000003</v>
      </c>
      <c r="C411" s="1">
        <v>32.270000000000003</v>
      </c>
      <c r="D411" s="1">
        <v>29.84</v>
      </c>
      <c r="E411" s="1">
        <v>31.1</v>
      </c>
      <c r="F411" s="1">
        <v>31.1</v>
      </c>
      <c r="G411" s="2">
        <v>1874200</v>
      </c>
      <c r="H411" s="2">
        <f t="shared" si="48"/>
        <v>2012</v>
      </c>
      <c r="I411" s="2">
        <f t="shared" si="49"/>
        <v>2</v>
      </c>
      <c r="J411" s="2">
        <f t="shared" si="50"/>
        <v>10</v>
      </c>
      <c r="K411" s="2">
        <f t="shared" si="51"/>
        <v>6</v>
      </c>
      <c r="L411" s="2">
        <f t="shared" si="52"/>
        <v>3</v>
      </c>
      <c r="M411" s="3">
        <f t="shared" si="53"/>
        <v>32.580002</v>
      </c>
      <c r="N411" s="1">
        <f t="shared" ca="1" si="54"/>
        <v>32.580002</v>
      </c>
      <c r="O411" s="5">
        <f t="shared" si="55"/>
        <v>-4.5426700710454182E-2</v>
      </c>
    </row>
    <row r="412" spans="1:15" s="2" customFormat="1" x14ac:dyDescent="0.5">
      <c r="A412" s="6">
        <v>40952</v>
      </c>
      <c r="B412" s="1">
        <v>31.549999</v>
      </c>
      <c r="C412" s="1">
        <v>32.060001</v>
      </c>
      <c r="D412" s="1">
        <v>30.9</v>
      </c>
      <c r="E412" s="1">
        <v>31.49</v>
      </c>
      <c r="F412" s="1">
        <v>31.49</v>
      </c>
      <c r="G412" s="2">
        <v>1157900</v>
      </c>
      <c r="H412" s="2">
        <f t="shared" si="48"/>
        <v>2012</v>
      </c>
      <c r="I412" s="2">
        <f t="shared" si="49"/>
        <v>2</v>
      </c>
      <c r="J412" s="2">
        <f t="shared" si="50"/>
        <v>13</v>
      </c>
      <c r="K412" s="2">
        <f t="shared" si="51"/>
        <v>2</v>
      </c>
      <c r="L412" s="2">
        <f t="shared" si="52"/>
        <v>3</v>
      </c>
      <c r="M412" s="3">
        <f t="shared" si="53"/>
        <v>31.1</v>
      </c>
      <c r="N412" s="1">
        <f t="shared" ca="1" si="54"/>
        <v>31.1</v>
      </c>
      <c r="O412" s="5">
        <f t="shared" si="55"/>
        <v>1.2540192926044913E-2</v>
      </c>
    </row>
    <row r="413" spans="1:15" s="2" customFormat="1" x14ac:dyDescent="0.5">
      <c r="A413" s="6">
        <v>40953</v>
      </c>
      <c r="B413" s="1">
        <v>31.74</v>
      </c>
      <c r="C413" s="1">
        <v>33.790000999999997</v>
      </c>
      <c r="D413" s="1">
        <v>31.4</v>
      </c>
      <c r="E413" s="1">
        <v>33.169998</v>
      </c>
      <c r="F413" s="1">
        <v>33.169998</v>
      </c>
      <c r="G413" s="2">
        <v>1810800</v>
      </c>
      <c r="H413" s="2">
        <f t="shared" si="48"/>
        <v>2012</v>
      </c>
      <c r="I413" s="2">
        <f t="shared" si="49"/>
        <v>2</v>
      </c>
      <c r="J413" s="2">
        <f t="shared" si="50"/>
        <v>14</v>
      </c>
      <c r="K413" s="2">
        <f t="shared" si="51"/>
        <v>3</v>
      </c>
      <c r="L413" s="2">
        <f t="shared" si="52"/>
        <v>3</v>
      </c>
      <c r="M413" s="3">
        <f t="shared" si="53"/>
        <v>31.49</v>
      </c>
      <c r="N413" s="1">
        <f t="shared" ca="1" si="54"/>
        <v>31.49</v>
      </c>
      <c r="O413" s="5">
        <f t="shared" si="55"/>
        <v>5.3350206414734869E-2</v>
      </c>
    </row>
    <row r="414" spans="1:15" s="2" customFormat="1" x14ac:dyDescent="0.5">
      <c r="A414" s="6">
        <v>40954</v>
      </c>
      <c r="B414" s="1">
        <v>33.099997999999999</v>
      </c>
      <c r="C414" s="1">
        <v>34.409999999999997</v>
      </c>
      <c r="D414" s="1">
        <v>32.270000000000003</v>
      </c>
      <c r="E414" s="1">
        <v>33.599997999999999</v>
      </c>
      <c r="F414" s="1">
        <v>33.599997999999999</v>
      </c>
      <c r="G414" s="2">
        <v>2761800</v>
      </c>
      <c r="H414" s="2">
        <f t="shared" si="48"/>
        <v>2012</v>
      </c>
      <c r="I414" s="2">
        <f t="shared" si="49"/>
        <v>2</v>
      </c>
      <c r="J414" s="2">
        <f t="shared" si="50"/>
        <v>15</v>
      </c>
      <c r="K414" s="2">
        <f t="shared" si="51"/>
        <v>4</v>
      </c>
      <c r="L414" s="2">
        <f t="shared" si="52"/>
        <v>3</v>
      </c>
      <c r="M414" s="3">
        <f t="shared" si="53"/>
        <v>33.169998</v>
      </c>
      <c r="N414" s="1">
        <f t="shared" ca="1" si="54"/>
        <v>33.169998</v>
      </c>
      <c r="O414" s="5">
        <f t="shared" si="55"/>
        <v>1.2963522035786657E-2</v>
      </c>
    </row>
    <row r="415" spans="1:15" s="2" customFormat="1" x14ac:dyDescent="0.5">
      <c r="A415" s="6">
        <v>40955</v>
      </c>
      <c r="B415" s="1">
        <v>33.5</v>
      </c>
      <c r="C415" s="1">
        <v>34.509998000000003</v>
      </c>
      <c r="D415" s="1">
        <v>32.540000999999997</v>
      </c>
      <c r="E415" s="1">
        <v>34.18</v>
      </c>
      <c r="F415" s="1">
        <v>34.18</v>
      </c>
      <c r="G415" s="2">
        <v>2219700</v>
      </c>
      <c r="H415" s="2">
        <f t="shared" si="48"/>
        <v>2012</v>
      </c>
      <c r="I415" s="2">
        <f t="shared" si="49"/>
        <v>2</v>
      </c>
      <c r="J415" s="2">
        <f t="shared" si="50"/>
        <v>16</v>
      </c>
      <c r="K415" s="2">
        <f t="shared" si="51"/>
        <v>5</v>
      </c>
      <c r="L415" s="2">
        <f t="shared" si="52"/>
        <v>3</v>
      </c>
      <c r="M415" s="3">
        <f t="shared" si="53"/>
        <v>33.599997999999999</v>
      </c>
      <c r="N415" s="1">
        <f t="shared" ca="1" si="54"/>
        <v>33.599997999999999</v>
      </c>
      <c r="O415" s="5">
        <f t="shared" si="55"/>
        <v>1.7261965313212224E-2</v>
      </c>
    </row>
    <row r="416" spans="1:15" s="2" customFormat="1" x14ac:dyDescent="0.5">
      <c r="A416" s="6">
        <v>40956</v>
      </c>
      <c r="B416" s="1">
        <v>33.990001999999997</v>
      </c>
      <c r="C416" s="1">
        <v>34.970001000000003</v>
      </c>
      <c r="D416" s="1">
        <v>33.5</v>
      </c>
      <c r="E416" s="1">
        <v>34.970001000000003</v>
      </c>
      <c r="F416" s="1">
        <v>34.970001000000003</v>
      </c>
      <c r="G416" s="2">
        <v>1376700</v>
      </c>
      <c r="H416" s="2">
        <f t="shared" si="48"/>
        <v>2012</v>
      </c>
      <c r="I416" s="2">
        <f t="shared" si="49"/>
        <v>2</v>
      </c>
      <c r="J416" s="2">
        <f t="shared" si="50"/>
        <v>17</v>
      </c>
      <c r="K416" s="2">
        <f t="shared" si="51"/>
        <v>6</v>
      </c>
      <c r="L416" s="2">
        <f t="shared" si="52"/>
        <v>3</v>
      </c>
      <c r="M416" s="3">
        <f t="shared" si="53"/>
        <v>34.18</v>
      </c>
      <c r="N416" s="1">
        <f t="shared" ca="1" si="54"/>
        <v>34.18</v>
      </c>
      <c r="O416" s="5">
        <f t="shared" si="55"/>
        <v>2.3112960795787174E-2</v>
      </c>
    </row>
    <row r="417" spans="1:15" s="2" customFormat="1" x14ac:dyDescent="0.5">
      <c r="A417" s="6">
        <v>40960</v>
      </c>
      <c r="B417" s="1">
        <v>34.869999</v>
      </c>
      <c r="C417" s="1">
        <v>34.869999</v>
      </c>
      <c r="D417" s="1">
        <v>33.810001</v>
      </c>
      <c r="E417" s="1">
        <v>34.5</v>
      </c>
      <c r="F417" s="1">
        <v>34.5</v>
      </c>
      <c r="G417" s="2">
        <v>1135800</v>
      </c>
      <c r="H417" s="2">
        <f t="shared" si="48"/>
        <v>2012</v>
      </c>
      <c r="I417" s="2">
        <f t="shared" si="49"/>
        <v>2</v>
      </c>
      <c r="J417" s="2">
        <f t="shared" si="50"/>
        <v>21</v>
      </c>
      <c r="K417" s="2">
        <f t="shared" si="51"/>
        <v>3</v>
      </c>
      <c r="L417" s="2">
        <f t="shared" si="52"/>
        <v>3</v>
      </c>
      <c r="M417" s="3">
        <f t="shared" si="53"/>
        <v>34.970001000000003</v>
      </c>
      <c r="N417" s="1">
        <f t="shared" ca="1" si="54"/>
        <v>34.970001000000003</v>
      </c>
      <c r="O417" s="5">
        <f t="shared" si="55"/>
        <v>-1.3440119718612586E-2</v>
      </c>
    </row>
    <row r="418" spans="1:15" s="2" customFormat="1" x14ac:dyDescent="0.5">
      <c r="A418" s="6">
        <v>40961</v>
      </c>
      <c r="B418" s="1">
        <v>34.5</v>
      </c>
      <c r="C418" s="1">
        <v>34.720001000000003</v>
      </c>
      <c r="D418" s="1">
        <v>32.5</v>
      </c>
      <c r="E418" s="1">
        <v>34.220001000000003</v>
      </c>
      <c r="F418" s="1">
        <v>34.220001000000003</v>
      </c>
      <c r="G418" s="2">
        <v>1654600</v>
      </c>
      <c r="H418" s="2">
        <f t="shared" si="48"/>
        <v>2012</v>
      </c>
      <c r="I418" s="2">
        <f t="shared" si="49"/>
        <v>2</v>
      </c>
      <c r="J418" s="2">
        <f t="shared" si="50"/>
        <v>22</v>
      </c>
      <c r="K418" s="2">
        <f t="shared" si="51"/>
        <v>4</v>
      </c>
      <c r="L418" s="2">
        <f t="shared" si="52"/>
        <v>3</v>
      </c>
      <c r="M418" s="3">
        <f t="shared" si="53"/>
        <v>34.5</v>
      </c>
      <c r="N418" s="1">
        <f t="shared" ca="1" si="54"/>
        <v>34.5</v>
      </c>
      <c r="O418" s="5">
        <f t="shared" si="55"/>
        <v>-8.1159130434781401E-3</v>
      </c>
    </row>
    <row r="419" spans="1:15" s="2" customFormat="1" x14ac:dyDescent="0.5">
      <c r="A419" s="6">
        <v>40962</v>
      </c>
      <c r="B419" s="1">
        <v>33.990001999999997</v>
      </c>
      <c r="C419" s="1">
        <v>34.970001000000003</v>
      </c>
      <c r="D419" s="1">
        <v>33.560001</v>
      </c>
      <c r="E419" s="1">
        <v>34.529998999999997</v>
      </c>
      <c r="F419" s="1">
        <v>34.529998999999997</v>
      </c>
      <c r="G419" s="2">
        <v>820400</v>
      </c>
      <c r="H419" s="2">
        <f t="shared" si="48"/>
        <v>2012</v>
      </c>
      <c r="I419" s="2">
        <f t="shared" si="49"/>
        <v>2</v>
      </c>
      <c r="J419" s="2">
        <f t="shared" si="50"/>
        <v>23</v>
      </c>
      <c r="K419" s="2">
        <f t="shared" si="51"/>
        <v>5</v>
      </c>
      <c r="L419" s="2">
        <f t="shared" si="52"/>
        <v>3</v>
      </c>
      <c r="M419" s="3">
        <f t="shared" si="53"/>
        <v>34.220001000000003</v>
      </c>
      <c r="N419" s="1">
        <f t="shared" ca="1" si="54"/>
        <v>34.220001000000003</v>
      </c>
      <c r="O419" s="5">
        <f t="shared" si="55"/>
        <v>9.0589710970492288E-3</v>
      </c>
    </row>
    <row r="420" spans="1:15" s="2" customFormat="1" x14ac:dyDescent="0.5">
      <c r="A420" s="6">
        <v>40963</v>
      </c>
      <c r="B420" s="1">
        <v>34.229999999999997</v>
      </c>
      <c r="C420" s="1">
        <v>34.520000000000003</v>
      </c>
      <c r="D420" s="1">
        <v>33.270000000000003</v>
      </c>
      <c r="E420" s="1">
        <v>33.75</v>
      </c>
      <c r="F420" s="1">
        <v>33.75</v>
      </c>
      <c r="G420" s="2">
        <v>959900</v>
      </c>
      <c r="H420" s="2">
        <f t="shared" si="48"/>
        <v>2012</v>
      </c>
      <c r="I420" s="2">
        <f t="shared" si="49"/>
        <v>2</v>
      </c>
      <c r="J420" s="2">
        <f t="shared" si="50"/>
        <v>24</v>
      </c>
      <c r="K420" s="2">
        <f t="shared" si="51"/>
        <v>6</v>
      </c>
      <c r="L420" s="2">
        <f t="shared" si="52"/>
        <v>3</v>
      </c>
      <c r="M420" s="3">
        <f t="shared" si="53"/>
        <v>34.529998999999997</v>
      </c>
      <c r="N420" s="1">
        <f t="shared" ca="1" si="54"/>
        <v>34.529998999999997</v>
      </c>
      <c r="O420" s="5">
        <f t="shared" si="55"/>
        <v>-2.2589024691254567E-2</v>
      </c>
    </row>
    <row r="421" spans="1:15" s="2" customFormat="1" x14ac:dyDescent="0.5">
      <c r="A421" s="6">
        <v>40966</v>
      </c>
      <c r="B421" s="1">
        <v>33.409999999999997</v>
      </c>
      <c r="C421" s="1">
        <v>34</v>
      </c>
      <c r="D421" s="1">
        <v>33</v>
      </c>
      <c r="E421" s="1">
        <v>33.619999</v>
      </c>
      <c r="F421" s="1">
        <v>33.619999</v>
      </c>
      <c r="G421" s="2">
        <v>606000</v>
      </c>
      <c r="H421" s="2">
        <f t="shared" si="48"/>
        <v>2012</v>
      </c>
      <c r="I421" s="2">
        <f t="shared" si="49"/>
        <v>2</v>
      </c>
      <c r="J421" s="2">
        <f t="shared" si="50"/>
        <v>27</v>
      </c>
      <c r="K421" s="2">
        <f t="shared" si="51"/>
        <v>2</v>
      </c>
      <c r="L421" s="2">
        <f t="shared" si="52"/>
        <v>3</v>
      </c>
      <c r="M421" s="3">
        <f t="shared" si="53"/>
        <v>33.75</v>
      </c>
      <c r="N421" s="1">
        <f t="shared" ca="1" si="54"/>
        <v>33.75</v>
      </c>
      <c r="O421" s="5">
        <f t="shared" si="55"/>
        <v>-3.8518814814815228E-3</v>
      </c>
    </row>
    <row r="422" spans="1:15" s="2" customFormat="1" x14ac:dyDescent="0.5">
      <c r="A422" s="6">
        <v>40967</v>
      </c>
      <c r="B422" s="1">
        <v>33.639999000000003</v>
      </c>
      <c r="C422" s="1">
        <v>34.439999</v>
      </c>
      <c r="D422" s="1">
        <v>33.169998</v>
      </c>
      <c r="E422" s="1">
        <v>33.810001</v>
      </c>
      <c r="F422" s="1">
        <v>33.810001</v>
      </c>
      <c r="G422" s="2">
        <v>612200</v>
      </c>
      <c r="H422" s="2">
        <f t="shared" si="48"/>
        <v>2012</v>
      </c>
      <c r="I422" s="2">
        <f t="shared" si="49"/>
        <v>2</v>
      </c>
      <c r="J422" s="2">
        <f t="shared" si="50"/>
        <v>28</v>
      </c>
      <c r="K422" s="2">
        <f t="shared" si="51"/>
        <v>3</v>
      </c>
      <c r="L422" s="2">
        <f t="shared" si="52"/>
        <v>3</v>
      </c>
      <c r="M422" s="3">
        <f t="shared" si="53"/>
        <v>33.619999</v>
      </c>
      <c r="N422" s="1">
        <f t="shared" ca="1" si="54"/>
        <v>33.619999</v>
      </c>
      <c r="O422" s="5">
        <f t="shared" si="55"/>
        <v>5.6514576338921874E-3</v>
      </c>
    </row>
    <row r="423" spans="1:15" s="2" customFormat="1" x14ac:dyDescent="0.5">
      <c r="A423" s="6">
        <v>40968</v>
      </c>
      <c r="B423" s="1">
        <v>33.810001</v>
      </c>
      <c r="C423" s="1">
        <v>34.119999</v>
      </c>
      <c r="D423" s="1">
        <v>33.139999000000003</v>
      </c>
      <c r="E423" s="1">
        <v>33.409999999999997</v>
      </c>
      <c r="F423" s="1">
        <v>33.409999999999997</v>
      </c>
      <c r="G423" s="2">
        <v>535700</v>
      </c>
      <c r="H423" s="2">
        <f t="shared" si="48"/>
        <v>2012</v>
      </c>
      <c r="I423" s="2">
        <f t="shared" si="49"/>
        <v>2</v>
      </c>
      <c r="J423" s="2">
        <f t="shared" si="50"/>
        <v>29</v>
      </c>
      <c r="K423" s="2">
        <f t="shared" si="51"/>
        <v>4</v>
      </c>
      <c r="L423" s="2">
        <f t="shared" si="52"/>
        <v>3</v>
      </c>
      <c r="M423" s="3">
        <f t="shared" si="53"/>
        <v>33.810001</v>
      </c>
      <c r="N423" s="1">
        <f t="shared" ca="1" si="54"/>
        <v>33.810001</v>
      </c>
      <c r="O423" s="5">
        <f t="shared" si="55"/>
        <v>-1.183084851136218E-2</v>
      </c>
    </row>
    <row r="424" spans="1:15" s="2" customFormat="1" x14ac:dyDescent="0.5">
      <c r="A424" s="6">
        <v>40969</v>
      </c>
      <c r="B424" s="1">
        <v>33.509998000000003</v>
      </c>
      <c r="C424" s="1">
        <v>34.5</v>
      </c>
      <c r="D424" s="1">
        <v>33.310001</v>
      </c>
      <c r="E424" s="1">
        <v>34.409999999999997</v>
      </c>
      <c r="F424" s="1">
        <v>34.409999999999997</v>
      </c>
      <c r="G424" s="2">
        <v>703500</v>
      </c>
      <c r="H424" s="2">
        <f t="shared" si="48"/>
        <v>2012</v>
      </c>
      <c r="I424" s="2">
        <f t="shared" si="49"/>
        <v>3</v>
      </c>
      <c r="J424" s="2">
        <f t="shared" si="50"/>
        <v>1</v>
      </c>
      <c r="K424" s="2">
        <f t="shared" si="51"/>
        <v>5</v>
      </c>
      <c r="L424" s="2">
        <f t="shared" si="52"/>
        <v>4</v>
      </c>
      <c r="M424" s="3">
        <f t="shared" si="53"/>
        <v>33.409999999999997</v>
      </c>
      <c r="N424" s="1">
        <f t="shared" ca="1" si="54"/>
        <v>33.409999999999997</v>
      </c>
      <c r="O424" s="5">
        <f t="shared" si="55"/>
        <v>2.993115833582749E-2</v>
      </c>
    </row>
    <row r="425" spans="1:15" s="2" customFormat="1" x14ac:dyDescent="0.5">
      <c r="A425" s="6">
        <v>40970</v>
      </c>
      <c r="B425" s="1">
        <v>34.400002000000001</v>
      </c>
      <c r="C425" s="1">
        <v>34.5</v>
      </c>
      <c r="D425" s="1">
        <v>33.709999000000003</v>
      </c>
      <c r="E425" s="1">
        <v>34.040000999999997</v>
      </c>
      <c r="F425" s="1">
        <v>34.040000999999997</v>
      </c>
      <c r="G425" s="2">
        <v>550000</v>
      </c>
      <c r="H425" s="2">
        <f t="shared" si="48"/>
        <v>2012</v>
      </c>
      <c r="I425" s="2">
        <f t="shared" si="49"/>
        <v>3</v>
      </c>
      <c r="J425" s="2">
        <f t="shared" si="50"/>
        <v>2</v>
      </c>
      <c r="K425" s="2">
        <f t="shared" si="51"/>
        <v>6</v>
      </c>
      <c r="L425" s="2">
        <f t="shared" si="52"/>
        <v>4</v>
      </c>
      <c r="M425" s="3">
        <f t="shared" si="53"/>
        <v>34.409999999999997</v>
      </c>
      <c r="N425" s="1">
        <f t="shared" ca="1" si="54"/>
        <v>34.409999999999997</v>
      </c>
      <c r="O425" s="5">
        <f t="shared" si="55"/>
        <v>-1.075265911072365E-2</v>
      </c>
    </row>
    <row r="426" spans="1:15" s="2" customFormat="1" x14ac:dyDescent="0.5">
      <c r="A426" s="6">
        <v>40973</v>
      </c>
      <c r="B426" s="1">
        <v>34.349997999999999</v>
      </c>
      <c r="C426" s="1">
        <v>34.400002000000001</v>
      </c>
      <c r="D426" s="1">
        <v>33.459999000000003</v>
      </c>
      <c r="E426" s="1">
        <v>33.770000000000003</v>
      </c>
      <c r="F426" s="1">
        <v>33.770000000000003</v>
      </c>
      <c r="G426" s="2">
        <v>467000</v>
      </c>
      <c r="H426" s="2">
        <f t="shared" si="48"/>
        <v>2012</v>
      </c>
      <c r="I426" s="2">
        <f t="shared" si="49"/>
        <v>3</v>
      </c>
      <c r="J426" s="2">
        <f t="shared" si="50"/>
        <v>5</v>
      </c>
      <c r="K426" s="2">
        <f t="shared" si="51"/>
        <v>2</v>
      </c>
      <c r="L426" s="2">
        <f t="shared" si="52"/>
        <v>4</v>
      </c>
      <c r="M426" s="3">
        <f t="shared" si="53"/>
        <v>34.040000999999997</v>
      </c>
      <c r="N426" s="1">
        <f t="shared" ca="1" si="54"/>
        <v>34.040000999999997</v>
      </c>
      <c r="O426" s="5">
        <f t="shared" si="55"/>
        <v>-7.9318740325534653E-3</v>
      </c>
    </row>
    <row r="427" spans="1:15" s="2" customFormat="1" x14ac:dyDescent="0.5">
      <c r="A427" s="6">
        <v>40974</v>
      </c>
      <c r="B427" s="1">
        <v>33.25</v>
      </c>
      <c r="C427" s="1">
        <v>33.279998999999997</v>
      </c>
      <c r="D427" s="1">
        <v>32.619999</v>
      </c>
      <c r="E427" s="1">
        <v>33.110000999999997</v>
      </c>
      <c r="F427" s="1">
        <v>33.110000999999997</v>
      </c>
      <c r="G427" s="2">
        <v>573800</v>
      </c>
      <c r="H427" s="2">
        <f t="shared" si="48"/>
        <v>2012</v>
      </c>
      <c r="I427" s="2">
        <f t="shared" si="49"/>
        <v>3</v>
      </c>
      <c r="J427" s="2">
        <f t="shared" si="50"/>
        <v>6</v>
      </c>
      <c r="K427" s="2">
        <f t="shared" si="51"/>
        <v>3</v>
      </c>
      <c r="L427" s="2">
        <f t="shared" si="52"/>
        <v>4</v>
      </c>
      <c r="M427" s="3">
        <f t="shared" si="53"/>
        <v>33.770000000000003</v>
      </c>
      <c r="N427" s="1">
        <f t="shared" ca="1" si="54"/>
        <v>33.770000000000003</v>
      </c>
      <c r="O427" s="5">
        <f t="shared" si="55"/>
        <v>-1.9543944329286522E-2</v>
      </c>
    </row>
    <row r="428" spans="1:15" s="2" customFormat="1" x14ac:dyDescent="0.5">
      <c r="A428" s="6">
        <v>40975</v>
      </c>
      <c r="B428" s="1">
        <v>33.119999</v>
      </c>
      <c r="C428" s="1">
        <v>33.310001</v>
      </c>
      <c r="D428" s="1">
        <v>32.909999999999997</v>
      </c>
      <c r="E428" s="1">
        <v>33.119999</v>
      </c>
      <c r="F428" s="1">
        <v>33.119999</v>
      </c>
      <c r="G428" s="2">
        <v>364900</v>
      </c>
      <c r="H428" s="2">
        <f t="shared" si="48"/>
        <v>2012</v>
      </c>
      <c r="I428" s="2">
        <f t="shared" si="49"/>
        <v>3</v>
      </c>
      <c r="J428" s="2">
        <f t="shared" si="50"/>
        <v>7</v>
      </c>
      <c r="K428" s="2">
        <f t="shared" si="51"/>
        <v>4</v>
      </c>
      <c r="L428" s="2">
        <f t="shared" si="52"/>
        <v>4</v>
      </c>
      <c r="M428" s="3">
        <f t="shared" si="53"/>
        <v>33.110000999999997</v>
      </c>
      <c r="N428" s="1">
        <f t="shared" ca="1" si="54"/>
        <v>33.110000999999997</v>
      </c>
      <c r="O428" s="5">
        <f t="shared" si="55"/>
        <v>3.0196314400599E-4</v>
      </c>
    </row>
    <row r="429" spans="1:15" s="2" customFormat="1" x14ac:dyDescent="0.5">
      <c r="A429" s="6">
        <v>40976</v>
      </c>
      <c r="B429" s="1">
        <v>33.110000999999997</v>
      </c>
      <c r="C429" s="1">
        <v>33.490001999999997</v>
      </c>
      <c r="D429" s="1">
        <v>33.040000999999997</v>
      </c>
      <c r="E429" s="1">
        <v>33.07</v>
      </c>
      <c r="F429" s="1">
        <v>33.07</v>
      </c>
      <c r="G429" s="2">
        <v>633300</v>
      </c>
      <c r="H429" s="2">
        <f t="shared" si="48"/>
        <v>2012</v>
      </c>
      <c r="I429" s="2">
        <f t="shared" si="49"/>
        <v>3</v>
      </c>
      <c r="J429" s="2">
        <f t="shared" si="50"/>
        <v>8</v>
      </c>
      <c r="K429" s="2">
        <f t="shared" si="51"/>
        <v>5</v>
      </c>
      <c r="L429" s="2">
        <f t="shared" si="52"/>
        <v>4</v>
      </c>
      <c r="M429" s="3">
        <f t="shared" si="53"/>
        <v>33.119999</v>
      </c>
      <c r="N429" s="1">
        <f t="shared" ca="1" si="54"/>
        <v>33.119999</v>
      </c>
      <c r="O429" s="5">
        <f t="shared" si="55"/>
        <v>-1.5096316880927052E-3</v>
      </c>
    </row>
    <row r="430" spans="1:15" s="2" customFormat="1" x14ac:dyDescent="0.5">
      <c r="A430" s="6">
        <v>40977</v>
      </c>
      <c r="B430" s="1">
        <v>33.200001</v>
      </c>
      <c r="C430" s="1">
        <v>35.310001</v>
      </c>
      <c r="D430" s="1">
        <v>33.200001</v>
      </c>
      <c r="E430" s="1">
        <v>34.740001999999997</v>
      </c>
      <c r="F430" s="1">
        <v>34.740001999999997</v>
      </c>
      <c r="G430" s="2">
        <v>1553400</v>
      </c>
      <c r="H430" s="2">
        <f t="shared" si="48"/>
        <v>2012</v>
      </c>
      <c r="I430" s="2">
        <f t="shared" si="49"/>
        <v>3</v>
      </c>
      <c r="J430" s="2">
        <f t="shared" si="50"/>
        <v>9</v>
      </c>
      <c r="K430" s="2">
        <f t="shared" si="51"/>
        <v>6</v>
      </c>
      <c r="L430" s="2">
        <f t="shared" si="52"/>
        <v>4</v>
      </c>
      <c r="M430" s="3">
        <f t="shared" si="53"/>
        <v>33.07</v>
      </c>
      <c r="N430" s="1">
        <f t="shared" ca="1" si="54"/>
        <v>33.07</v>
      </c>
      <c r="O430" s="5">
        <f t="shared" si="55"/>
        <v>5.049900211672198E-2</v>
      </c>
    </row>
    <row r="431" spans="1:15" s="2" customFormat="1" x14ac:dyDescent="0.5">
      <c r="A431" s="6">
        <v>40980</v>
      </c>
      <c r="B431" s="1">
        <v>34.689999</v>
      </c>
      <c r="C431" s="1">
        <v>36.290000999999997</v>
      </c>
      <c r="D431" s="1">
        <v>34.599997999999999</v>
      </c>
      <c r="E431" s="1">
        <v>36.009998000000003</v>
      </c>
      <c r="F431" s="1">
        <v>36.009998000000003</v>
      </c>
      <c r="G431" s="2">
        <v>1963300</v>
      </c>
      <c r="H431" s="2">
        <f t="shared" si="48"/>
        <v>2012</v>
      </c>
      <c r="I431" s="2">
        <f t="shared" si="49"/>
        <v>3</v>
      </c>
      <c r="J431" s="2">
        <f t="shared" si="50"/>
        <v>12</v>
      </c>
      <c r="K431" s="2">
        <f t="shared" si="51"/>
        <v>2</v>
      </c>
      <c r="L431" s="2">
        <f t="shared" si="52"/>
        <v>4</v>
      </c>
      <c r="M431" s="3">
        <f t="shared" si="53"/>
        <v>34.740001999999997</v>
      </c>
      <c r="N431" s="1">
        <f t="shared" ca="1" si="54"/>
        <v>34.740001999999997</v>
      </c>
      <c r="O431" s="5">
        <f t="shared" si="55"/>
        <v>3.6557165425609606E-2</v>
      </c>
    </row>
    <row r="432" spans="1:15" s="2" customFormat="1" x14ac:dyDescent="0.5">
      <c r="A432" s="6">
        <v>40981</v>
      </c>
      <c r="B432" s="1">
        <v>36.509998000000003</v>
      </c>
      <c r="C432" s="1">
        <v>36.590000000000003</v>
      </c>
      <c r="D432" s="1">
        <v>35.5</v>
      </c>
      <c r="E432" s="1">
        <v>36.090000000000003</v>
      </c>
      <c r="F432" s="1">
        <v>36.090000000000003</v>
      </c>
      <c r="G432" s="2">
        <v>1001600</v>
      </c>
      <c r="H432" s="2">
        <f t="shared" si="48"/>
        <v>2012</v>
      </c>
      <c r="I432" s="2">
        <f t="shared" si="49"/>
        <v>3</v>
      </c>
      <c r="J432" s="2">
        <f t="shared" si="50"/>
        <v>13</v>
      </c>
      <c r="K432" s="2">
        <f t="shared" si="51"/>
        <v>3</v>
      </c>
      <c r="L432" s="2">
        <f t="shared" si="52"/>
        <v>4</v>
      </c>
      <c r="M432" s="3">
        <f t="shared" si="53"/>
        <v>36.009998000000003</v>
      </c>
      <c r="N432" s="1">
        <f t="shared" ca="1" si="54"/>
        <v>36.009998000000003</v>
      </c>
      <c r="O432" s="5">
        <f t="shared" si="55"/>
        <v>2.2216607732108429E-3</v>
      </c>
    </row>
    <row r="433" spans="1:15" s="2" customFormat="1" x14ac:dyDescent="0.5">
      <c r="A433" s="6">
        <v>40982</v>
      </c>
      <c r="B433" s="1">
        <v>36</v>
      </c>
      <c r="C433" s="1">
        <v>36</v>
      </c>
      <c r="D433" s="1">
        <v>34.799999</v>
      </c>
      <c r="E433" s="1">
        <v>35.290000999999997</v>
      </c>
      <c r="F433" s="1">
        <v>35.290000999999997</v>
      </c>
      <c r="G433" s="2">
        <v>851500</v>
      </c>
      <c r="H433" s="2">
        <f t="shared" si="48"/>
        <v>2012</v>
      </c>
      <c r="I433" s="2">
        <f t="shared" si="49"/>
        <v>3</v>
      </c>
      <c r="J433" s="2">
        <f t="shared" si="50"/>
        <v>14</v>
      </c>
      <c r="K433" s="2">
        <f t="shared" si="51"/>
        <v>4</v>
      </c>
      <c r="L433" s="2">
        <f t="shared" si="52"/>
        <v>4</v>
      </c>
      <c r="M433" s="3">
        <f t="shared" si="53"/>
        <v>36.090000000000003</v>
      </c>
      <c r="N433" s="1">
        <f t="shared" ca="1" si="54"/>
        <v>36.090000000000003</v>
      </c>
      <c r="O433" s="5">
        <f t="shared" si="55"/>
        <v>-2.2166777500692847E-2</v>
      </c>
    </row>
    <row r="434" spans="1:15" s="2" customFormat="1" x14ac:dyDescent="0.5">
      <c r="A434" s="6">
        <v>40983</v>
      </c>
      <c r="B434" s="1">
        <v>35.279998999999997</v>
      </c>
      <c r="C434" s="1">
        <v>35.479999999999997</v>
      </c>
      <c r="D434" s="1">
        <v>34.779998999999997</v>
      </c>
      <c r="E434" s="1">
        <v>35</v>
      </c>
      <c r="F434" s="1">
        <v>35</v>
      </c>
      <c r="G434" s="2">
        <v>571600</v>
      </c>
      <c r="H434" s="2">
        <f t="shared" si="48"/>
        <v>2012</v>
      </c>
      <c r="I434" s="2">
        <f t="shared" si="49"/>
        <v>3</v>
      </c>
      <c r="J434" s="2">
        <f t="shared" si="50"/>
        <v>15</v>
      </c>
      <c r="K434" s="2">
        <f t="shared" si="51"/>
        <v>5</v>
      </c>
      <c r="L434" s="2">
        <f t="shared" si="52"/>
        <v>4</v>
      </c>
      <c r="M434" s="3">
        <f t="shared" si="53"/>
        <v>35.290000999999997</v>
      </c>
      <c r="N434" s="1">
        <f t="shared" ca="1" si="54"/>
        <v>35.290000999999997</v>
      </c>
      <c r="O434" s="5">
        <f t="shared" si="55"/>
        <v>-8.2176534934073064E-3</v>
      </c>
    </row>
    <row r="435" spans="1:15" s="2" customFormat="1" x14ac:dyDescent="0.5">
      <c r="A435" s="6">
        <v>40984</v>
      </c>
      <c r="B435" s="1">
        <v>34.900002000000001</v>
      </c>
      <c r="C435" s="1">
        <v>35.889999000000003</v>
      </c>
      <c r="D435" s="1">
        <v>34.830002</v>
      </c>
      <c r="E435" s="1">
        <v>35.32</v>
      </c>
      <c r="F435" s="1">
        <v>35.32</v>
      </c>
      <c r="G435" s="2">
        <v>729300</v>
      </c>
      <c r="H435" s="2">
        <f t="shared" si="48"/>
        <v>2012</v>
      </c>
      <c r="I435" s="2">
        <f t="shared" si="49"/>
        <v>3</v>
      </c>
      <c r="J435" s="2">
        <f t="shared" si="50"/>
        <v>16</v>
      </c>
      <c r="K435" s="2">
        <f t="shared" si="51"/>
        <v>6</v>
      </c>
      <c r="L435" s="2">
        <f t="shared" si="52"/>
        <v>4</v>
      </c>
      <c r="M435" s="3">
        <f t="shared" si="53"/>
        <v>35</v>
      </c>
      <c r="N435" s="1">
        <f t="shared" ca="1" si="54"/>
        <v>35</v>
      </c>
      <c r="O435" s="5">
        <f t="shared" si="55"/>
        <v>9.1428571428571193E-3</v>
      </c>
    </row>
    <row r="436" spans="1:15" s="2" customFormat="1" x14ac:dyDescent="0.5">
      <c r="A436" s="6">
        <v>40987</v>
      </c>
      <c r="B436" s="1">
        <v>35.259998000000003</v>
      </c>
      <c r="C436" s="1">
        <v>35.32</v>
      </c>
      <c r="D436" s="1">
        <v>34.540000999999997</v>
      </c>
      <c r="E436" s="1">
        <v>34.979999999999997</v>
      </c>
      <c r="F436" s="1">
        <v>34.979999999999997</v>
      </c>
      <c r="G436" s="2">
        <v>1015600</v>
      </c>
      <c r="H436" s="2">
        <f t="shared" si="48"/>
        <v>2012</v>
      </c>
      <c r="I436" s="2">
        <f t="shared" si="49"/>
        <v>3</v>
      </c>
      <c r="J436" s="2">
        <f t="shared" si="50"/>
        <v>19</v>
      </c>
      <c r="K436" s="2">
        <f t="shared" si="51"/>
        <v>2</v>
      </c>
      <c r="L436" s="2">
        <f t="shared" si="52"/>
        <v>4</v>
      </c>
      <c r="M436" s="3">
        <f t="shared" si="53"/>
        <v>35.32</v>
      </c>
      <c r="N436" s="1">
        <f t="shared" ca="1" si="54"/>
        <v>35.32</v>
      </c>
      <c r="O436" s="5">
        <f t="shared" si="55"/>
        <v>-9.6262740656852808E-3</v>
      </c>
    </row>
    <row r="437" spans="1:15" s="2" customFormat="1" x14ac:dyDescent="0.5">
      <c r="A437" s="6">
        <v>40988</v>
      </c>
      <c r="B437" s="1">
        <v>34.979999999999997</v>
      </c>
      <c r="C437" s="1">
        <v>35.200001</v>
      </c>
      <c r="D437" s="1">
        <v>34.57</v>
      </c>
      <c r="E437" s="1">
        <v>34.959999000000003</v>
      </c>
      <c r="F437" s="1">
        <v>34.959999000000003</v>
      </c>
      <c r="G437" s="2">
        <v>567000</v>
      </c>
      <c r="H437" s="2">
        <f t="shared" si="48"/>
        <v>2012</v>
      </c>
      <c r="I437" s="2">
        <f t="shared" si="49"/>
        <v>3</v>
      </c>
      <c r="J437" s="2">
        <f t="shared" si="50"/>
        <v>20</v>
      </c>
      <c r="K437" s="2">
        <f t="shared" si="51"/>
        <v>3</v>
      </c>
      <c r="L437" s="2">
        <f t="shared" si="52"/>
        <v>4</v>
      </c>
      <c r="M437" s="3">
        <f t="shared" si="53"/>
        <v>34.979999999999997</v>
      </c>
      <c r="N437" s="1">
        <f t="shared" ca="1" si="54"/>
        <v>34.979999999999997</v>
      </c>
      <c r="O437" s="5">
        <f t="shared" si="55"/>
        <v>-5.7178387650069773E-4</v>
      </c>
    </row>
    <row r="438" spans="1:15" s="2" customFormat="1" x14ac:dyDescent="0.5">
      <c r="A438" s="6">
        <v>40989</v>
      </c>
      <c r="B438" s="1">
        <v>34.939999</v>
      </c>
      <c r="C438" s="1">
        <v>35.299999</v>
      </c>
      <c r="D438" s="1">
        <v>34.599997999999999</v>
      </c>
      <c r="E438" s="1">
        <v>35.150002000000001</v>
      </c>
      <c r="F438" s="1">
        <v>35.150002000000001</v>
      </c>
      <c r="G438" s="2">
        <v>607200</v>
      </c>
      <c r="H438" s="2">
        <f t="shared" si="48"/>
        <v>2012</v>
      </c>
      <c r="I438" s="2">
        <f t="shared" si="49"/>
        <v>3</v>
      </c>
      <c r="J438" s="2">
        <f t="shared" si="50"/>
        <v>21</v>
      </c>
      <c r="K438" s="2">
        <f t="shared" si="51"/>
        <v>4</v>
      </c>
      <c r="L438" s="2">
        <f t="shared" si="52"/>
        <v>4</v>
      </c>
      <c r="M438" s="3">
        <f t="shared" si="53"/>
        <v>34.959999000000003</v>
      </c>
      <c r="N438" s="1">
        <f t="shared" ca="1" si="54"/>
        <v>34.959999000000003</v>
      </c>
      <c r="O438" s="5">
        <f t="shared" si="55"/>
        <v>5.4348685765122084E-3</v>
      </c>
    </row>
    <row r="439" spans="1:15" s="2" customFormat="1" x14ac:dyDescent="0.5">
      <c r="A439" s="6">
        <v>40990</v>
      </c>
      <c r="B439" s="1">
        <v>34.970001000000003</v>
      </c>
      <c r="C439" s="1">
        <v>35.150002000000001</v>
      </c>
      <c r="D439" s="1">
        <v>34.299999</v>
      </c>
      <c r="E439" s="1">
        <v>34.400002000000001</v>
      </c>
      <c r="F439" s="1">
        <v>34.400002000000001</v>
      </c>
      <c r="G439" s="2">
        <v>522400</v>
      </c>
      <c r="H439" s="2">
        <f t="shared" si="48"/>
        <v>2012</v>
      </c>
      <c r="I439" s="2">
        <f t="shared" si="49"/>
        <v>3</v>
      </c>
      <c r="J439" s="2">
        <f t="shared" si="50"/>
        <v>22</v>
      </c>
      <c r="K439" s="2">
        <f t="shared" si="51"/>
        <v>5</v>
      </c>
      <c r="L439" s="2">
        <f t="shared" si="52"/>
        <v>4</v>
      </c>
      <c r="M439" s="3">
        <f t="shared" si="53"/>
        <v>35.150002000000001</v>
      </c>
      <c r="N439" s="1">
        <f t="shared" ca="1" si="54"/>
        <v>35.150002000000001</v>
      </c>
      <c r="O439" s="5">
        <f t="shared" si="55"/>
        <v>-2.1337125386223343E-2</v>
      </c>
    </row>
    <row r="440" spans="1:15" s="2" customFormat="1" x14ac:dyDescent="0.5">
      <c r="A440" s="6">
        <v>40991</v>
      </c>
      <c r="B440" s="1">
        <v>34.259998000000003</v>
      </c>
      <c r="C440" s="1">
        <v>34.630001</v>
      </c>
      <c r="D440" s="1">
        <v>33.150002000000001</v>
      </c>
      <c r="E440" s="1">
        <v>34.080002</v>
      </c>
      <c r="F440" s="1">
        <v>34.080002</v>
      </c>
      <c r="G440" s="2">
        <v>1170600</v>
      </c>
      <c r="H440" s="2">
        <f t="shared" si="48"/>
        <v>2012</v>
      </c>
      <c r="I440" s="2">
        <f t="shared" si="49"/>
        <v>3</v>
      </c>
      <c r="J440" s="2">
        <f t="shared" si="50"/>
        <v>23</v>
      </c>
      <c r="K440" s="2">
        <f t="shared" si="51"/>
        <v>6</v>
      </c>
      <c r="L440" s="2">
        <f t="shared" si="52"/>
        <v>4</v>
      </c>
      <c r="M440" s="3">
        <f t="shared" si="53"/>
        <v>34.400002000000001</v>
      </c>
      <c r="N440" s="1">
        <f t="shared" ca="1" si="54"/>
        <v>34.400002000000001</v>
      </c>
      <c r="O440" s="5">
        <f t="shared" si="55"/>
        <v>-9.302325040562498E-3</v>
      </c>
    </row>
    <row r="441" spans="1:15" s="2" customFormat="1" x14ac:dyDescent="0.5">
      <c r="A441" s="6">
        <v>40994</v>
      </c>
      <c r="B441" s="1">
        <v>35.590000000000003</v>
      </c>
      <c r="C441" s="1">
        <v>38.090000000000003</v>
      </c>
      <c r="D441" s="1">
        <v>35.040000999999997</v>
      </c>
      <c r="E441" s="1">
        <v>37.400002000000001</v>
      </c>
      <c r="F441" s="1">
        <v>37.400002000000001</v>
      </c>
      <c r="G441" s="2">
        <v>3140500</v>
      </c>
      <c r="H441" s="2">
        <f t="shared" si="48"/>
        <v>2012</v>
      </c>
      <c r="I441" s="2">
        <f t="shared" si="49"/>
        <v>3</v>
      </c>
      <c r="J441" s="2">
        <f t="shared" si="50"/>
        <v>26</v>
      </c>
      <c r="K441" s="2">
        <f t="shared" si="51"/>
        <v>2</v>
      </c>
      <c r="L441" s="2">
        <f t="shared" si="52"/>
        <v>4</v>
      </c>
      <c r="M441" s="3">
        <f t="shared" si="53"/>
        <v>34.080002</v>
      </c>
      <c r="N441" s="1">
        <f t="shared" ca="1" si="54"/>
        <v>34.080002</v>
      </c>
      <c r="O441" s="5">
        <f t="shared" si="55"/>
        <v>9.7417834658577895E-2</v>
      </c>
    </row>
    <row r="442" spans="1:15" s="2" customFormat="1" x14ac:dyDescent="0.5">
      <c r="A442" s="6">
        <v>40995</v>
      </c>
      <c r="B442" s="1">
        <v>37.159999999999997</v>
      </c>
      <c r="C442" s="1">
        <v>39.950001</v>
      </c>
      <c r="D442" s="1">
        <v>37.029998999999997</v>
      </c>
      <c r="E442" s="1">
        <v>37.939999</v>
      </c>
      <c r="F442" s="1">
        <v>37.939999</v>
      </c>
      <c r="G442" s="2">
        <v>2539200</v>
      </c>
      <c r="H442" s="2">
        <f t="shared" si="48"/>
        <v>2012</v>
      </c>
      <c r="I442" s="2">
        <f t="shared" si="49"/>
        <v>3</v>
      </c>
      <c r="J442" s="2">
        <f t="shared" si="50"/>
        <v>27</v>
      </c>
      <c r="K442" s="2">
        <f t="shared" si="51"/>
        <v>3</v>
      </c>
      <c r="L442" s="2">
        <f t="shared" si="52"/>
        <v>4</v>
      </c>
      <c r="M442" s="3">
        <f t="shared" si="53"/>
        <v>37.400002000000001</v>
      </c>
      <c r="N442" s="1">
        <f t="shared" ca="1" si="54"/>
        <v>37.400002000000001</v>
      </c>
      <c r="O442" s="5">
        <f t="shared" si="55"/>
        <v>1.4438421687784864E-2</v>
      </c>
    </row>
    <row r="443" spans="1:15" s="2" customFormat="1" x14ac:dyDescent="0.5">
      <c r="A443" s="6">
        <v>40996</v>
      </c>
      <c r="B443" s="1">
        <v>37.779998999999997</v>
      </c>
      <c r="C443" s="1">
        <v>38.439999</v>
      </c>
      <c r="D443" s="1">
        <v>37.110000999999997</v>
      </c>
      <c r="E443" s="1">
        <v>37.849997999999999</v>
      </c>
      <c r="F443" s="1">
        <v>37.849997999999999</v>
      </c>
      <c r="G443" s="2">
        <v>955000</v>
      </c>
      <c r="H443" s="2">
        <f t="shared" si="48"/>
        <v>2012</v>
      </c>
      <c r="I443" s="2">
        <f t="shared" si="49"/>
        <v>3</v>
      </c>
      <c r="J443" s="2">
        <f t="shared" si="50"/>
        <v>28</v>
      </c>
      <c r="K443" s="2">
        <f t="shared" si="51"/>
        <v>4</v>
      </c>
      <c r="L443" s="2">
        <f t="shared" si="52"/>
        <v>4</v>
      </c>
      <c r="M443" s="3">
        <f t="shared" si="53"/>
        <v>37.939999</v>
      </c>
      <c r="N443" s="1">
        <f t="shared" ca="1" si="54"/>
        <v>37.939999</v>
      </c>
      <c r="O443" s="5">
        <f t="shared" si="55"/>
        <v>-2.3721929987399193E-3</v>
      </c>
    </row>
    <row r="444" spans="1:15" s="2" customFormat="1" x14ac:dyDescent="0.5">
      <c r="A444" s="6">
        <v>40997</v>
      </c>
      <c r="B444" s="1">
        <v>38.189999</v>
      </c>
      <c r="C444" s="1">
        <v>38.189999</v>
      </c>
      <c r="D444" s="1">
        <v>37.029998999999997</v>
      </c>
      <c r="E444" s="1">
        <v>37.330002</v>
      </c>
      <c r="F444" s="1">
        <v>37.330002</v>
      </c>
      <c r="G444" s="2">
        <v>796400</v>
      </c>
      <c r="H444" s="2">
        <f t="shared" si="48"/>
        <v>2012</v>
      </c>
      <c r="I444" s="2">
        <f t="shared" si="49"/>
        <v>3</v>
      </c>
      <c r="J444" s="2">
        <f t="shared" si="50"/>
        <v>29</v>
      </c>
      <c r="K444" s="2">
        <f t="shared" si="51"/>
        <v>5</v>
      </c>
      <c r="L444" s="2">
        <f t="shared" si="52"/>
        <v>4</v>
      </c>
      <c r="M444" s="3">
        <f t="shared" si="53"/>
        <v>37.849997999999999</v>
      </c>
      <c r="N444" s="1">
        <f t="shared" ca="1" si="54"/>
        <v>37.849997999999999</v>
      </c>
      <c r="O444" s="5">
        <f t="shared" si="55"/>
        <v>-1.3738336260942452E-2</v>
      </c>
    </row>
    <row r="445" spans="1:15" s="2" customFormat="1" x14ac:dyDescent="0.5">
      <c r="A445" s="6">
        <v>40998</v>
      </c>
      <c r="B445" s="1">
        <v>37.520000000000003</v>
      </c>
      <c r="C445" s="1">
        <v>37.939999</v>
      </c>
      <c r="D445" s="1">
        <v>36.68</v>
      </c>
      <c r="E445" s="1">
        <v>37.240001999999997</v>
      </c>
      <c r="F445" s="1">
        <v>37.240001999999997</v>
      </c>
      <c r="G445" s="2">
        <v>886400</v>
      </c>
      <c r="H445" s="2">
        <f t="shared" si="48"/>
        <v>2012</v>
      </c>
      <c r="I445" s="2">
        <f t="shared" si="49"/>
        <v>3</v>
      </c>
      <c r="J445" s="2">
        <f t="shared" si="50"/>
        <v>30</v>
      </c>
      <c r="K445" s="2">
        <f t="shared" si="51"/>
        <v>6</v>
      </c>
      <c r="L445" s="2">
        <f t="shared" si="52"/>
        <v>4</v>
      </c>
      <c r="M445" s="3">
        <f t="shared" si="53"/>
        <v>37.330002</v>
      </c>
      <c r="N445" s="1">
        <f t="shared" ca="1" si="54"/>
        <v>37.330002</v>
      </c>
      <c r="O445" s="5">
        <f t="shared" si="55"/>
        <v>-2.4109294181126062E-3</v>
      </c>
    </row>
    <row r="446" spans="1:15" s="2" customFormat="1" x14ac:dyDescent="0.5">
      <c r="A446" s="6">
        <v>41001</v>
      </c>
      <c r="B446" s="1">
        <v>37.330002</v>
      </c>
      <c r="C446" s="1">
        <v>37.970001000000003</v>
      </c>
      <c r="D446" s="1">
        <v>36.529998999999997</v>
      </c>
      <c r="E446" s="1">
        <v>36.580002</v>
      </c>
      <c r="F446" s="1">
        <v>36.580002</v>
      </c>
      <c r="G446" s="2">
        <v>1028600</v>
      </c>
      <c r="H446" s="2">
        <f t="shared" si="48"/>
        <v>2012</v>
      </c>
      <c r="I446" s="2">
        <f t="shared" si="49"/>
        <v>4</v>
      </c>
      <c r="J446" s="2">
        <f t="shared" si="50"/>
        <v>2</v>
      </c>
      <c r="K446" s="2">
        <f t="shared" si="51"/>
        <v>2</v>
      </c>
      <c r="L446" s="2">
        <f t="shared" si="52"/>
        <v>5</v>
      </c>
      <c r="M446" s="3">
        <f t="shared" si="53"/>
        <v>37.240001999999997</v>
      </c>
      <c r="N446" s="1">
        <f t="shared" ca="1" si="54"/>
        <v>37.240001999999997</v>
      </c>
      <c r="O446" s="5">
        <f t="shared" si="55"/>
        <v>-1.7722877673314708E-2</v>
      </c>
    </row>
    <row r="447" spans="1:15" s="2" customFormat="1" x14ac:dyDescent="0.5">
      <c r="A447" s="6">
        <v>41002</v>
      </c>
      <c r="B447" s="1">
        <v>36.700001</v>
      </c>
      <c r="C447" s="1">
        <v>38.470001000000003</v>
      </c>
      <c r="D447" s="1">
        <v>36.669998</v>
      </c>
      <c r="E447" s="1">
        <v>38.009998000000003</v>
      </c>
      <c r="F447" s="1">
        <v>38.009998000000003</v>
      </c>
      <c r="G447" s="2">
        <v>1098100</v>
      </c>
      <c r="H447" s="2">
        <f t="shared" si="48"/>
        <v>2012</v>
      </c>
      <c r="I447" s="2">
        <f t="shared" si="49"/>
        <v>4</v>
      </c>
      <c r="J447" s="2">
        <f t="shared" si="50"/>
        <v>3</v>
      </c>
      <c r="K447" s="2">
        <f t="shared" si="51"/>
        <v>3</v>
      </c>
      <c r="L447" s="2">
        <f t="shared" si="52"/>
        <v>5</v>
      </c>
      <c r="M447" s="3">
        <f t="shared" si="53"/>
        <v>36.580002</v>
      </c>
      <c r="N447" s="1">
        <f t="shared" ca="1" si="54"/>
        <v>36.580002</v>
      </c>
      <c r="O447" s="5">
        <f t="shared" si="55"/>
        <v>3.9092288731968905E-2</v>
      </c>
    </row>
    <row r="448" spans="1:15" s="2" customFormat="1" x14ac:dyDescent="0.5">
      <c r="A448" s="6">
        <v>41003</v>
      </c>
      <c r="B448" s="1">
        <v>35.270000000000003</v>
      </c>
      <c r="C448" s="1">
        <v>35.490001999999997</v>
      </c>
      <c r="D448" s="1">
        <v>34.689999</v>
      </c>
      <c r="E448" s="1">
        <v>35</v>
      </c>
      <c r="F448" s="1">
        <v>35</v>
      </c>
      <c r="G448" s="2">
        <v>4481800</v>
      </c>
      <c r="H448" s="2">
        <f t="shared" si="48"/>
        <v>2012</v>
      </c>
      <c r="I448" s="2">
        <f t="shared" si="49"/>
        <v>4</v>
      </c>
      <c r="J448" s="2">
        <f t="shared" si="50"/>
        <v>4</v>
      </c>
      <c r="K448" s="2">
        <f t="shared" si="51"/>
        <v>4</v>
      </c>
      <c r="L448" s="2">
        <f t="shared" si="52"/>
        <v>5</v>
      </c>
      <c r="M448" s="3">
        <f t="shared" si="53"/>
        <v>38.009998000000003</v>
      </c>
      <c r="N448" s="1">
        <f t="shared" ca="1" si="54"/>
        <v>38.009998000000003</v>
      </c>
      <c r="O448" s="5">
        <f t="shared" si="55"/>
        <v>-7.9189638473540658E-2</v>
      </c>
    </row>
    <row r="449" spans="1:15" s="2" customFormat="1" x14ac:dyDescent="0.5">
      <c r="A449" s="6">
        <v>41004</v>
      </c>
      <c r="B449" s="1">
        <v>35.099997999999999</v>
      </c>
      <c r="C449" s="1">
        <v>35.439999</v>
      </c>
      <c r="D449" s="1">
        <v>34.409999999999997</v>
      </c>
      <c r="E449" s="1">
        <v>34.479999999999997</v>
      </c>
      <c r="F449" s="1">
        <v>34.479999999999997</v>
      </c>
      <c r="G449" s="2">
        <v>1509400</v>
      </c>
      <c r="H449" s="2">
        <f t="shared" si="48"/>
        <v>2012</v>
      </c>
      <c r="I449" s="2">
        <f t="shared" si="49"/>
        <v>4</v>
      </c>
      <c r="J449" s="2">
        <f t="shared" si="50"/>
        <v>5</v>
      </c>
      <c r="K449" s="2">
        <f t="shared" si="51"/>
        <v>5</v>
      </c>
      <c r="L449" s="2">
        <f t="shared" si="52"/>
        <v>5</v>
      </c>
      <c r="M449" s="3">
        <f t="shared" si="53"/>
        <v>35</v>
      </c>
      <c r="N449" s="1">
        <f t="shared" ca="1" si="54"/>
        <v>35</v>
      </c>
      <c r="O449" s="5">
        <f t="shared" si="55"/>
        <v>-1.4857142857142902E-2</v>
      </c>
    </row>
    <row r="450" spans="1:15" s="2" customFormat="1" x14ac:dyDescent="0.5">
      <c r="A450" s="6">
        <v>41008</v>
      </c>
      <c r="B450" s="1">
        <v>34.099997999999999</v>
      </c>
      <c r="C450" s="1">
        <v>34.290000999999997</v>
      </c>
      <c r="D450" s="1">
        <v>33.099997999999999</v>
      </c>
      <c r="E450" s="1">
        <v>33.150002000000001</v>
      </c>
      <c r="F450" s="1">
        <v>33.150002000000001</v>
      </c>
      <c r="G450" s="2">
        <v>1655700</v>
      </c>
      <c r="H450" s="2">
        <f t="shared" ref="H450:H513" si="56">YEAR(A450)</f>
        <v>2012</v>
      </c>
      <c r="I450" s="2">
        <f t="shared" ref="I450:I513" si="57">MONTH(A450)</f>
        <v>4</v>
      </c>
      <c r="J450" s="2">
        <f t="shared" ref="J450:J513" si="58">DAY(A450)</f>
        <v>9</v>
      </c>
      <c r="K450" s="2">
        <f t="shared" ref="K450:K513" si="59">WEEKDAY(A450)</f>
        <v>2</v>
      </c>
      <c r="L450" s="2">
        <f t="shared" si="52"/>
        <v>5</v>
      </c>
      <c r="M450" s="3">
        <f t="shared" si="53"/>
        <v>34.479999999999997</v>
      </c>
      <c r="N450" s="1">
        <f t="shared" ca="1" si="54"/>
        <v>34.479999999999997</v>
      </c>
      <c r="O450" s="5">
        <f t="shared" si="55"/>
        <v>-3.857302784222727E-2</v>
      </c>
    </row>
    <row r="451" spans="1:15" s="2" customFormat="1" x14ac:dyDescent="0.5">
      <c r="A451" s="6">
        <v>41009</v>
      </c>
      <c r="B451" s="1">
        <v>33.150002000000001</v>
      </c>
      <c r="C451" s="1">
        <v>33.849997999999999</v>
      </c>
      <c r="D451" s="1">
        <v>32.099997999999999</v>
      </c>
      <c r="E451" s="1">
        <v>32.459999000000003</v>
      </c>
      <c r="F451" s="1">
        <v>32.459999000000003</v>
      </c>
      <c r="G451" s="2">
        <v>1847700</v>
      </c>
      <c r="H451" s="2">
        <f t="shared" si="56"/>
        <v>2012</v>
      </c>
      <c r="I451" s="2">
        <f t="shared" si="57"/>
        <v>4</v>
      </c>
      <c r="J451" s="2">
        <f t="shared" si="58"/>
        <v>10</v>
      </c>
      <c r="K451" s="2">
        <f t="shared" si="59"/>
        <v>3</v>
      </c>
      <c r="L451" s="2">
        <f t="shared" ref="L451:L514" si="60">I451+1</f>
        <v>5</v>
      </c>
      <c r="M451" s="3">
        <f t="shared" ref="M451:M514" si="61">F450</f>
        <v>33.150002000000001</v>
      </c>
      <c r="N451" s="1">
        <f t="shared" ref="N451:N514" ca="1" si="62">OFFSET(F451, -1, 0)</f>
        <v>33.150002000000001</v>
      </c>
      <c r="O451" s="5">
        <f t="shared" ref="O451:O514" si="63">(F451/M451)-1</f>
        <v>-2.0814568879965578E-2</v>
      </c>
    </row>
    <row r="452" spans="1:15" s="2" customFormat="1" x14ac:dyDescent="0.5">
      <c r="A452" s="6">
        <v>41010</v>
      </c>
      <c r="B452" s="1">
        <v>33.240001999999997</v>
      </c>
      <c r="C452" s="1">
        <v>33.290000999999997</v>
      </c>
      <c r="D452" s="1">
        <v>32.009998000000003</v>
      </c>
      <c r="E452" s="1">
        <v>33.090000000000003</v>
      </c>
      <c r="F452" s="1">
        <v>33.090000000000003</v>
      </c>
      <c r="G452" s="2">
        <v>1105500</v>
      </c>
      <c r="H452" s="2">
        <f t="shared" si="56"/>
        <v>2012</v>
      </c>
      <c r="I452" s="2">
        <f t="shared" si="57"/>
        <v>4</v>
      </c>
      <c r="J452" s="2">
        <f t="shared" si="58"/>
        <v>11</v>
      </c>
      <c r="K452" s="2">
        <f t="shared" si="59"/>
        <v>4</v>
      </c>
      <c r="L452" s="2">
        <f t="shared" si="60"/>
        <v>5</v>
      </c>
      <c r="M452" s="3">
        <f t="shared" si="61"/>
        <v>32.459999000000003</v>
      </c>
      <c r="N452" s="1">
        <f t="shared" ca="1" si="62"/>
        <v>32.459999000000003</v>
      </c>
      <c r="O452" s="5">
        <f t="shared" si="63"/>
        <v>1.9408534177712156E-2</v>
      </c>
    </row>
    <row r="453" spans="1:15" s="2" customFormat="1" x14ac:dyDescent="0.5">
      <c r="A453" s="6">
        <v>41011</v>
      </c>
      <c r="B453" s="1">
        <v>33.770000000000003</v>
      </c>
      <c r="C453" s="1">
        <v>34.479999999999997</v>
      </c>
      <c r="D453" s="1">
        <v>32.919998</v>
      </c>
      <c r="E453" s="1">
        <v>33.439999</v>
      </c>
      <c r="F453" s="1">
        <v>33.439999</v>
      </c>
      <c r="G453" s="2">
        <v>1033900</v>
      </c>
      <c r="H453" s="2">
        <f t="shared" si="56"/>
        <v>2012</v>
      </c>
      <c r="I453" s="2">
        <f t="shared" si="57"/>
        <v>4</v>
      </c>
      <c r="J453" s="2">
        <f t="shared" si="58"/>
        <v>12</v>
      </c>
      <c r="K453" s="2">
        <f t="shared" si="59"/>
        <v>5</v>
      </c>
      <c r="L453" s="2">
        <f t="shared" si="60"/>
        <v>5</v>
      </c>
      <c r="M453" s="3">
        <f t="shared" si="61"/>
        <v>33.090000000000003</v>
      </c>
      <c r="N453" s="1">
        <f t="shared" ca="1" si="62"/>
        <v>33.090000000000003</v>
      </c>
      <c r="O453" s="5">
        <f t="shared" si="63"/>
        <v>1.0577183439105298E-2</v>
      </c>
    </row>
    <row r="454" spans="1:15" s="2" customFormat="1" x14ac:dyDescent="0.5">
      <c r="A454" s="6">
        <v>41012</v>
      </c>
      <c r="B454" s="1">
        <v>33.939999</v>
      </c>
      <c r="C454" s="1">
        <v>34.040000999999997</v>
      </c>
      <c r="D454" s="1">
        <v>32.849997999999999</v>
      </c>
      <c r="E454" s="1">
        <v>33.590000000000003</v>
      </c>
      <c r="F454" s="1">
        <v>33.590000000000003</v>
      </c>
      <c r="G454" s="2">
        <v>649600</v>
      </c>
      <c r="H454" s="2">
        <f t="shared" si="56"/>
        <v>2012</v>
      </c>
      <c r="I454" s="2">
        <f t="shared" si="57"/>
        <v>4</v>
      </c>
      <c r="J454" s="2">
        <f t="shared" si="58"/>
        <v>13</v>
      </c>
      <c r="K454" s="2">
        <f t="shared" si="59"/>
        <v>6</v>
      </c>
      <c r="L454" s="2">
        <f t="shared" si="60"/>
        <v>5</v>
      </c>
      <c r="M454" s="3">
        <f t="shared" si="61"/>
        <v>33.439999</v>
      </c>
      <c r="N454" s="1">
        <f t="shared" ca="1" si="62"/>
        <v>33.439999</v>
      </c>
      <c r="O454" s="5">
        <f t="shared" si="63"/>
        <v>4.4856759714617667E-3</v>
      </c>
    </row>
    <row r="455" spans="1:15" s="2" customFormat="1" x14ac:dyDescent="0.5">
      <c r="A455" s="6">
        <v>41015</v>
      </c>
      <c r="B455" s="1">
        <v>33.409999999999997</v>
      </c>
      <c r="C455" s="1">
        <v>33.700001</v>
      </c>
      <c r="D455" s="1">
        <v>32.090000000000003</v>
      </c>
      <c r="E455" s="1">
        <v>32.25</v>
      </c>
      <c r="F455" s="1">
        <v>32.25</v>
      </c>
      <c r="G455" s="2">
        <v>1099600</v>
      </c>
      <c r="H455" s="2">
        <f t="shared" si="56"/>
        <v>2012</v>
      </c>
      <c r="I455" s="2">
        <f t="shared" si="57"/>
        <v>4</v>
      </c>
      <c r="J455" s="2">
        <f t="shared" si="58"/>
        <v>16</v>
      </c>
      <c r="K455" s="2">
        <f t="shared" si="59"/>
        <v>2</v>
      </c>
      <c r="L455" s="2">
        <f t="shared" si="60"/>
        <v>5</v>
      </c>
      <c r="M455" s="3">
        <f t="shared" si="61"/>
        <v>33.590000000000003</v>
      </c>
      <c r="N455" s="1">
        <f t="shared" ca="1" si="62"/>
        <v>33.590000000000003</v>
      </c>
      <c r="O455" s="5">
        <f t="shared" si="63"/>
        <v>-3.9892825245608887E-2</v>
      </c>
    </row>
    <row r="456" spans="1:15" s="2" customFormat="1" x14ac:dyDescent="0.5">
      <c r="A456" s="6">
        <v>41016</v>
      </c>
      <c r="B456" s="1">
        <v>32.43</v>
      </c>
      <c r="C456" s="1">
        <v>33.07</v>
      </c>
      <c r="D456" s="1">
        <v>32.040000999999997</v>
      </c>
      <c r="E456" s="1">
        <v>32.240001999999997</v>
      </c>
      <c r="F456" s="1">
        <v>32.240001999999997</v>
      </c>
      <c r="G456" s="2">
        <v>1115500</v>
      </c>
      <c r="H456" s="2">
        <f t="shared" si="56"/>
        <v>2012</v>
      </c>
      <c r="I456" s="2">
        <f t="shared" si="57"/>
        <v>4</v>
      </c>
      <c r="J456" s="2">
        <f t="shared" si="58"/>
        <v>17</v>
      </c>
      <c r="K456" s="2">
        <f t="shared" si="59"/>
        <v>3</v>
      </c>
      <c r="L456" s="2">
        <f t="shared" si="60"/>
        <v>5</v>
      </c>
      <c r="M456" s="3">
        <f t="shared" si="61"/>
        <v>32.25</v>
      </c>
      <c r="N456" s="1">
        <f t="shared" ca="1" si="62"/>
        <v>32.25</v>
      </c>
      <c r="O456" s="5">
        <f t="shared" si="63"/>
        <v>-3.1001550387610433E-4</v>
      </c>
    </row>
    <row r="457" spans="1:15" s="2" customFormat="1" x14ac:dyDescent="0.5">
      <c r="A457" s="6">
        <v>41017</v>
      </c>
      <c r="B457" s="1">
        <v>32.090000000000003</v>
      </c>
      <c r="C457" s="1">
        <v>32.75</v>
      </c>
      <c r="D457" s="1">
        <v>31.530000999999999</v>
      </c>
      <c r="E457" s="1">
        <v>32.659999999999997</v>
      </c>
      <c r="F457" s="1">
        <v>32.659999999999997</v>
      </c>
      <c r="G457" s="2">
        <v>823100</v>
      </c>
      <c r="H457" s="2">
        <f t="shared" si="56"/>
        <v>2012</v>
      </c>
      <c r="I457" s="2">
        <f t="shared" si="57"/>
        <v>4</v>
      </c>
      <c r="J457" s="2">
        <f t="shared" si="58"/>
        <v>18</v>
      </c>
      <c r="K457" s="2">
        <f t="shared" si="59"/>
        <v>4</v>
      </c>
      <c r="L457" s="2">
        <f t="shared" si="60"/>
        <v>5</v>
      </c>
      <c r="M457" s="3">
        <f t="shared" si="61"/>
        <v>32.240001999999997</v>
      </c>
      <c r="N457" s="1">
        <f t="shared" ca="1" si="62"/>
        <v>32.240001999999997</v>
      </c>
      <c r="O457" s="5">
        <f t="shared" si="63"/>
        <v>1.3027232442479386E-2</v>
      </c>
    </row>
    <row r="458" spans="1:15" s="2" customFormat="1" x14ac:dyDescent="0.5">
      <c r="A458" s="6">
        <v>41018</v>
      </c>
      <c r="B458" s="1">
        <v>32.75</v>
      </c>
      <c r="C458" s="1">
        <v>33.43</v>
      </c>
      <c r="D458" s="1">
        <v>32.5</v>
      </c>
      <c r="E458" s="1">
        <v>33.159999999999997</v>
      </c>
      <c r="F458" s="1">
        <v>33.159999999999997</v>
      </c>
      <c r="G458" s="2">
        <v>774900</v>
      </c>
      <c r="H458" s="2">
        <f t="shared" si="56"/>
        <v>2012</v>
      </c>
      <c r="I458" s="2">
        <f t="shared" si="57"/>
        <v>4</v>
      </c>
      <c r="J458" s="2">
        <f t="shared" si="58"/>
        <v>19</v>
      </c>
      <c r="K458" s="2">
        <f t="shared" si="59"/>
        <v>5</v>
      </c>
      <c r="L458" s="2">
        <f t="shared" si="60"/>
        <v>5</v>
      </c>
      <c r="M458" s="3">
        <f t="shared" si="61"/>
        <v>32.659999999999997</v>
      </c>
      <c r="N458" s="1">
        <f t="shared" ca="1" si="62"/>
        <v>32.659999999999997</v>
      </c>
      <c r="O458" s="5">
        <f t="shared" si="63"/>
        <v>1.5309246785058184E-2</v>
      </c>
    </row>
    <row r="459" spans="1:15" s="2" customFormat="1" x14ac:dyDescent="0.5">
      <c r="A459" s="6">
        <v>41019</v>
      </c>
      <c r="B459" s="1">
        <v>33.139999000000003</v>
      </c>
      <c r="C459" s="1">
        <v>33.729999999999997</v>
      </c>
      <c r="D459" s="1">
        <v>32.939999</v>
      </c>
      <c r="E459" s="1">
        <v>33.159999999999997</v>
      </c>
      <c r="F459" s="1">
        <v>33.159999999999997</v>
      </c>
      <c r="G459" s="2">
        <v>821800</v>
      </c>
      <c r="H459" s="2">
        <f t="shared" si="56"/>
        <v>2012</v>
      </c>
      <c r="I459" s="2">
        <f t="shared" si="57"/>
        <v>4</v>
      </c>
      <c r="J459" s="2">
        <f t="shared" si="58"/>
        <v>20</v>
      </c>
      <c r="K459" s="2">
        <f t="shared" si="59"/>
        <v>6</v>
      </c>
      <c r="L459" s="2">
        <f t="shared" si="60"/>
        <v>5</v>
      </c>
      <c r="M459" s="3">
        <f t="shared" si="61"/>
        <v>33.159999999999997</v>
      </c>
      <c r="N459" s="1">
        <f t="shared" ca="1" si="62"/>
        <v>33.159999999999997</v>
      </c>
      <c r="O459" s="5">
        <f t="shared" si="63"/>
        <v>0</v>
      </c>
    </row>
    <row r="460" spans="1:15" s="2" customFormat="1" x14ac:dyDescent="0.5">
      <c r="A460" s="6">
        <v>41022</v>
      </c>
      <c r="B460" s="1">
        <v>32.860000999999997</v>
      </c>
      <c r="C460" s="1">
        <v>32.970001000000003</v>
      </c>
      <c r="D460" s="1">
        <v>31.709999</v>
      </c>
      <c r="E460" s="1">
        <v>31.940000999999999</v>
      </c>
      <c r="F460" s="1">
        <v>31.940000999999999</v>
      </c>
      <c r="G460" s="2">
        <v>890800</v>
      </c>
      <c r="H460" s="2">
        <f t="shared" si="56"/>
        <v>2012</v>
      </c>
      <c r="I460" s="2">
        <f t="shared" si="57"/>
        <v>4</v>
      </c>
      <c r="J460" s="2">
        <f t="shared" si="58"/>
        <v>23</v>
      </c>
      <c r="K460" s="2">
        <f t="shared" si="59"/>
        <v>2</v>
      </c>
      <c r="L460" s="2">
        <f t="shared" si="60"/>
        <v>5</v>
      </c>
      <c r="M460" s="3">
        <f t="shared" si="61"/>
        <v>33.159999999999997</v>
      </c>
      <c r="N460" s="1">
        <f t="shared" ca="1" si="62"/>
        <v>33.159999999999997</v>
      </c>
      <c r="O460" s="5">
        <f t="shared" si="63"/>
        <v>-3.6791284680337655E-2</v>
      </c>
    </row>
    <row r="461" spans="1:15" s="2" customFormat="1" x14ac:dyDescent="0.5">
      <c r="A461" s="6">
        <v>41023</v>
      </c>
      <c r="B461" s="1">
        <v>31.82</v>
      </c>
      <c r="C461" s="1">
        <v>32.200001</v>
      </c>
      <c r="D461" s="1">
        <v>31</v>
      </c>
      <c r="E461" s="1">
        <v>31.82</v>
      </c>
      <c r="F461" s="1">
        <v>31.82</v>
      </c>
      <c r="G461" s="2">
        <v>674500</v>
      </c>
      <c r="H461" s="2">
        <f t="shared" si="56"/>
        <v>2012</v>
      </c>
      <c r="I461" s="2">
        <f t="shared" si="57"/>
        <v>4</v>
      </c>
      <c r="J461" s="2">
        <f t="shared" si="58"/>
        <v>24</v>
      </c>
      <c r="K461" s="2">
        <f t="shared" si="59"/>
        <v>3</v>
      </c>
      <c r="L461" s="2">
        <f t="shared" si="60"/>
        <v>5</v>
      </c>
      <c r="M461" s="3">
        <f t="shared" si="61"/>
        <v>31.940000999999999</v>
      </c>
      <c r="N461" s="1">
        <f t="shared" ca="1" si="62"/>
        <v>31.940000999999999</v>
      </c>
      <c r="O461" s="5">
        <f t="shared" si="63"/>
        <v>-3.7570756494340607E-3</v>
      </c>
    </row>
    <row r="462" spans="1:15" s="2" customFormat="1" x14ac:dyDescent="0.5">
      <c r="A462" s="6">
        <v>41024</v>
      </c>
      <c r="B462" s="1">
        <v>32.07</v>
      </c>
      <c r="C462" s="1">
        <v>32.990001999999997</v>
      </c>
      <c r="D462" s="1">
        <v>32.07</v>
      </c>
      <c r="E462" s="1">
        <v>32.909999999999997</v>
      </c>
      <c r="F462" s="1">
        <v>32.909999999999997</v>
      </c>
      <c r="G462" s="2">
        <v>712200</v>
      </c>
      <c r="H462" s="2">
        <f t="shared" si="56"/>
        <v>2012</v>
      </c>
      <c r="I462" s="2">
        <f t="shared" si="57"/>
        <v>4</v>
      </c>
      <c r="J462" s="2">
        <f t="shared" si="58"/>
        <v>25</v>
      </c>
      <c r="K462" s="2">
        <f t="shared" si="59"/>
        <v>4</v>
      </c>
      <c r="L462" s="2">
        <f t="shared" si="60"/>
        <v>5</v>
      </c>
      <c r="M462" s="3">
        <f t="shared" si="61"/>
        <v>31.82</v>
      </c>
      <c r="N462" s="1">
        <f t="shared" ca="1" si="62"/>
        <v>31.82</v>
      </c>
      <c r="O462" s="5">
        <f t="shared" si="63"/>
        <v>3.4255185417976008E-2</v>
      </c>
    </row>
    <row r="463" spans="1:15" s="2" customFormat="1" x14ac:dyDescent="0.5">
      <c r="A463" s="6">
        <v>41025</v>
      </c>
      <c r="B463" s="1">
        <v>32.959999000000003</v>
      </c>
      <c r="C463" s="1">
        <v>33.520000000000003</v>
      </c>
      <c r="D463" s="1">
        <v>32.909999999999997</v>
      </c>
      <c r="E463" s="1">
        <v>33.490001999999997</v>
      </c>
      <c r="F463" s="1">
        <v>33.490001999999997</v>
      </c>
      <c r="G463" s="2">
        <v>425300</v>
      </c>
      <c r="H463" s="2">
        <f t="shared" si="56"/>
        <v>2012</v>
      </c>
      <c r="I463" s="2">
        <f t="shared" si="57"/>
        <v>4</v>
      </c>
      <c r="J463" s="2">
        <f t="shared" si="58"/>
        <v>26</v>
      </c>
      <c r="K463" s="2">
        <f t="shared" si="59"/>
        <v>5</v>
      </c>
      <c r="L463" s="2">
        <f t="shared" si="60"/>
        <v>5</v>
      </c>
      <c r="M463" s="3">
        <f t="shared" si="61"/>
        <v>32.909999999999997</v>
      </c>
      <c r="N463" s="1">
        <f t="shared" ca="1" si="62"/>
        <v>32.909999999999997</v>
      </c>
      <c r="O463" s="5">
        <f t="shared" si="63"/>
        <v>1.7623883318140354E-2</v>
      </c>
    </row>
    <row r="464" spans="1:15" s="2" customFormat="1" x14ac:dyDescent="0.5">
      <c r="A464" s="6">
        <v>41026</v>
      </c>
      <c r="B464" s="1">
        <v>33.599997999999999</v>
      </c>
      <c r="C464" s="1">
        <v>33.630001</v>
      </c>
      <c r="D464" s="1">
        <v>32.909999999999997</v>
      </c>
      <c r="E464" s="1">
        <v>33.340000000000003</v>
      </c>
      <c r="F464" s="1">
        <v>33.340000000000003</v>
      </c>
      <c r="G464" s="2">
        <v>591000</v>
      </c>
      <c r="H464" s="2">
        <f t="shared" si="56"/>
        <v>2012</v>
      </c>
      <c r="I464" s="2">
        <f t="shared" si="57"/>
        <v>4</v>
      </c>
      <c r="J464" s="2">
        <f t="shared" si="58"/>
        <v>27</v>
      </c>
      <c r="K464" s="2">
        <f t="shared" si="59"/>
        <v>6</v>
      </c>
      <c r="L464" s="2">
        <f t="shared" si="60"/>
        <v>5</v>
      </c>
      <c r="M464" s="3">
        <f t="shared" si="61"/>
        <v>33.490001999999997</v>
      </c>
      <c r="N464" s="1">
        <f t="shared" ca="1" si="62"/>
        <v>33.490001999999997</v>
      </c>
      <c r="O464" s="5">
        <f t="shared" si="63"/>
        <v>-4.479008391817807E-3</v>
      </c>
    </row>
    <row r="465" spans="1:15" s="2" customFormat="1" x14ac:dyDescent="0.5">
      <c r="A465" s="6">
        <v>41029</v>
      </c>
      <c r="B465" s="1">
        <v>33.270000000000003</v>
      </c>
      <c r="C465" s="1">
        <v>33.360000999999997</v>
      </c>
      <c r="D465" s="1">
        <v>32.580002</v>
      </c>
      <c r="E465" s="1">
        <v>33.130001</v>
      </c>
      <c r="F465" s="1">
        <v>33.130001</v>
      </c>
      <c r="G465" s="2">
        <v>413900</v>
      </c>
      <c r="H465" s="2">
        <f t="shared" si="56"/>
        <v>2012</v>
      </c>
      <c r="I465" s="2">
        <f t="shared" si="57"/>
        <v>4</v>
      </c>
      <c r="J465" s="2">
        <f t="shared" si="58"/>
        <v>30</v>
      </c>
      <c r="K465" s="2">
        <f t="shared" si="59"/>
        <v>2</v>
      </c>
      <c r="L465" s="2">
        <f t="shared" si="60"/>
        <v>5</v>
      </c>
      <c r="M465" s="3">
        <f t="shared" si="61"/>
        <v>33.340000000000003</v>
      </c>
      <c r="N465" s="1">
        <f t="shared" ca="1" si="62"/>
        <v>33.340000000000003</v>
      </c>
      <c r="O465" s="5">
        <f t="shared" si="63"/>
        <v>-6.2987102579484811E-3</v>
      </c>
    </row>
    <row r="466" spans="1:15" s="2" customFormat="1" x14ac:dyDescent="0.5">
      <c r="A466" s="6">
        <v>41030</v>
      </c>
      <c r="B466" s="1">
        <v>33.130001</v>
      </c>
      <c r="C466" s="1">
        <v>34.209999000000003</v>
      </c>
      <c r="D466" s="1">
        <v>33.130001</v>
      </c>
      <c r="E466" s="1">
        <v>33.779998999999997</v>
      </c>
      <c r="F466" s="1">
        <v>33.779998999999997</v>
      </c>
      <c r="G466" s="2">
        <v>659000</v>
      </c>
      <c r="H466" s="2">
        <f t="shared" si="56"/>
        <v>2012</v>
      </c>
      <c r="I466" s="2">
        <f t="shared" si="57"/>
        <v>5</v>
      </c>
      <c r="J466" s="2">
        <f t="shared" si="58"/>
        <v>1</v>
      </c>
      <c r="K466" s="2">
        <f t="shared" si="59"/>
        <v>3</v>
      </c>
      <c r="L466" s="2">
        <f t="shared" si="60"/>
        <v>6</v>
      </c>
      <c r="M466" s="3">
        <f t="shared" si="61"/>
        <v>33.130001</v>
      </c>
      <c r="N466" s="1">
        <f t="shared" ca="1" si="62"/>
        <v>33.130001</v>
      </c>
      <c r="O466" s="5">
        <f t="shared" si="63"/>
        <v>1.9619619087847262E-2</v>
      </c>
    </row>
    <row r="467" spans="1:15" s="2" customFormat="1" x14ac:dyDescent="0.5">
      <c r="A467" s="6">
        <v>41031</v>
      </c>
      <c r="B467" s="1">
        <v>33.5</v>
      </c>
      <c r="C467" s="1">
        <v>34.389999000000003</v>
      </c>
      <c r="D467" s="1">
        <v>33.389999000000003</v>
      </c>
      <c r="E467" s="1">
        <v>33.939999</v>
      </c>
      <c r="F467" s="1">
        <v>33.939999</v>
      </c>
      <c r="G467" s="2">
        <v>497300</v>
      </c>
      <c r="H467" s="2">
        <f t="shared" si="56"/>
        <v>2012</v>
      </c>
      <c r="I467" s="2">
        <f t="shared" si="57"/>
        <v>5</v>
      </c>
      <c r="J467" s="2">
        <f t="shared" si="58"/>
        <v>2</v>
      </c>
      <c r="K467" s="2">
        <f t="shared" si="59"/>
        <v>4</v>
      </c>
      <c r="L467" s="2">
        <f t="shared" si="60"/>
        <v>6</v>
      </c>
      <c r="M467" s="3">
        <f t="shared" si="61"/>
        <v>33.779998999999997</v>
      </c>
      <c r="N467" s="1">
        <f t="shared" ca="1" si="62"/>
        <v>33.779998999999997</v>
      </c>
      <c r="O467" s="5">
        <f t="shared" si="63"/>
        <v>4.7365306316322631E-3</v>
      </c>
    </row>
    <row r="468" spans="1:15" s="2" customFormat="1" x14ac:dyDescent="0.5">
      <c r="A468" s="6">
        <v>41032</v>
      </c>
      <c r="B468" s="1">
        <v>33.909999999999997</v>
      </c>
      <c r="C468" s="1">
        <v>34</v>
      </c>
      <c r="D468" s="1">
        <v>32.130001</v>
      </c>
      <c r="E468" s="1">
        <v>32.459999000000003</v>
      </c>
      <c r="F468" s="1">
        <v>32.459999000000003</v>
      </c>
      <c r="G468" s="2">
        <v>841300</v>
      </c>
      <c r="H468" s="2">
        <f t="shared" si="56"/>
        <v>2012</v>
      </c>
      <c r="I468" s="2">
        <f t="shared" si="57"/>
        <v>5</v>
      </c>
      <c r="J468" s="2">
        <f t="shared" si="58"/>
        <v>3</v>
      </c>
      <c r="K468" s="2">
        <f t="shared" si="59"/>
        <v>5</v>
      </c>
      <c r="L468" s="2">
        <f t="shared" si="60"/>
        <v>6</v>
      </c>
      <c r="M468" s="3">
        <f t="shared" si="61"/>
        <v>33.939999</v>
      </c>
      <c r="N468" s="1">
        <f t="shared" ca="1" si="62"/>
        <v>33.939999</v>
      </c>
      <c r="O468" s="5">
        <f t="shared" si="63"/>
        <v>-4.3606365456875684E-2</v>
      </c>
    </row>
    <row r="469" spans="1:15" s="2" customFormat="1" x14ac:dyDescent="0.5">
      <c r="A469" s="6">
        <v>41033</v>
      </c>
      <c r="B469" s="1">
        <v>32.32</v>
      </c>
      <c r="C469" s="1">
        <v>32.459999000000003</v>
      </c>
      <c r="D469" s="1">
        <v>31.4</v>
      </c>
      <c r="E469" s="1">
        <v>31.83</v>
      </c>
      <c r="F469" s="1">
        <v>31.83</v>
      </c>
      <c r="G469" s="2">
        <v>1247500</v>
      </c>
      <c r="H469" s="2">
        <f t="shared" si="56"/>
        <v>2012</v>
      </c>
      <c r="I469" s="2">
        <f t="shared" si="57"/>
        <v>5</v>
      </c>
      <c r="J469" s="2">
        <f t="shared" si="58"/>
        <v>4</v>
      </c>
      <c r="K469" s="2">
        <f t="shared" si="59"/>
        <v>6</v>
      </c>
      <c r="L469" s="2">
        <f t="shared" si="60"/>
        <v>6</v>
      </c>
      <c r="M469" s="3">
        <f t="shared" si="61"/>
        <v>32.459999000000003</v>
      </c>
      <c r="N469" s="1">
        <f t="shared" ca="1" si="62"/>
        <v>32.459999000000003</v>
      </c>
      <c r="O469" s="5">
        <f t="shared" si="63"/>
        <v>-1.9408472563415824E-2</v>
      </c>
    </row>
    <row r="470" spans="1:15" s="2" customFormat="1" x14ac:dyDescent="0.5">
      <c r="A470" s="6">
        <v>41036</v>
      </c>
      <c r="B470" s="1">
        <v>31.959999</v>
      </c>
      <c r="C470" s="1">
        <v>32.580002</v>
      </c>
      <c r="D470" s="1">
        <v>31.610001</v>
      </c>
      <c r="E470" s="1">
        <v>32.470001000000003</v>
      </c>
      <c r="F470" s="1">
        <v>32.470001000000003</v>
      </c>
      <c r="G470" s="2">
        <v>1158000</v>
      </c>
      <c r="H470" s="2">
        <f t="shared" si="56"/>
        <v>2012</v>
      </c>
      <c r="I470" s="2">
        <f t="shared" si="57"/>
        <v>5</v>
      </c>
      <c r="J470" s="2">
        <f t="shared" si="58"/>
        <v>7</v>
      </c>
      <c r="K470" s="2">
        <f t="shared" si="59"/>
        <v>2</v>
      </c>
      <c r="L470" s="2">
        <f t="shared" si="60"/>
        <v>6</v>
      </c>
      <c r="M470" s="3">
        <f t="shared" si="61"/>
        <v>31.83</v>
      </c>
      <c r="N470" s="1">
        <f t="shared" ca="1" si="62"/>
        <v>31.83</v>
      </c>
      <c r="O470" s="5">
        <f t="shared" si="63"/>
        <v>2.0106848884700046E-2</v>
      </c>
    </row>
    <row r="471" spans="1:15" s="2" customFormat="1" x14ac:dyDescent="0.5">
      <c r="A471" s="6">
        <v>41037</v>
      </c>
      <c r="B471" s="1">
        <v>32.5</v>
      </c>
      <c r="C471" s="1">
        <v>32.729999999999997</v>
      </c>
      <c r="D471" s="1">
        <v>29.370000999999998</v>
      </c>
      <c r="E471" s="1">
        <v>30.190000999999999</v>
      </c>
      <c r="F471" s="1">
        <v>30.190000999999999</v>
      </c>
      <c r="G471" s="2">
        <v>3097200</v>
      </c>
      <c r="H471" s="2">
        <f t="shared" si="56"/>
        <v>2012</v>
      </c>
      <c r="I471" s="2">
        <f t="shared" si="57"/>
        <v>5</v>
      </c>
      <c r="J471" s="2">
        <f t="shared" si="58"/>
        <v>8</v>
      </c>
      <c r="K471" s="2">
        <f t="shared" si="59"/>
        <v>3</v>
      </c>
      <c r="L471" s="2">
        <f t="shared" si="60"/>
        <v>6</v>
      </c>
      <c r="M471" s="3">
        <f t="shared" si="61"/>
        <v>32.470001000000003</v>
      </c>
      <c r="N471" s="1">
        <f t="shared" ca="1" si="62"/>
        <v>32.470001000000003</v>
      </c>
      <c r="O471" s="5">
        <f t="shared" si="63"/>
        <v>-7.0218661219012768E-2</v>
      </c>
    </row>
    <row r="472" spans="1:15" s="2" customFormat="1" x14ac:dyDescent="0.5">
      <c r="A472" s="6">
        <v>41038</v>
      </c>
      <c r="B472" s="1">
        <v>30.299999</v>
      </c>
      <c r="C472" s="1">
        <v>30.77</v>
      </c>
      <c r="D472" s="1">
        <v>29.76</v>
      </c>
      <c r="E472" s="1">
        <v>30.059999000000001</v>
      </c>
      <c r="F472" s="1">
        <v>30.059999000000001</v>
      </c>
      <c r="G472" s="2">
        <v>1947900</v>
      </c>
      <c r="H472" s="2">
        <f t="shared" si="56"/>
        <v>2012</v>
      </c>
      <c r="I472" s="2">
        <f t="shared" si="57"/>
        <v>5</v>
      </c>
      <c r="J472" s="2">
        <f t="shared" si="58"/>
        <v>9</v>
      </c>
      <c r="K472" s="2">
        <f t="shared" si="59"/>
        <v>4</v>
      </c>
      <c r="L472" s="2">
        <f t="shared" si="60"/>
        <v>6</v>
      </c>
      <c r="M472" s="3">
        <f t="shared" si="61"/>
        <v>30.190000999999999</v>
      </c>
      <c r="N472" s="1">
        <f t="shared" ca="1" si="62"/>
        <v>30.190000999999999</v>
      </c>
      <c r="O472" s="5">
        <f t="shared" si="63"/>
        <v>-4.3061277142719678E-3</v>
      </c>
    </row>
    <row r="473" spans="1:15" s="2" customFormat="1" x14ac:dyDescent="0.5">
      <c r="A473" s="6">
        <v>41039</v>
      </c>
      <c r="B473" s="1">
        <v>32.970001000000003</v>
      </c>
      <c r="C473" s="1">
        <v>34.68</v>
      </c>
      <c r="D473" s="1">
        <v>32.400002000000001</v>
      </c>
      <c r="E473" s="1">
        <v>32.959999000000003</v>
      </c>
      <c r="F473" s="1">
        <v>32.959999000000003</v>
      </c>
      <c r="G473" s="2">
        <v>5556300</v>
      </c>
      <c r="H473" s="2">
        <f t="shared" si="56"/>
        <v>2012</v>
      </c>
      <c r="I473" s="2">
        <f t="shared" si="57"/>
        <v>5</v>
      </c>
      <c r="J473" s="2">
        <f t="shared" si="58"/>
        <v>10</v>
      </c>
      <c r="K473" s="2">
        <f t="shared" si="59"/>
        <v>5</v>
      </c>
      <c r="L473" s="2">
        <f t="shared" si="60"/>
        <v>6</v>
      </c>
      <c r="M473" s="3">
        <f t="shared" si="61"/>
        <v>30.059999000000001</v>
      </c>
      <c r="N473" s="1">
        <f t="shared" ca="1" si="62"/>
        <v>30.059999000000001</v>
      </c>
      <c r="O473" s="5">
        <f t="shared" si="63"/>
        <v>9.6473722437582232E-2</v>
      </c>
    </row>
    <row r="474" spans="1:15" s="2" customFormat="1" x14ac:dyDescent="0.5">
      <c r="A474" s="6">
        <v>41040</v>
      </c>
      <c r="B474" s="1">
        <v>32.490001999999997</v>
      </c>
      <c r="C474" s="1">
        <v>33.439999</v>
      </c>
      <c r="D474" s="1">
        <v>32.159999999999997</v>
      </c>
      <c r="E474" s="1">
        <v>32.25</v>
      </c>
      <c r="F474" s="1">
        <v>32.25</v>
      </c>
      <c r="G474" s="2">
        <v>1221300</v>
      </c>
      <c r="H474" s="2">
        <f t="shared" si="56"/>
        <v>2012</v>
      </c>
      <c r="I474" s="2">
        <f t="shared" si="57"/>
        <v>5</v>
      </c>
      <c r="J474" s="2">
        <f t="shared" si="58"/>
        <v>11</v>
      </c>
      <c r="K474" s="2">
        <f t="shared" si="59"/>
        <v>6</v>
      </c>
      <c r="L474" s="2">
        <f t="shared" si="60"/>
        <v>6</v>
      </c>
      <c r="M474" s="3">
        <f t="shared" si="61"/>
        <v>32.959999000000003</v>
      </c>
      <c r="N474" s="1">
        <f t="shared" ca="1" si="62"/>
        <v>32.959999000000003</v>
      </c>
      <c r="O474" s="5">
        <f t="shared" si="63"/>
        <v>-2.1541232449673431E-2</v>
      </c>
    </row>
    <row r="475" spans="1:15" s="2" customFormat="1" x14ac:dyDescent="0.5">
      <c r="A475" s="6">
        <v>41043</v>
      </c>
      <c r="B475" s="1">
        <v>31.92</v>
      </c>
      <c r="C475" s="1">
        <v>32.130001</v>
      </c>
      <c r="D475" s="1">
        <v>30.049999</v>
      </c>
      <c r="E475" s="1">
        <v>30.059999000000001</v>
      </c>
      <c r="F475" s="1">
        <v>30.059999000000001</v>
      </c>
      <c r="G475" s="2">
        <v>1380900</v>
      </c>
      <c r="H475" s="2">
        <f t="shared" si="56"/>
        <v>2012</v>
      </c>
      <c r="I475" s="2">
        <f t="shared" si="57"/>
        <v>5</v>
      </c>
      <c r="J475" s="2">
        <f t="shared" si="58"/>
        <v>14</v>
      </c>
      <c r="K475" s="2">
        <f t="shared" si="59"/>
        <v>2</v>
      </c>
      <c r="L475" s="2">
        <f t="shared" si="60"/>
        <v>6</v>
      </c>
      <c r="M475" s="3">
        <f t="shared" si="61"/>
        <v>32.25</v>
      </c>
      <c r="N475" s="1">
        <f t="shared" ca="1" si="62"/>
        <v>32.25</v>
      </c>
      <c r="O475" s="5">
        <f t="shared" si="63"/>
        <v>-6.790700775193792E-2</v>
      </c>
    </row>
    <row r="476" spans="1:15" s="2" customFormat="1" x14ac:dyDescent="0.5">
      <c r="A476" s="6">
        <v>41044</v>
      </c>
      <c r="B476" s="1">
        <v>30.26</v>
      </c>
      <c r="C476" s="1">
        <v>30.959999</v>
      </c>
      <c r="D476" s="1">
        <v>29.219999000000001</v>
      </c>
      <c r="E476" s="1">
        <v>29.43</v>
      </c>
      <c r="F476" s="1">
        <v>29.43</v>
      </c>
      <c r="G476" s="2">
        <v>1585700</v>
      </c>
      <c r="H476" s="2">
        <f t="shared" si="56"/>
        <v>2012</v>
      </c>
      <c r="I476" s="2">
        <f t="shared" si="57"/>
        <v>5</v>
      </c>
      <c r="J476" s="2">
        <f t="shared" si="58"/>
        <v>15</v>
      </c>
      <c r="K476" s="2">
        <f t="shared" si="59"/>
        <v>3</v>
      </c>
      <c r="L476" s="2">
        <f t="shared" si="60"/>
        <v>6</v>
      </c>
      <c r="M476" s="3">
        <f t="shared" si="61"/>
        <v>30.059999000000001</v>
      </c>
      <c r="N476" s="1">
        <f t="shared" ca="1" si="62"/>
        <v>30.059999000000001</v>
      </c>
      <c r="O476" s="5">
        <f t="shared" si="63"/>
        <v>-2.0958051262742972E-2</v>
      </c>
    </row>
    <row r="477" spans="1:15" s="2" customFormat="1" x14ac:dyDescent="0.5">
      <c r="A477" s="6">
        <v>41045</v>
      </c>
      <c r="B477" s="1">
        <v>29.58</v>
      </c>
      <c r="C477" s="1">
        <v>30.18</v>
      </c>
      <c r="D477" s="1">
        <v>28.879999000000002</v>
      </c>
      <c r="E477" s="1">
        <v>29.18</v>
      </c>
      <c r="F477" s="1">
        <v>29.18</v>
      </c>
      <c r="G477" s="2">
        <v>1257100</v>
      </c>
      <c r="H477" s="2">
        <f t="shared" si="56"/>
        <v>2012</v>
      </c>
      <c r="I477" s="2">
        <f t="shared" si="57"/>
        <v>5</v>
      </c>
      <c r="J477" s="2">
        <f t="shared" si="58"/>
        <v>16</v>
      </c>
      <c r="K477" s="2">
        <f t="shared" si="59"/>
        <v>4</v>
      </c>
      <c r="L477" s="2">
        <f t="shared" si="60"/>
        <v>6</v>
      </c>
      <c r="M477" s="3">
        <f t="shared" si="61"/>
        <v>29.43</v>
      </c>
      <c r="N477" s="1">
        <f t="shared" ca="1" si="62"/>
        <v>29.43</v>
      </c>
      <c r="O477" s="5">
        <f t="shared" si="63"/>
        <v>-8.4947332653754204E-3</v>
      </c>
    </row>
    <row r="478" spans="1:15" s="2" customFormat="1" x14ac:dyDescent="0.5">
      <c r="A478" s="6">
        <v>41046</v>
      </c>
      <c r="B478" s="1">
        <v>29.299999</v>
      </c>
      <c r="C478" s="1">
        <v>29.790001</v>
      </c>
      <c r="D478" s="1">
        <v>28.24</v>
      </c>
      <c r="E478" s="1">
        <v>28.57</v>
      </c>
      <c r="F478" s="1">
        <v>28.57</v>
      </c>
      <c r="G478" s="2">
        <v>1149000</v>
      </c>
      <c r="H478" s="2">
        <f t="shared" si="56"/>
        <v>2012</v>
      </c>
      <c r="I478" s="2">
        <f t="shared" si="57"/>
        <v>5</v>
      </c>
      <c r="J478" s="2">
        <f t="shared" si="58"/>
        <v>17</v>
      </c>
      <c r="K478" s="2">
        <f t="shared" si="59"/>
        <v>5</v>
      </c>
      <c r="L478" s="2">
        <f t="shared" si="60"/>
        <v>6</v>
      </c>
      <c r="M478" s="3">
        <f t="shared" si="61"/>
        <v>29.18</v>
      </c>
      <c r="N478" s="1">
        <f t="shared" ca="1" si="62"/>
        <v>29.18</v>
      </c>
      <c r="O478" s="5">
        <f t="shared" si="63"/>
        <v>-2.0904729266620903E-2</v>
      </c>
    </row>
    <row r="479" spans="1:15" s="2" customFormat="1" x14ac:dyDescent="0.5">
      <c r="A479" s="6">
        <v>41047</v>
      </c>
      <c r="B479" s="1">
        <v>28.370000999999998</v>
      </c>
      <c r="C479" s="1">
        <v>28.459999</v>
      </c>
      <c r="D479" s="1">
        <v>26.83</v>
      </c>
      <c r="E479" s="1">
        <v>27.559999000000001</v>
      </c>
      <c r="F479" s="1">
        <v>27.559999000000001</v>
      </c>
      <c r="G479" s="2">
        <v>1616500</v>
      </c>
      <c r="H479" s="2">
        <f t="shared" si="56"/>
        <v>2012</v>
      </c>
      <c r="I479" s="2">
        <f t="shared" si="57"/>
        <v>5</v>
      </c>
      <c r="J479" s="2">
        <f t="shared" si="58"/>
        <v>18</v>
      </c>
      <c r="K479" s="2">
        <f t="shared" si="59"/>
        <v>6</v>
      </c>
      <c r="L479" s="2">
        <f t="shared" si="60"/>
        <v>6</v>
      </c>
      <c r="M479" s="3">
        <f t="shared" si="61"/>
        <v>28.57</v>
      </c>
      <c r="N479" s="1">
        <f t="shared" ca="1" si="62"/>
        <v>28.57</v>
      </c>
      <c r="O479" s="5">
        <f t="shared" si="63"/>
        <v>-3.5351802590129489E-2</v>
      </c>
    </row>
    <row r="480" spans="1:15" s="2" customFormat="1" x14ac:dyDescent="0.5">
      <c r="A480" s="6">
        <v>41050</v>
      </c>
      <c r="B480" s="1">
        <v>27.58</v>
      </c>
      <c r="C480" s="1">
        <v>29.26</v>
      </c>
      <c r="D480" s="1">
        <v>27.120000999999998</v>
      </c>
      <c r="E480" s="1">
        <v>28.77</v>
      </c>
      <c r="F480" s="1">
        <v>28.77</v>
      </c>
      <c r="G480" s="2">
        <v>1475200</v>
      </c>
      <c r="H480" s="2">
        <f t="shared" si="56"/>
        <v>2012</v>
      </c>
      <c r="I480" s="2">
        <f t="shared" si="57"/>
        <v>5</v>
      </c>
      <c r="J480" s="2">
        <f t="shared" si="58"/>
        <v>21</v>
      </c>
      <c r="K480" s="2">
        <f t="shared" si="59"/>
        <v>2</v>
      </c>
      <c r="L480" s="2">
        <f t="shared" si="60"/>
        <v>6</v>
      </c>
      <c r="M480" s="3">
        <f t="shared" si="61"/>
        <v>27.559999000000001</v>
      </c>
      <c r="N480" s="1">
        <f t="shared" ca="1" si="62"/>
        <v>27.559999000000001</v>
      </c>
      <c r="O480" s="5">
        <f t="shared" si="63"/>
        <v>4.3904246876061093E-2</v>
      </c>
    </row>
    <row r="481" spans="1:15" s="2" customFormat="1" x14ac:dyDescent="0.5">
      <c r="A481" s="6">
        <v>41051</v>
      </c>
      <c r="B481" s="1">
        <v>30.1</v>
      </c>
      <c r="C481" s="1">
        <v>31.34</v>
      </c>
      <c r="D481" s="1">
        <v>30</v>
      </c>
      <c r="E481" s="1">
        <v>30.799999</v>
      </c>
      <c r="F481" s="1">
        <v>30.799999</v>
      </c>
      <c r="G481" s="2">
        <v>2366200</v>
      </c>
      <c r="H481" s="2">
        <f t="shared" si="56"/>
        <v>2012</v>
      </c>
      <c r="I481" s="2">
        <f t="shared" si="57"/>
        <v>5</v>
      </c>
      <c r="J481" s="2">
        <f t="shared" si="58"/>
        <v>22</v>
      </c>
      <c r="K481" s="2">
        <f t="shared" si="59"/>
        <v>3</v>
      </c>
      <c r="L481" s="2">
        <f t="shared" si="60"/>
        <v>6</v>
      </c>
      <c r="M481" s="3">
        <f t="shared" si="61"/>
        <v>28.77</v>
      </c>
      <c r="N481" s="1">
        <f t="shared" ca="1" si="62"/>
        <v>28.77</v>
      </c>
      <c r="O481" s="5">
        <f t="shared" si="63"/>
        <v>7.0559575947167108E-2</v>
      </c>
    </row>
    <row r="482" spans="1:15" s="2" customFormat="1" x14ac:dyDescent="0.5">
      <c r="A482" s="6">
        <v>41052</v>
      </c>
      <c r="B482" s="1">
        <v>30.559999000000001</v>
      </c>
      <c r="C482" s="1">
        <v>31.049999</v>
      </c>
      <c r="D482" s="1">
        <v>29.5</v>
      </c>
      <c r="E482" s="1">
        <v>31.02</v>
      </c>
      <c r="F482" s="1">
        <v>31.02</v>
      </c>
      <c r="G482" s="2">
        <v>1220400</v>
      </c>
      <c r="H482" s="2">
        <f t="shared" si="56"/>
        <v>2012</v>
      </c>
      <c r="I482" s="2">
        <f t="shared" si="57"/>
        <v>5</v>
      </c>
      <c r="J482" s="2">
        <f t="shared" si="58"/>
        <v>23</v>
      </c>
      <c r="K482" s="2">
        <f t="shared" si="59"/>
        <v>4</v>
      </c>
      <c r="L482" s="2">
        <f t="shared" si="60"/>
        <v>6</v>
      </c>
      <c r="M482" s="3">
        <f t="shared" si="61"/>
        <v>30.799999</v>
      </c>
      <c r="N482" s="1">
        <f t="shared" ca="1" si="62"/>
        <v>30.799999</v>
      </c>
      <c r="O482" s="5">
        <f t="shared" si="63"/>
        <v>7.142889842301603E-3</v>
      </c>
    </row>
    <row r="483" spans="1:15" s="2" customFormat="1" x14ac:dyDescent="0.5">
      <c r="A483" s="6">
        <v>41053</v>
      </c>
      <c r="B483" s="1">
        <v>31.25</v>
      </c>
      <c r="C483" s="1">
        <v>31.25</v>
      </c>
      <c r="D483" s="1">
        <v>29.690000999999999</v>
      </c>
      <c r="E483" s="1">
        <v>30.280000999999999</v>
      </c>
      <c r="F483" s="1">
        <v>30.280000999999999</v>
      </c>
      <c r="G483" s="2">
        <v>1075600</v>
      </c>
      <c r="H483" s="2">
        <f t="shared" si="56"/>
        <v>2012</v>
      </c>
      <c r="I483" s="2">
        <f t="shared" si="57"/>
        <v>5</v>
      </c>
      <c r="J483" s="2">
        <f t="shared" si="58"/>
        <v>24</v>
      </c>
      <c r="K483" s="2">
        <f t="shared" si="59"/>
        <v>5</v>
      </c>
      <c r="L483" s="2">
        <f t="shared" si="60"/>
        <v>6</v>
      </c>
      <c r="M483" s="3">
        <f t="shared" si="61"/>
        <v>31.02</v>
      </c>
      <c r="N483" s="1">
        <f t="shared" ca="1" si="62"/>
        <v>31.02</v>
      </c>
      <c r="O483" s="5">
        <f t="shared" si="63"/>
        <v>-2.3855544809800122E-2</v>
      </c>
    </row>
    <row r="484" spans="1:15" s="2" customFormat="1" x14ac:dyDescent="0.5">
      <c r="A484" s="6">
        <v>41054</v>
      </c>
      <c r="B484" s="1">
        <v>30.16</v>
      </c>
      <c r="C484" s="1">
        <v>30.41</v>
      </c>
      <c r="D484" s="1">
        <v>29.200001</v>
      </c>
      <c r="E484" s="1">
        <v>29.809999000000001</v>
      </c>
      <c r="F484" s="1">
        <v>29.809999000000001</v>
      </c>
      <c r="G484" s="2">
        <v>757000</v>
      </c>
      <c r="H484" s="2">
        <f t="shared" si="56"/>
        <v>2012</v>
      </c>
      <c r="I484" s="2">
        <f t="shared" si="57"/>
        <v>5</v>
      </c>
      <c r="J484" s="2">
        <f t="shared" si="58"/>
        <v>25</v>
      </c>
      <c r="K484" s="2">
        <f t="shared" si="59"/>
        <v>6</v>
      </c>
      <c r="L484" s="2">
        <f t="shared" si="60"/>
        <v>6</v>
      </c>
      <c r="M484" s="3">
        <f t="shared" si="61"/>
        <v>30.280000999999999</v>
      </c>
      <c r="N484" s="1">
        <f t="shared" ca="1" si="62"/>
        <v>30.280000999999999</v>
      </c>
      <c r="O484" s="5">
        <f t="shared" si="63"/>
        <v>-1.552186210297668E-2</v>
      </c>
    </row>
    <row r="485" spans="1:15" s="2" customFormat="1" x14ac:dyDescent="0.5">
      <c r="A485" s="6">
        <v>41058</v>
      </c>
      <c r="B485" s="1">
        <v>30.01</v>
      </c>
      <c r="C485" s="1">
        <v>31.93</v>
      </c>
      <c r="D485" s="1">
        <v>30.01</v>
      </c>
      <c r="E485" s="1">
        <v>31.690000999999999</v>
      </c>
      <c r="F485" s="1">
        <v>31.690000999999999</v>
      </c>
      <c r="G485" s="2">
        <v>1650000</v>
      </c>
      <c r="H485" s="2">
        <f t="shared" si="56"/>
        <v>2012</v>
      </c>
      <c r="I485" s="2">
        <f t="shared" si="57"/>
        <v>5</v>
      </c>
      <c r="J485" s="2">
        <f t="shared" si="58"/>
        <v>29</v>
      </c>
      <c r="K485" s="2">
        <f t="shared" si="59"/>
        <v>3</v>
      </c>
      <c r="L485" s="2">
        <f t="shared" si="60"/>
        <v>6</v>
      </c>
      <c r="M485" s="3">
        <f t="shared" si="61"/>
        <v>29.809999000000001</v>
      </c>
      <c r="N485" s="1">
        <f t="shared" ca="1" si="62"/>
        <v>29.809999000000001</v>
      </c>
      <c r="O485" s="5">
        <f t="shared" si="63"/>
        <v>6.3066154413490505E-2</v>
      </c>
    </row>
    <row r="486" spans="1:15" s="2" customFormat="1" x14ac:dyDescent="0.5">
      <c r="A486" s="6">
        <v>41059</v>
      </c>
      <c r="B486" s="1">
        <v>31.08</v>
      </c>
      <c r="C486" s="1">
        <v>31.42</v>
      </c>
      <c r="D486" s="1">
        <v>30.24</v>
      </c>
      <c r="E486" s="1">
        <v>30.41</v>
      </c>
      <c r="F486" s="1">
        <v>30.41</v>
      </c>
      <c r="G486" s="2">
        <v>1307200</v>
      </c>
      <c r="H486" s="2">
        <f t="shared" si="56"/>
        <v>2012</v>
      </c>
      <c r="I486" s="2">
        <f t="shared" si="57"/>
        <v>5</v>
      </c>
      <c r="J486" s="2">
        <f t="shared" si="58"/>
        <v>30</v>
      </c>
      <c r="K486" s="2">
        <f t="shared" si="59"/>
        <v>4</v>
      </c>
      <c r="L486" s="2">
        <f t="shared" si="60"/>
        <v>6</v>
      </c>
      <c r="M486" s="3">
        <f t="shared" si="61"/>
        <v>31.690000999999999</v>
      </c>
      <c r="N486" s="1">
        <f t="shared" ca="1" si="62"/>
        <v>31.690000999999999</v>
      </c>
      <c r="O486" s="5">
        <f t="shared" si="63"/>
        <v>-4.0391320909077821E-2</v>
      </c>
    </row>
    <row r="487" spans="1:15" s="2" customFormat="1" x14ac:dyDescent="0.5">
      <c r="A487" s="6">
        <v>41060</v>
      </c>
      <c r="B487" s="1">
        <v>30.07</v>
      </c>
      <c r="C487" s="1">
        <v>30.290001</v>
      </c>
      <c r="D487" s="1">
        <v>28.75</v>
      </c>
      <c r="E487" s="1">
        <v>29.5</v>
      </c>
      <c r="F487" s="1">
        <v>29.5</v>
      </c>
      <c r="G487" s="2">
        <v>1118700</v>
      </c>
      <c r="H487" s="2">
        <f t="shared" si="56"/>
        <v>2012</v>
      </c>
      <c r="I487" s="2">
        <f t="shared" si="57"/>
        <v>5</v>
      </c>
      <c r="J487" s="2">
        <f t="shared" si="58"/>
        <v>31</v>
      </c>
      <c r="K487" s="2">
        <f t="shared" si="59"/>
        <v>5</v>
      </c>
      <c r="L487" s="2">
        <f t="shared" si="60"/>
        <v>6</v>
      </c>
      <c r="M487" s="3">
        <f t="shared" si="61"/>
        <v>30.41</v>
      </c>
      <c r="N487" s="1">
        <f t="shared" ca="1" si="62"/>
        <v>30.41</v>
      </c>
      <c r="O487" s="5">
        <f t="shared" si="63"/>
        <v>-2.9924366984544593E-2</v>
      </c>
    </row>
    <row r="488" spans="1:15" s="2" customFormat="1" x14ac:dyDescent="0.5">
      <c r="A488" s="6">
        <v>41061</v>
      </c>
      <c r="B488" s="1">
        <v>28.530000999999999</v>
      </c>
      <c r="C488" s="1">
        <v>29.16</v>
      </c>
      <c r="D488" s="1">
        <v>27.76</v>
      </c>
      <c r="E488" s="1">
        <v>28.15</v>
      </c>
      <c r="F488" s="1">
        <v>28.15</v>
      </c>
      <c r="G488" s="2">
        <v>885800</v>
      </c>
      <c r="H488" s="2">
        <f t="shared" si="56"/>
        <v>2012</v>
      </c>
      <c r="I488" s="2">
        <f t="shared" si="57"/>
        <v>6</v>
      </c>
      <c r="J488" s="2">
        <f t="shared" si="58"/>
        <v>1</v>
      </c>
      <c r="K488" s="2">
        <f t="shared" si="59"/>
        <v>6</v>
      </c>
      <c r="L488" s="2">
        <f t="shared" si="60"/>
        <v>7</v>
      </c>
      <c r="M488" s="3">
        <f t="shared" si="61"/>
        <v>29.5</v>
      </c>
      <c r="N488" s="1">
        <f t="shared" ca="1" si="62"/>
        <v>29.5</v>
      </c>
      <c r="O488" s="5">
        <f t="shared" si="63"/>
        <v>-4.5762711864406835E-2</v>
      </c>
    </row>
    <row r="489" spans="1:15" s="2" customFormat="1" x14ac:dyDescent="0.5">
      <c r="A489" s="6">
        <v>41064</v>
      </c>
      <c r="B489" s="1">
        <v>28.030000999999999</v>
      </c>
      <c r="C489" s="1">
        <v>28.41</v>
      </c>
      <c r="D489" s="1">
        <v>27.110001</v>
      </c>
      <c r="E489" s="1">
        <v>27.879999000000002</v>
      </c>
      <c r="F489" s="1">
        <v>27.879999000000002</v>
      </c>
      <c r="G489" s="2">
        <v>1030900</v>
      </c>
      <c r="H489" s="2">
        <f t="shared" si="56"/>
        <v>2012</v>
      </c>
      <c r="I489" s="2">
        <f t="shared" si="57"/>
        <v>6</v>
      </c>
      <c r="J489" s="2">
        <f t="shared" si="58"/>
        <v>4</v>
      </c>
      <c r="K489" s="2">
        <f t="shared" si="59"/>
        <v>2</v>
      </c>
      <c r="L489" s="2">
        <f t="shared" si="60"/>
        <v>7</v>
      </c>
      <c r="M489" s="3">
        <f t="shared" si="61"/>
        <v>28.15</v>
      </c>
      <c r="N489" s="1">
        <f t="shared" ca="1" si="62"/>
        <v>28.15</v>
      </c>
      <c r="O489" s="5">
        <f t="shared" si="63"/>
        <v>-9.5915097690940643E-3</v>
      </c>
    </row>
    <row r="490" spans="1:15" s="2" customFormat="1" x14ac:dyDescent="0.5">
      <c r="A490" s="6">
        <v>41065</v>
      </c>
      <c r="B490" s="1">
        <v>27.84</v>
      </c>
      <c r="C490" s="1">
        <v>28.389999</v>
      </c>
      <c r="D490" s="1">
        <v>27.559999000000001</v>
      </c>
      <c r="E490" s="1">
        <v>27.91</v>
      </c>
      <c r="F490" s="1">
        <v>27.91</v>
      </c>
      <c r="G490" s="2">
        <v>630900</v>
      </c>
      <c r="H490" s="2">
        <f t="shared" si="56"/>
        <v>2012</v>
      </c>
      <c r="I490" s="2">
        <f t="shared" si="57"/>
        <v>6</v>
      </c>
      <c r="J490" s="2">
        <f t="shared" si="58"/>
        <v>5</v>
      </c>
      <c r="K490" s="2">
        <f t="shared" si="59"/>
        <v>3</v>
      </c>
      <c r="L490" s="2">
        <f t="shared" si="60"/>
        <v>7</v>
      </c>
      <c r="M490" s="3">
        <f t="shared" si="61"/>
        <v>27.879999000000002</v>
      </c>
      <c r="N490" s="1">
        <f t="shared" ca="1" si="62"/>
        <v>27.879999000000002</v>
      </c>
      <c r="O490" s="5">
        <f t="shared" si="63"/>
        <v>1.0760760787689172E-3</v>
      </c>
    </row>
    <row r="491" spans="1:15" s="2" customFormat="1" x14ac:dyDescent="0.5">
      <c r="A491" s="6">
        <v>41066</v>
      </c>
      <c r="B491" s="1">
        <v>28.200001</v>
      </c>
      <c r="C491" s="1">
        <v>29.450001</v>
      </c>
      <c r="D491" s="1">
        <v>28.139999</v>
      </c>
      <c r="E491" s="1">
        <v>29.219999000000001</v>
      </c>
      <c r="F491" s="1">
        <v>29.219999000000001</v>
      </c>
      <c r="G491" s="2">
        <v>909900</v>
      </c>
      <c r="H491" s="2">
        <f t="shared" si="56"/>
        <v>2012</v>
      </c>
      <c r="I491" s="2">
        <f t="shared" si="57"/>
        <v>6</v>
      </c>
      <c r="J491" s="2">
        <f t="shared" si="58"/>
        <v>6</v>
      </c>
      <c r="K491" s="2">
        <f t="shared" si="59"/>
        <v>4</v>
      </c>
      <c r="L491" s="2">
        <f t="shared" si="60"/>
        <v>7</v>
      </c>
      <c r="M491" s="3">
        <f t="shared" si="61"/>
        <v>27.91</v>
      </c>
      <c r="N491" s="1">
        <f t="shared" ca="1" si="62"/>
        <v>27.91</v>
      </c>
      <c r="O491" s="5">
        <f t="shared" si="63"/>
        <v>4.6936546040845517E-2</v>
      </c>
    </row>
    <row r="492" spans="1:15" s="2" customFormat="1" x14ac:dyDescent="0.5">
      <c r="A492" s="6">
        <v>41067</v>
      </c>
      <c r="B492" s="1">
        <v>29.809999000000001</v>
      </c>
      <c r="C492" s="1">
        <v>29.870000999999998</v>
      </c>
      <c r="D492" s="1">
        <v>28.85</v>
      </c>
      <c r="E492" s="1">
        <v>28.93</v>
      </c>
      <c r="F492" s="1">
        <v>28.93</v>
      </c>
      <c r="G492" s="2">
        <v>492100</v>
      </c>
      <c r="H492" s="2">
        <f t="shared" si="56"/>
        <v>2012</v>
      </c>
      <c r="I492" s="2">
        <f t="shared" si="57"/>
        <v>6</v>
      </c>
      <c r="J492" s="2">
        <f t="shared" si="58"/>
        <v>7</v>
      </c>
      <c r="K492" s="2">
        <f t="shared" si="59"/>
        <v>5</v>
      </c>
      <c r="L492" s="2">
        <f t="shared" si="60"/>
        <v>7</v>
      </c>
      <c r="M492" s="3">
        <f t="shared" si="61"/>
        <v>29.219999000000001</v>
      </c>
      <c r="N492" s="1">
        <f t="shared" ca="1" si="62"/>
        <v>29.219999000000001</v>
      </c>
      <c r="O492" s="5">
        <f t="shared" si="63"/>
        <v>-9.924675219872614E-3</v>
      </c>
    </row>
    <row r="493" spans="1:15" s="2" customFormat="1" x14ac:dyDescent="0.5">
      <c r="A493" s="6">
        <v>41068</v>
      </c>
      <c r="B493" s="1">
        <v>28.860001</v>
      </c>
      <c r="C493" s="1">
        <v>30.190000999999999</v>
      </c>
      <c r="D493" s="1">
        <v>28.15</v>
      </c>
      <c r="E493" s="1">
        <v>30.08</v>
      </c>
      <c r="F493" s="1">
        <v>30.08</v>
      </c>
      <c r="G493" s="2">
        <v>881100</v>
      </c>
      <c r="H493" s="2">
        <f t="shared" si="56"/>
        <v>2012</v>
      </c>
      <c r="I493" s="2">
        <f t="shared" si="57"/>
        <v>6</v>
      </c>
      <c r="J493" s="2">
        <f t="shared" si="58"/>
        <v>8</v>
      </c>
      <c r="K493" s="2">
        <f t="shared" si="59"/>
        <v>6</v>
      </c>
      <c r="L493" s="2">
        <f t="shared" si="60"/>
        <v>7</v>
      </c>
      <c r="M493" s="3">
        <f t="shared" si="61"/>
        <v>28.93</v>
      </c>
      <c r="N493" s="1">
        <f t="shared" ca="1" si="62"/>
        <v>28.93</v>
      </c>
      <c r="O493" s="5">
        <f t="shared" si="63"/>
        <v>3.9751123401313482E-2</v>
      </c>
    </row>
    <row r="494" spans="1:15" s="2" customFormat="1" x14ac:dyDescent="0.5">
      <c r="A494" s="6">
        <v>41071</v>
      </c>
      <c r="B494" s="1">
        <v>30.309999000000001</v>
      </c>
      <c r="C494" s="1">
        <v>31</v>
      </c>
      <c r="D494" s="1">
        <v>28.959999</v>
      </c>
      <c r="E494" s="1">
        <v>29.120000999999998</v>
      </c>
      <c r="F494" s="1">
        <v>29.120000999999998</v>
      </c>
      <c r="G494" s="2">
        <v>636000</v>
      </c>
      <c r="H494" s="2">
        <f t="shared" si="56"/>
        <v>2012</v>
      </c>
      <c r="I494" s="2">
        <f t="shared" si="57"/>
        <v>6</v>
      </c>
      <c r="J494" s="2">
        <f t="shared" si="58"/>
        <v>11</v>
      </c>
      <c r="K494" s="2">
        <f t="shared" si="59"/>
        <v>2</v>
      </c>
      <c r="L494" s="2">
        <f t="shared" si="60"/>
        <v>7</v>
      </c>
      <c r="M494" s="3">
        <f t="shared" si="61"/>
        <v>30.08</v>
      </c>
      <c r="N494" s="1">
        <f t="shared" ca="1" si="62"/>
        <v>30.08</v>
      </c>
      <c r="O494" s="5">
        <f t="shared" si="63"/>
        <v>-3.191486037234037E-2</v>
      </c>
    </row>
    <row r="495" spans="1:15" s="2" customFormat="1" x14ac:dyDescent="0.5">
      <c r="A495" s="6">
        <v>41072</v>
      </c>
      <c r="B495" s="1">
        <v>29.23</v>
      </c>
      <c r="C495" s="1">
        <v>29.84</v>
      </c>
      <c r="D495" s="1">
        <v>28.809999000000001</v>
      </c>
      <c r="E495" s="1">
        <v>29.66</v>
      </c>
      <c r="F495" s="1">
        <v>29.66</v>
      </c>
      <c r="G495" s="2">
        <v>569000</v>
      </c>
      <c r="H495" s="2">
        <f t="shared" si="56"/>
        <v>2012</v>
      </c>
      <c r="I495" s="2">
        <f t="shared" si="57"/>
        <v>6</v>
      </c>
      <c r="J495" s="2">
        <f t="shared" si="58"/>
        <v>12</v>
      </c>
      <c r="K495" s="2">
        <f t="shared" si="59"/>
        <v>3</v>
      </c>
      <c r="L495" s="2">
        <f t="shared" si="60"/>
        <v>7</v>
      </c>
      <c r="M495" s="3">
        <f t="shared" si="61"/>
        <v>29.120000999999998</v>
      </c>
      <c r="N495" s="1">
        <f t="shared" ca="1" si="62"/>
        <v>29.120000999999998</v>
      </c>
      <c r="O495" s="5">
        <f t="shared" si="63"/>
        <v>1.8543921066486391E-2</v>
      </c>
    </row>
    <row r="496" spans="1:15" s="2" customFormat="1" x14ac:dyDescent="0.5">
      <c r="A496" s="6">
        <v>41073</v>
      </c>
      <c r="B496" s="1">
        <v>29.549999</v>
      </c>
      <c r="C496" s="1">
        <v>30.639999</v>
      </c>
      <c r="D496" s="1">
        <v>29.469999000000001</v>
      </c>
      <c r="E496" s="1">
        <v>29.77</v>
      </c>
      <c r="F496" s="1">
        <v>29.77</v>
      </c>
      <c r="G496" s="2">
        <v>844100</v>
      </c>
      <c r="H496" s="2">
        <f t="shared" si="56"/>
        <v>2012</v>
      </c>
      <c r="I496" s="2">
        <f t="shared" si="57"/>
        <v>6</v>
      </c>
      <c r="J496" s="2">
        <f t="shared" si="58"/>
        <v>13</v>
      </c>
      <c r="K496" s="2">
        <f t="shared" si="59"/>
        <v>4</v>
      </c>
      <c r="L496" s="2">
        <f t="shared" si="60"/>
        <v>7</v>
      </c>
      <c r="M496" s="3">
        <f t="shared" si="61"/>
        <v>29.66</v>
      </c>
      <c r="N496" s="1">
        <f t="shared" ca="1" si="62"/>
        <v>29.66</v>
      </c>
      <c r="O496" s="5">
        <f t="shared" si="63"/>
        <v>3.7086985839513975E-3</v>
      </c>
    </row>
    <row r="497" spans="1:15" s="2" customFormat="1" x14ac:dyDescent="0.5">
      <c r="A497" s="6">
        <v>41074</v>
      </c>
      <c r="B497" s="1">
        <v>30.18</v>
      </c>
      <c r="C497" s="1">
        <v>30.65</v>
      </c>
      <c r="D497" s="1">
        <v>28.620000999999998</v>
      </c>
      <c r="E497" s="1">
        <v>29.389999</v>
      </c>
      <c r="F497" s="1">
        <v>29.389999</v>
      </c>
      <c r="G497" s="2">
        <v>872200</v>
      </c>
      <c r="H497" s="2">
        <f t="shared" si="56"/>
        <v>2012</v>
      </c>
      <c r="I497" s="2">
        <f t="shared" si="57"/>
        <v>6</v>
      </c>
      <c r="J497" s="2">
        <f t="shared" si="58"/>
        <v>14</v>
      </c>
      <c r="K497" s="2">
        <f t="shared" si="59"/>
        <v>5</v>
      </c>
      <c r="L497" s="2">
        <f t="shared" si="60"/>
        <v>7</v>
      </c>
      <c r="M497" s="3">
        <f t="shared" si="61"/>
        <v>29.77</v>
      </c>
      <c r="N497" s="1">
        <f t="shared" ca="1" si="62"/>
        <v>29.77</v>
      </c>
      <c r="O497" s="5">
        <f t="shared" si="63"/>
        <v>-1.2764561639234118E-2</v>
      </c>
    </row>
    <row r="498" spans="1:15" s="2" customFormat="1" x14ac:dyDescent="0.5">
      <c r="A498" s="6">
        <v>41075</v>
      </c>
      <c r="B498" s="1">
        <v>29.389999</v>
      </c>
      <c r="C498" s="1">
        <v>29.950001</v>
      </c>
      <c r="D498" s="1">
        <v>28.809999000000001</v>
      </c>
      <c r="E498" s="1">
        <v>29.91</v>
      </c>
      <c r="F498" s="1">
        <v>29.91</v>
      </c>
      <c r="G498" s="2">
        <v>646800</v>
      </c>
      <c r="H498" s="2">
        <f t="shared" si="56"/>
        <v>2012</v>
      </c>
      <c r="I498" s="2">
        <f t="shared" si="57"/>
        <v>6</v>
      </c>
      <c r="J498" s="2">
        <f t="shared" si="58"/>
        <v>15</v>
      </c>
      <c r="K498" s="2">
        <f t="shared" si="59"/>
        <v>6</v>
      </c>
      <c r="L498" s="2">
        <f t="shared" si="60"/>
        <v>7</v>
      </c>
      <c r="M498" s="3">
        <f t="shared" si="61"/>
        <v>29.389999</v>
      </c>
      <c r="N498" s="1">
        <f t="shared" ca="1" si="62"/>
        <v>29.389999</v>
      </c>
      <c r="O498" s="5">
        <f t="shared" si="63"/>
        <v>1.769312751592822E-2</v>
      </c>
    </row>
    <row r="499" spans="1:15" s="2" customFormat="1" x14ac:dyDescent="0.5">
      <c r="A499" s="6">
        <v>41078</v>
      </c>
      <c r="B499" s="1">
        <v>29.940000999999999</v>
      </c>
      <c r="C499" s="1">
        <v>32.330002</v>
      </c>
      <c r="D499" s="1">
        <v>29.5</v>
      </c>
      <c r="E499" s="1">
        <v>31.84</v>
      </c>
      <c r="F499" s="1">
        <v>31.84</v>
      </c>
      <c r="G499" s="2">
        <v>1256800</v>
      </c>
      <c r="H499" s="2">
        <f t="shared" si="56"/>
        <v>2012</v>
      </c>
      <c r="I499" s="2">
        <f t="shared" si="57"/>
        <v>6</v>
      </c>
      <c r="J499" s="2">
        <f t="shared" si="58"/>
        <v>18</v>
      </c>
      <c r="K499" s="2">
        <f t="shared" si="59"/>
        <v>2</v>
      </c>
      <c r="L499" s="2">
        <f t="shared" si="60"/>
        <v>7</v>
      </c>
      <c r="M499" s="3">
        <f t="shared" si="61"/>
        <v>29.91</v>
      </c>
      <c r="N499" s="1">
        <f t="shared" ca="1" si="62"/>
        <v>29.91</v>
      </c>
      <c r="O499" s="5">
        <f t="shared" si="63"/>
        <v>6.4526914075559993E-2</v>
      </c>
    </row>
    <row r="500" spans="1:15" s="2" customFormat="1" x14ac:dyDescent="0.5">
      <c r="A500" s="6">
        <v>41079</v>
      </c>
      <c r="B500" s="1">
        <v>32.020000000000003</v>
      </c>
      <c r="C500" s="1">
        <v>32.659999999999997</v>
      </c>
      <c r="D500" s="1">
        <v>31.5</v>
      </c>
      <c r="E500" s="1">
        <v>32.090000000000003</v>
      </c>
      <c r="F500" s="1">
        <v>32.090000000000003</v>
      </c>
      <c r="G500" s="2">
        <v>911100</v>
      </c>
      <c r="H500" s="2">
        <f t="shared" si="56"/>
        <v>2012</v>
      </c>
      <c r="I500" s="2">
        <f t="shared" si="57"/>
        <v>6</v>
      </c>
      <c r="J500" s="2">
        <f t="shared" si="58"/>
        <v>19</v>
      </c>
      <c r="K500" s="2">
        <f t="shared" si="59"/>
        <v>3</v>
      </c>
      <c r="L500" s="2">
        <f t="shared" si="60"/>
        <v>7</v>
      </c>
      <c r="M500" s="3">
        <f t="shared" si="61"/>
        <v>31.84</v>
      </c>
      <c r="N500" s="1">
        <f t="shared" ca="1" si="62"/>
        <v>31.84</v>
      </c>
      <c r="O500" s="5">
        <f t="shared" si="63"/>
        <v>7.8517587939699318E-3</v>
      </c>
    </row>
    <row r="501" spans="1:15" s="2" customFormat="1" x14ac:dyDescent="0.5">
      <c r="A501" s="6">
        <v>41080</v>
      </c>
      <c r="B501" s="1">
        <v>33.5</v>
      </c>
      <c r="C501" s="1">
        <v>34.5</v>
      </c>
      <c r="D501" s="1">
        <v>33.209999000000003</v>
      </c>
      <c r="E501" s="1">
        <v>33.779998999999997</v>
      </c>
      <c r="F501" s="1">
        <v>33.779998999999997</v>
      </c>
      <c r="G501" s="2">
        <v>3422400</v>
      </c>
      <c r="H501" s="2">
        <f t="shared" si="56"/>
        <v>2012</v>
      </c>
      <c r="I501" s="2">
        <f t="shared" si="57"/>
        <v>6</v>
      </c>
      <c r="J501" s="2">
        <f t="shared" si="58"/>
        <v>20</v>
      </c>
      <c r="K501" s="2">
        <f t="shared" si="59"/>
        <v>4</v>
      </c>
      <c r="L501" s="2">
        <f t="shared" si="60"/>
        <v>7</v>
      </c>
      <c r="M501" s="3">
        <f t="shared" si="61"/>
        <v>32.090000000000003</v>
      </c>
      <c r="N501" s="1">
        <f t="shared" ca="1" si="62"/>
        <v>32.090000000000003</v>
      </c>
      <c r="O501" s="5">
        <f t="shared" si="63"/>
        <v>5.2664350264879811E-2</v>
      </c>
    </row>
    <row r="502" spans="1:15" s="2" customFormat="1" x14ac:dyDescent="0.5">
      <c r="A502" s="6">
        <v>41081</v>
      </c>
      <c r="B502" s="1">
        <v>34.259998000000003</v>
      </c>
      <c r="C502" s="1">
        <v>34.279998999999997</v>
      </c>
      <c r="D502" s="1">
        <v>31.84</v>
      </c>
      <c r="E502" s="1">
        <v>32.189999</v>
      </c>
      <c r="F502" s="1">
        <v>32.189999</v>
      </c>
      <c r="G502" s="2">
        <v>1891900</v>
      </c>
      <c r="H502" s="2">
        <f t="shared" si="56"/>
        <v>2012</v>
      </c>
      <c r="I502" s="2">
        <f t="shared" si="57"/>
        <v>6</v>
      </c>
      <c r="J502" s="2">
        <f t="shared" si="58"/>
        <v>21</v>
      </c>
      <c r="K502" s="2">
        <f t="shared" si="59"/>
        <v>5</v>
      </c>
      <c r="L502" s="2">
        <f t="shared" si="60"/>
        <v>7</v>
      </c>
      <c r="M502" s="3">
        <f t="shared" si="61"/>
        <v>33.779998999999997</v>
      </c>
      <c r="N502" s="1">
        <f t="shared" ca="1" si="62"/>
        <v>33.779998999999997</v>
      </c>
      <c r="O502" s="5">
        <f t="shared" si="63"/>
        <v>-4.7069273151843394E-2</v>
      </c>
    </row>
    <row r="503" spans="1:15" s="2" customFormat="1" x14ac:dyDescent="0.5">
      <c r="A503" s="6">
        <v>41082</v>
      </c>
      <c r="B503" s="1">
        <v>32.599997999999999</v>
      </c>
      <c r="C503" s="1">
        <v>33.979999999999997</v>
      </c>
      <c r="D503" s="1">
        <v>32.459999000000003</v>
      </c>
      <c r="E503" s="1">
        <v>33.790000999999997</v>
      </c>
      <c r="F503" s="1">
        <v>33.790000999999997</v>
      </c>
      <c r="G503" s="2">
        <v>3046600</v>
      </c>
      <c r="H503" s="2">
        <f t="shared" si="56"/>
        <v>2012</v>
      </c>
      <c r="I503" s="2">
        <f t="shared" si="57"/>
        <v>6</v>
      </c>
      <c r="J503" s="2">
        <f t="shared" si="58"/>
        <v>22</v>
      </c>
      <c r="K503" s="2">
        <f t="shared" si="59"/>
        <v>6</v>
      </c>
      <c r="L503" s="2">
        <f t="shared" si="60"/>
        <v>7</v>
      </c>
      <c r="M503" s="3">
        <f t="shared" si="61"/>
        <v>32.189999</v>
      </c>
      <c r="N503" s="1">
        <f t="shared" ca="1" si="62"/>
        <v>32.189999</v>
      </c>
      <c r="O503" s="5">
        <f t="shared" si="63"/>
        <v>4.9704940966291966E-2</v>
      </c>
    </row>
    <row r="504" spans="1:15" s="2" customFormat="1" x14ac:dyDescent="0.5">
      <c r="A504" s="6">
        <v>41085</v>
      </c>
      <c r="B504" s="1">
        <v>33.939999</v>
      </c>
      <c r="C504" s="1">
        <v>34.119999</v>
      </c>
      <c r="D504" s="1">
        <v>32.75</v>
      </c>
      <c r="E504" s="1">
        <v>33.110000999999997</v>
      </c>
      <c r="F504" s="1">
        <v>33.110000999999997</v>
      </c>
      <c r="G504" s="2">
        <v>1498500</v>
      </c>
      <c r="H504" s="2">
        <f t="shared" si="56"/>
        <v>2012</v>
      </c>
      <c r="I504" s="2">
        <f t="shared" si="57"/>
        <v>6</v>
      </c>
      <c r="J504" s="2">
        <f t="shared" si="58"/>
        <v>25</v>
      </c>
      <c r="K504" s="2">
        <f t="shared" si="59"/>
        <v>2</v>
      </c>
      <c r="L504" s="2">
        <f t="shared" si="60"/>
        <v>7</v>
      </c>
      <c r="M504" s="3">
        <f t="shared" si="61"/>
        <v>33.790000999999997</v>
      </c>
      <c r="N504" s="1">
        <f t="shared" ca="1" si="62"/>
        <v>33.790000999999997</v>
      </c>
      <c r="O504" s="5">
        <f t="shared" si="63"/>
        <v>-2.0124296533758579E-2</v>
      </c>
    </row>
    <row r="505" spans="1:15" s="2" customFormat="1" x14ac:dyDescent="0.5">
      <c r="A505" s="6">
        <v>41086</v>
      </c>
      <c r="B505" s="1">
        <v>32.049999</v>
      </c>
      <c r="C505" s="1">
        <v>32.349997999999999</v>
      </c>
      <c r="D505" s="1">
        <v>31.389999</v>
      </c>
      <c r="E505" s="1">
        <v>31.610001</v>
      </c>
      <c r="F505" s="1">
        <v>31.610001</v>
      </c>
      <c r="G505" s="2">
        <v>2613900</v>
      </c>
      <c r="H505" s="2">
        <f t="shared" si="56"/>
        <v>2012</v>
      </c>
      <c r="I505" s="2">
        <f t="shared" si="57"/>
        <v>6</v>
      </c>
      <c r="J505" s="2">
        <f t="shared" si="58"/>
        <v>26</v>
      </c>
      <c r="K505" s="2">
        <f t="shared" si="59"/>
        <v>3</v>
      </c>
      <c r="L505" s="2">
        <f t="shared" si="60"/>
        <v>7</v>
      </c>
      <c r="M505" s="3">
        <f t="shared" si="61"/>
        <v>33.110000999999997</v>
      </c>
      <c r="N505" s="1">
        <f t="shared" ca="1" si="62"/>
        <v>33.110000999999997</v>
      </c>
      <c r="O505" s="5">
        <f t="shared" si="63"/>
        <v>-4.5303532307353178E-2</v>
      </c>
    </row>
    <row r="506" spans="1:15" s="2" customFormat="1" x14ac:dyDescent="0.5">
      <c r="A506" s="6">
        <v>41087</v>
      </c>
      <c r="B506" s="1">
        <v>31.9</v>
      </c>
      <c r="C506" s="1">
        <v>32.450001</v>
      </c>
      <c r="D506" s="1">
        <v>31.57</v>
      </c>
      <c r="E506" s="1">
        <v>31.959999</v>
      </c>
      <c r="F506" s="1">
        <v>31.959999</v>
      </c>
      <c r="G506" s="2">
        <v>1047200</v>
      </c>
      <c r="H506" s="2">
        <f t="shared" si="56"/>
        <v>2012</v>
      </c>
      <c r="I506" s="2">
        <f t="shared" si="57"/>
        <v>6</v>
      </c>
      <c r="J506" s="2">
        <f t="shared" si="58"/>
        <v>27</v>
      </c>
      <c r="K506" s="2">
        <f t="shared" si="59"/>
        <v>4</v>
      </c>
      <c r="L506" s="2">
        <f t="shared" si="60"/>
        <v>7</v>
      </c>
      <c r="M506" s="3">
        <f t="shared" si="61"/>
        <v>31.610001</v>
      </c>
      <c r="N506" s="1">
        <f t="shared" ca="1" si="62"/>
        <v>31.610001</v>
      </c>
      <c r="O506" s="5">
        <f t="shared" si="63"/>
        <v>1.1072381807263998E-2</v>
      </c>
    </row>
    <row r="507" spans="1:15" s="2" customFormat="1" x14ac:dyDescent="0.5">
      <c r="A507" s="6">
        <v>41088</v>
      </c>
      <c r="B507" s="1">
        <v>31.9</v>
      </c>
      <c r="C507" s="1">
        <v>32.110000999999997</v>
      </c>
      <c r="D507" s="1">
        <v>30.620000999999998</v>
      </c>
      <c r="E507" s="1">
        <v>31.41</v>
      </c>
      <c r="F507" s="1">
        <v>31.41</v>
      </c>
      <c r="G507" s="2">
        <v>914100</v>
      </c>
      <c r="H507" s="2">
        <f t="shared" si="56"/>
        <v>2012</v>
      </c>
      <c r="I507" s="2">
        <f t="shared" si="57"/>
        <v>6</v>
      </c>
      <c r="J507" s="2">
        <f t="shared" si="58"/>
        <v>28</v>
      </c>
      <c r="K507" s="2">
        <f t="shared" si="59"/>
        <v>5</v>
      </c>
      <c r="L507" s="2">
        <f t="shared" si="60"/>
        <v>7</v>
      </c>
      <c r="M507" s="3">
        <f t="shared" si="61"/>
        <v>31.959999</v>
      </c>
      <c r="N507" s="1">
        <f t="shared" ca="1" si="62"/>
        <v>31.959999</v>
      </c>
      <c r="O507" s="5">
        <f t="shared" si="63"/>
        <v>-1.7208980513422456E-2</v>
      </c>
    </row>
    <row r="508" spans="1:15" s="2" customFormat="1" x14ac:dyDescent="0.5">
      <c r="A508" s="6">
        <v>41089</v>
      </c>
      <c r="B508" s="1">
        <v>32.799999</v>
      </c>
      <c r="C508" s="1">
        <v>32.799999</v>
      </c>
      <c r="D508" s="1">
        <v>31</v>
      </c>
      <c r="E508" s="1">
        <v>31.290001</v>
      </c>
      <c r="F508" s="1">
        <v>31.290001</v>
      </c>
      <c r="G508" s="2">
        <v>1125800</v>
      </c>
      <c r="H508" s="2">
        <f t="shared" si="56"/>
        <v>2012</v>
      </c>
      <c r="I508" s="2">
        <f t="shared" si="57"/>
        <v>6</v>
      </c>
      <c r="J508" s="2">
        <f t="shared" si="58"/>
        <v>29</v>
      </c>
      <c r="K508" s="2">
        <f t="shared" si="59"/>
        <v>6</v>
      </c>
      <c r="L508" s="2">
        <f t="shared" si="60"/>
        <v>7</v>
      </c>
      <c r="M508" s="3">
        <f t="shared" si="61"/>
        <v>31.41</v>
      </c>
      <c r="N508" s="1">
        <f t="shared" ca="1" si="62"/>
        <v>31.41</v>
      </c>
      <c r="O508" s="5">
        <f t="shared" si="63"/>
        <v>-3.8204075135307436E-3</v>
      </c>
    </row>
    <row r="509" spans="1:15" s="2" customFormat="1" x14ac:dyDescent="0.5">
      <c r="A509" s="6">
        <v>41092</v>
      </c>
      <c r="B509" s="1">
        <v>31.35</v>
      </c>
      <c r="C509" s="1">
        <v>31.799999</v>
      </c>
      <c r="D509" s="1">
        <v>30.190000999999999</v>
      </c>
      <c r="E509" s="1">
        <v>30.4</v>
      </c>
      <c r="F509" s="1">
        <v>30.4</v>
      </c>
      <c r="G509" s="2">
        <v>1315600</v>
      </c>
      <c r="H509" s="2">
        <f t="shared" si="56"/>
        <v>2012</v>
      </c>
      <c r="I509" s="2">
        <f t="shared" si="57"/>
        <v>7</v>
      </c>
      <c r="J509" s="2">
        <f t="shared" si="58"/>
        <v>2</v>
      </c>
      <c r="K509" s="2">
        <f t="shared" si="59"/>
        <v>2</v>
      </c>
      <c r="L509" s="2">
        <f t="shared" si="60"/>
        <v>8</v>
      </c>
      <c r="M509" s="3">
        <f t="shared" si="61"/>
        <v>31.290001</v>
      </c>
      <c r="N509" s="1">
        <f t="shared" ca="1" si="62"/>
        <v>31.290001</v>
      </c>
      <c r="O509" s="5">
        <f t="shared" si="63"/>
        <v>-2.8443623252041528E-2</v>
      </c>
    </row>
    <row r="510" spans="1:15" s="2" customFormat="1" x14ac:dyDescent="0.5">
      <c r="A510" s="6">
        <v>41093</v>
      </c>
      <c r="B510" s="1">
        <v>30.6</v>
      </c>
      <c r="C510" s="1">
        <v>31</v>
      </c>
      <c r="D510" s="1">
        <v>30.4</v>
      </c>
      <c r="E510" s="1">
        <v>30.66</v>
      </c>
      <c r="F510" s="1">
        <v>30.66</v>
      </c>
      <c r="G510" s="2">
        <v>947000</v>
      </c>
      <c r="H510" s="2">
        <f t="shared" si="56"/>
        <v>2012</v>
      </c>
      <c r="I510" s="2">
        <f t="shared" si="57"/>
        <v>7</v>
      </c>
      <c r="J510" s="2">
        <f t="shared" si="58"/>
        <v>3</v>
      </c>
      <c r="K510" s="2">
        <f t="shared" si="59"/>
        <v>3</v>
      </c>
      <c r="L510" s="2">
        <f t="shared" si="60"/>
        <v>8</v>
      </c>
      <c r="M510" s="3">
        <f t="shared" si="61"/>
        <v>30.4</v>
      </c>
      <c r="N510" s="1">
        <f t="shared" ca="1" si="62"/>
        <v>30.4</v>
      </c>
      <c r="O510" s="5">
        <f t="shared" si="63"/>
        <v>8.5526315789474783E-3</v>
      </c>
    </row>
    <row r="511" spans="1:15" s="2" customFormat="1" x14ac:dyDescent="0.5">
      <c r="A511" s="6">
        <v>41095</v>
      </c>
      <c r="B511" s="1">
        <v>30.809999000000001</v>
      </c>
      <c r="C511" s="1">
        <v>31.67</v>
      </c>
      <c r="D511" s="1">
        <v>30.799999</v>
      </c>
      <c r="E511" s="1">
        <v>31.23</v>
      </c>
      <c r="F511" s="1">
        <v>31.23</v>
      </c>
      <c r="G511" s="2">
        <v>1253800</v>
      </c>
      <c r="H511" s="2">
        <f t="shared" si="56"/>
        <v>2012</v>
      </c>
      <c r="I511" s="2">
        <f t="shared" si="57"/>
        <v>7</v>
      </c>
      <c r="J511" s="2">
        <f t="shared" si="58"/>
        <v>5</v>
      </c>
      <c r="K511" s="2">
        <f t="shared" si="59"/>
        <v>5</v>
      </c>
      <c r="L511" s="2">
        <f t="shared" si="60"/>
        <v>8</v>
      </c>
      <c r="M511" s="3">
        <f t="shared" si="61"/>
        <v>30.66</v>
      </c>
      <c r="N511" s="1">
        <f t="shared" ca="1" si="62"/>
        <v>30.66</v>
      </c>
      <c r="O511" s="5">
        <f t="shared" si="63"/>
        <v>1.8590998043052753E-2</v>
      </c>
    </row>
    <row r="512" spans="1:15" s="2" customFormat="1" x14ac:dyDescent="0.5">
      <c r="A512" s="6">
        <v>41096</v>
      </c>
      <c r="B512" s="1">
        <v>30.99</v>
      </c>
      <c r="C512" s="1">
        <v>31.73</v>
      </c>
      <c r="D512" s="1">
        <v>30.799999</v>
      </c>
      <c r="E512" s="1">
        <v>30.99</v>
      </c>
      <c r="F512" s="1">
        <v>30.99</v>
      </c>
      <c r="G512" s="2">
        <v>784500</v>
      </c>
      <c r="H512" s="2">
        <f t="shared" si="56"/>
        <v>2012</v>
      </c>
      <c r="I512" s="2">
        <f t="shared" si="57"/>
        <v>7</v>
      </c>
      <c r="J512" s="2">
        <f t="shared" si="58"/>
        <v>6</v>
      </c>
      <c r="K512" s="2">
        <f t="shared" si="59"/>
        <v>6</v>
      </c>
      <c r="L512" s="2">
        <f t="shared" si="60"/>
        <v>8</v>
      </c>
      <c r="M512" s="3">
        <f t="shared" si="61"/>
        <v>31.23</v>
      </c>
      <c r="N512" s="1">
        <f t="shared" ca="1" si="62"/>
        <v>31.23</v>
      </c>
      <c r="O512" s="5">
        <f t="shared" si="63"/>
        <v>-7.684918347742653E-3</v>
      </c>
    </row>
    <row r="513" spans="1:15" s="2" customFormat="1" x14ac:dyDescent="0.5">
      <c r="A513" s="6">
        <v>41099</v>
      </c>
      <c r="B513" s="1">
        <v>30.940000999999999</v>
      </c>
      <c r="C513" s="1">
        <v>31.83</v>
      </c>
      <c r="D513" s="1">
        <v>30.67</v>
      </c>
      <c r="E513" s="1">
        <v>31.49</v>
      </c>
      <c r="F513" s="1">
        <v>31.49</v>
      </c>
      <c r="G513" s="2">
        <v>910500</v>
      </c>
      <c r="H513" s="2">
        <f t="shared" si="56"/>
        <v>2012</v>
      </c>
      <c r="I513" s="2">
        <f t="shared" si="57"/>
        <v>7</v>
      </c>
      <c r="J513" s="2">
        <f t="shared" si="58"/>
        <v>9</v>
      </c>
      <c r="K513" s="2">
        <f t="shared" si="59"/>
        <v>2</v>
      </c>
      <c r="L513" s="2">
        <f t="shared" si="60"/>
        <v>8</v>
      </c>
      <c r="M513" s="3">
        <f t="shared" si="61"/>
        <v>30.99</v>
      </c>
      <c r="N513" s="1">
        <f t="shared" ca="1" si="62"/>
        <v>30.99</v>
      </c>
      <c r="O513" s="5">
        <f t="shared" si="63"/>
        <v>1.6134236850597006E-2</v>
      </c>
    </row>
    <row r="514" spans="1:15" s="2" customFormat="1" x14ac:dyDescent="0.5">
      <c r="A514" s="6">
        <v>41100</v>
      </c>
      <c r="B514" s="1">
        <v>31.540001</v>
      </c>
      <c r="C514" s="1">
        <v>32.479999999999997</v>
      </c>
      <c r="D514" s="1">
        <v>30.889999</v>
      </c>
      <c r="E514" s="1">
        <v>31.27</v>
      </c>
      <c r="F514" s="1">
        <v>31.27</v>
      </c>
      <c r="G514" s="2">
        <v>758400</v>
      </c>
      <c r="H514" s="2">
        <f t="shared" ref="H514:H577" si="64">YEAR(A514)</f>
        <v>2012</v>
      </c>
      <c r="I514" s="2">
        <f t="shared" ref="I514:I577" si="65">MONTH(A514)</f>
        <v>7</v>
      </c>
      <c r="J514" s="2">
        <f t="shared" ref="J514:J577" si="66">DAY(A514)</f>
        <v>10</v>
      </c>
      <c r="K514" s="2">
        <f t="shared" ref="K514:K577" si="67">WEEKDAY(A514)</f>
        <v>3</v>
      </c>
      <c r="L514" s="2">
        <f t="shared" si="60"/>
        <v>8</v>
      </c>
      <c r="M514" s="3">
        <f t="shared" si="61"/>
        <v>31.49</v>
      </c>
      <c r="N514" s="1">
        <f t="shared" ca="1" si="62"/>
        <v>31.49</v>
      </c>
      <c r="O514" s="5">
        <f t="shared" si="63"/>
        <v>-6.9863448713877174E-3</v>
      </c>
    </row>
    <row r="515" spans="1:15" s="2" customFormat="1" x14ac:dyDescent="0.5">
      <c r="A515" s="6">
        <v>41101</v>
      </c>
      <c r="B515" s="1">
        <v>31.57</v>
      </c>
      <c r="C515" s="1">
        <v>31.68</v>
      </c>
      <c r="D515" s="1">
        <v>31.01</v>
      </c>
      <c r="E515" s="1">
        <v>31.51</v>
      </c>
      <c r="F515" s="1">
        <v>31.51</v>
      </c>
      <c r="G515" s="2">
        <v>638600</v>
      </c>
      <c r="H515" s="2">
        <f t="shared" si="64"/>
        <v>2012</v>
      </c>
      <c r="I515" s="2">
        <f t="shared" si="65"/>
        <v>7</v>
      </c>
      <c r="J515" s="2">
        <f t="shared" si="66"/>
        <v>11</v>
      </c>
      <c r="K515" s="2">
        <f t="shared" si="67"/>
        <v>4</v>
      </c>
      <c r="L515" s="2">
        <f t="shared" ref="L515:L578" si="68">I515+1</f>
        <v>8</v>
      </c>
      <c r="M515" s="3">
        <f t="shared" ref="M515:M578" si="69">F514</f>
        <v>31.27</v>
      </c>
      <c r="N515" s="1">
        <f t="shared" ref="N515:N578" ca="1" si="70">OFFSET(F515, -1, 0)</f>
        <v>31.27</v>
      </c>
      <c r="O515" s="5">
        <f t="shared" ref="O515:O578" si="71">(F515/M515)-1</f>
        <v>7.6750879437161856E-3</v>
      </c>
    </row>
    <row r="516" spans="1:15" s="2" customFormat="1" x14ac:dyDescent="0.5">
      <c r="A516" s="6">
        <v>41102</v>
      </c>
      <c r="B516" s="1">
        <v>31.290001</v>
      </c>
      <c r="C516" s="1">
        <v>33.009998000000003</v>
      </c>
      <c r="D516" s="1">
        <v>30.799999</v>
      </c>
      <c r="E516" s="1">
        <v>32.700001</v>
      </c>
      <c r="F516" s="1">
        <v>32.700001</v>
      </c>
      <c r="G516" s="2">
        <v>1125700</v>
      </c>
      <c r="H516" s="2">
        <f t="shared" si="64"/>
        <v>2012</v>
      </c>
      <c r="I516" s="2">
        <f t="shared" si="65"/>
        <v>7</v>
      </c>
      <c r="J516" s="2">
        <f t="shared" si="66"/>
        <v>12</v>
      </c>
      <c r="K516" s="2">
        <f t="shared" si="67"/>
        <v>5</v>
      </c>
      <c r="L516" s="2">
        <f t="shared" si="68"/>
        <v>8</v>
      </c>
      <c r="M516" s="3">
        <f t="shared" si="69"/>
        <v>31.51</v>
      </c>
      <c r="N516" s="1">
        <f t="shared" ca="1" si="70"/>
        <v>31.51</v>
      </c>
      <c r="O516" s="5">
        <f t="shared" si="71"/>
        <v>3.7765820374484171E-2</v>
      </c>
    </row>
    <row r="517" spans="1:15" s="2" customFormat="1" x14ac:dyDescent="0.5">
      <c r="A517" s="6">
        <v>41103</v>
      </c>
      <c r="B517" s="1">
        <v>32.970001000000003</v>
      </c>
      <c r="C517" s="1">
        <v>34.400002000000001</v>
      </c>
      <c r="D517" s="1">
        <v>32.830002</v>
      </c>
      <c r="E517" s="1">
        <v>34.25</v>
      </c>
      <c r="F517" s="1">
        <v>34.25</v>
      </c>
      <c r="G517" s="2">
        <v>1304800</v>
      </c>
      <c r="H517" s="2">
        <f t="shared" si="64"/>
        <v>2012</v>
      </c>
      <c r="I517" s="2">
        <f t="shared" si="65"/>
        <v>7</v>
      </c>
      <c r="J517" s="2">
        <f t="shared" si="66"/>
        <v>13</v>
      </c>
      <c r="K517" s="2">
        <f t="shared" si="67"/>
        <v>6</v>
      </c>
      <c r="L517" s="2">
        <f t="shared" si="68"/>
        <v>8</v>
      </c>
      <c r="M517" s="3">
        <f t="shared" si="69"/>
        <v>32.700001</v>
      </c>
      <c r="N517" s="1">
        <f t="shared" ca="1" si="70"/>
        <v>32.700001</v>
      </c>
      <c r="O517" s="5">
        <f t="shared" si="71"/>
        <v>4.740057959019639E-2</v>
      </c>
    </row>
    <row r="518" spans="1:15" s="2" customFormat="1" x14ac:dyDescent="0.5">
      <c r="A518" s="6">
        <v>41106</v>
      </c>
      <c r="B518" s="1">
        <v>34.32</v>
      </c>
      <c r="C518" s="1">
        <v>36</v>
      </c>
      <c r="D518" s="1">
        <v>33.900002000000001</v>
      </c>
      <c r="E518" s="1">
        <v>35.959999000000003</v>
      </c>
      <c r="F518" s="1">
        <v>35.959999000000003</v>
      </c>
      <c r="G518" s="2">
        <v>1744000</v>
      </c>
      <c r="H518" s="2">
        <f t="shared" si="64"/>
        <v>2012</v>
      </c>
      <c r="I518" s="2">
        <f t="shared" si="65"/>
        <v>7</v>
      </c>
      <c r="J518" s="2">
        <f t="shared" si="66"/>
        <v>16</v>
      </c>
      <c r="K518" s="2">
        <f t="shared" si="67"/>
        <v>2</v>
      </c>
      <c r="L518" s="2">
        <f t="shared" si="68"/>
        <v>8</v>
      </c>
      <c r="M518" s="3">
        <f t="shared" si="69"/>
        <v>34.25</v>
      </c>
      <c r="N518" s="1">
        <f t="shared" ca="1" si="70"/>
        <v>34.25</v>
      </c>
      <c r="O518" s="5">
        <f t="shared" si="71"/>
        <v>4.9926978102189823E-2</v>
      </c>
    </row>
    <row r="519" spans="1:15" s="2" customFormat="1" x14ac:dyDescent="0.5">
      <c r="A519" s="6">
        <v>41107</v>
      </c>
      <c r="B519" s="1">
        <v>35</v>
      </c>
      <c r="C519" s="1">
        <v>35.209999000000003</v>
      </c>
      <c r="D519" s="1">
        <v>32.380001</v>
      </c>
      <c r="E519" s="1">
        <v>33.349997999999999</v>
      </c>
      <c r="F519" s="1">
        <v>33.349997999999999</v>
      </c>
      <c r="G519" s="2">
        <v>2569300</v>
      </c>
      <c r="H519" s="2">
        <f t="shared" si="64"/>
        <v>2012</v>
      </c>
      <c r="I519" s="2">
        <f t="shared" si="65"/>
        <v>7</v>
      </c>
      <c r="J519" s="2">
        <f t="shared" si="66"/>
        <v>17</v>
      </c>
      <c r="K519" s="2">
        <f t="shared" si="67"/>
        <v>3</v>
      </c>
      <c r="L519" s="2">
        <f t="shared" si="68"/>
        <v>8</v>
      </c>
      <c r="M519" s="3">
        <f t="shared" si="69"/>
        <v>35.959999000000003</v>
      </c>
      <c r="N519" s="1">
        <f t="shared" ca="1" si="70"/>
        <v>35.959999000000003</v>
      </c>
      <c r="O519" s="5">
        <f t="shared" si="71"/>
        <v>-7.25806749883392E-2</v>
      </c>
    </row>
    <row r="520" spans="1:15" s="2" customFormat="1" x14ac:dyDescent="0.5">
      <c r="A520" s="6">
        <v>41108</v>
      </c>
      <c r="B520" s="1">
        <v>31.42</v>
      </c>
      <c r="C520" s="1">
        <v>33.669998</v>
      </c>
      <c r="D520" s="1">
        <v>31.059999000000001</v>
      </c>
      <c r="E520" s="1">
        <v>32.150002000000001</v>
      </c>
      <c r="F520" s="1">
        <v>32.150002000000001</v>
      </c>
      <c r="G520" s="2">
        <v>2881900</v>
      </c>
      <c r="H520" s="2">
        <f t="shared" si="64"/>
        <v>2012</v>
      </c>
      <c r="I520" s="2">
        <f t="shared" si="65"/>
        <v>7</v>
      </c>
      <c r="J520" s="2">
        <f t="shared" si="66"/>
        <v>18</v>
      </c>
      <c r="K520" s="2">
        <f t="shared" si="67"/>
        <v>4</v>
      </c>
      <c r="L520" s="2">
        <f t="shared" si="68"/>
        <v>8</v>
      </c>
      <c r="M520" s="3">
        <f t="shared" si="69"/>
        <v>33.349997999999999</v>
      </c>
      <c r="N520" s="1">
        <f t="shared" ca="1" si="70"/>
        <v>33.349997999999999</v>
      </c>
      <c r="O520" s="5">
        <f t="shared" si="71"/>
        <v>-3.5981891213306749E-2</v>
      </c>
    </row>
    <row r="521" spans="1:15" s="2" customFormat="1" x14ac:dyDescent="0.5">
      <c r="A521" s="6">
        <v>41109</v>
      </c>
      <c r="B521" s="1">
        <v>32.720001000000003</v>
      </c>
      <c r="C521" s="1">
        <v>33.150002000000001</v>
      </c>
      <c r="D521" s="1">
        <v>32.040000999999997</v>
      </c>
      <c r="E521" s="1">
        <v>32.270000000000003</v>
      </c>
      <c r="F521" s="1">
        <v>32.270000000000003</v>
      </c>
      <c r="G521" s="2">
        <v>1435900</v>
      </c>
      <c r="H521" s="2">
        <f t="shared" si="64"/>
        <v>2012</v>
      </c>
      <c r="I521" s="2">
        <f t="shared" si="65"/>
        <v>7</v>
      </c>
      <c r="J521" s="2">
        <f t="shared" si="66"/>
        <v>19</v>
      </c>
      <c r="K521" s="2">
        <f t="shared" si="67"/>
        <v>5</v>
      </c>
      <c r="L521" s="2">
        <f t="shared" si="68"/>
        <v>8</v>
      </c>
      <c r="M521" s="3">
        <f t="shared" si="69"/>
        <v>32.150002000000001</v>
      </c>
      <c r="N521" s="1">
        <f t="shared" ca="1" si="70"/>
        <v>32.150002000000001</v>
      </c>
      <c r="O521" s="5">
        <f t="shared" si="71"/>
        <v>3.7324414474375622E-3</v>
      </c>
    </row>
    <row r="522" spans="1:15" s="2" customFormat="1" x14ac:dyDescent="0.5">
      <c r="A522" s="6">
        <v>41110</v>
      </c>
      <c r="B522" s="1">
        <v>32.07</v>
      </c>
      <c r="C522" s="1">
        <v>32.25</v>
      </c>
      <c r="D522" s="1">
        <v>31.25</v>
      </c>
      <c r="E522" s="1">
        <v>31.790001</v>
      </c>
      <c r="F522" s="1">
        <v>31.790001</v>
      </c>
      <c r="G522" s="2">
        <v>1568500</v>
      </c>
      <c r="H522" s="2">
        <f t="shared" si="64"/>
        <v>2012</v>
      </c>
      <c r="I522" s="2">
        <f t="shared" si="65"/>
        <v>7</v>
      </c>
      <c r="J522" s="2">
        <f t="shared" si="66"/>
        <v>20</v>
      </c>
      <c r="K522" s="2">
        <f t="shared" si="67"/>
        <v>6</v>
      </c>
      <c r="L522" s="2">
        <f t="shared" si="68"/>
        <v>8</v>
      </c>
      <c r="M522" s="3">
        <f t="shared" si="69"/>
        <v>32.270000000000003</v>
      </c>
      <c r="N522" s="1">
        <f t="shared" ca="1" si="70"/>
        <v>32.270000000000003</v>
      </c>
      <c r="O522" s="5">
        <f t="shared" si="71"/>
        <v>-1.4874465447784369E-2</v>
      </c>
    </row>
    <row r="523" spans="1:15" s="2" customFormat="1" x14ac:dyDescent="0.5">
      <c r="A523" s="6">
        <v>41113</v>
      </c>
      <c r="B523" s="1">
        <v>31.049999</v>
      </c>
      <c r="C523" s="1">
        <v>31.299999</v>
      </c>
      <c r="D523" s="1">
        <v>30.620000999999998</v>
      </c>
      <c r="E523" s="1">
        <v>30.66</v>
      </c>
      <c r="F523" s="1">
        <v>30.66</v>
      </c>
      <c r="G523" s="2">
        <v>1386800</v>
      </c>
      <c r="H523" s="2">
        <f t="shared" si="64"/>
        <v>2012</v>
      </c>
      <c r="I523" s="2">
        <f t="shared" si="65"/>
        <v>7</v>
      </c>
      <c r="J523" s="2">
        <f t="shared" si="66"/>
        <v>23</v>
      </c>
      <c r="K523" s="2">
        <f t="shared" si="67"/>
        <v>2</v>
      </c>
      <c r="L523" s="2">
        <f t="shared" si="68"/>
        <v>8</v>
      </c>
      <c r="M523" s="3">
        <f t="shared" si="69"/>
        <v>31.790001</v>
      </c>
      <c r="N523" s="1">
        <f t="shared" ca="1" si="70"/>
        <v>31.790001</v>
      </c>
      <c r="O523" s="5">
        <f t="shared" si="71"/>
        <v>-3.5545799448071791E-2</v>
      </c>
    </row>
    <row r="524" spans="1:15" s="2" customFormat="1" x14ac:dyDescent="0.5">
      <c r="A524" s="6">
        <v>41114</v>
      </c>
      <c r="B524" s="1">
        <v>30.66</v>
      </c>
      <c r="C524" s="1">
        <v>31.040001</v>
      </c>
      <c r="D524" s="1">
        <v>29.620000999999998</v>
      </c>
      <c r="E524" s="1">
        <v>29.84</v>
      </c>
      <c r="F524" s="1">
        <v>29.84</v>
      </c>
      <c r="G524" s="2">
        <v>1500300</v>
      </c>
      <c r="H524" s="2">
        <f t="shared" si="64"/>
        <v>2012</v>
      </c>
      <c r="I524" s="2">
        <f t="shared" si="65"/>
        <v>7</v>
      </c>
      <c r="J524" s="2">
        <f t="shared" si="66"/>
        <v>24</v>
      </c>
      <c r="K524" s="2">
        <f t="shared" si="67"/>
        <v>3</v>
      </c>
      <c r="L524" s="2">
        <f t="shared" si="68"/>
        <v>8</v>
      </c>
      <c r="M524" s="3">
        <f t="shared" si="69"/>
        <v>30.66</v>
      </c>
      <c r="N524" s="1">
        <f t="shared" ca="1" si="70"/>
        <v>30.66</v>
      </c>
      <c r="O524" s="5">
        <f t="shared" si="71"/>
        <v>-2.6744944553163785E-2</v>
      </c>
    </row>
    <row r="525" spans="1:15" s="2" customFormat="1" x14ac:dyDescent="0.5">
      <c r="A525" s="6">
        <v>41115</v>
      </c>
      <c r="B525" s="1">
        <v>29.92</v>
      </c>
      <c r="C525" s="1">
        <v>29.98</v>
      </c>
      <c r="D525" s="1">
        <v>28.75</v>
      </c>
      <c r="E525" s="1">
        <v>28.950001</v>
      </c>
      <c r="F525" s="1">
        <v>28.950001</v>
      </c>
      <c r="G525" s="2">
        <v>2842200</v>
      </c>
      <c r="H525" s="2">
        <f t="shared" si="64"/>
        <v>2012</v>
      </c>
      <c r="I525" s="2">
        <f t="shared" si="65"/>
        <v>7</v>
      </c>
      <c r="J525" s="2">
        <f t="shared" si="66"/>
        <v>25</v>
      </c>
      <c r="K525" s="2">
        <f t="shared" si="67"/>
        <v>4</v>
      </c>
      <c r="L525" s="2">
        <f t="shared" si="68"/>
        <v>8</v>
      </c>
      <c r="M525" s="3">
        <f t="shared" si="69"/>
        <v>29.84</v>
      </c>
      <c r="N525" s="1">
        <f t="shared" ca="1" si="70"/>
        <v>29.84</v>
      </c>
      <c r="O525" s="5">
        <f t="shared" si="71"/>
        <v>-2.982570375335114E-2</v>
      </c>
    </row>
    <row r="526" spans="1:15" s="2" customFormat="1" x14ac:dyDescent="0.5">
      <c r="A526" s="6">
        <v>41116</v>
      </c>
      <c r="B526" s="1">
        <v>29.9</v>
      </c>
      <c r="C526" s="1">
        <v>30</v>
      </c>
      <c r="D526" s="1">
        <v>27.639999</v>
      </c>
      <c r="E526" s="1">
        <v>28.129999000000002</v>
      </c>
      <c r="F526" s="1">
        <v>28.129999000000002</v>
      </c>
      <c r="G526" s="2">
        <v>2262300</v>
      </c>
      <c r="H526" s="2">
        <f t="shared" si="64"/>
        <v>2012</v>
      </c>
      <c r="I526" s="2">
        <f t="shared" si="65"/>
        <v>7</v>
      </c>
      <c r="J526" s="2">
        <f t="shared" si="66"/>
        <v>26</v>
      </c>
      <c r="K526" s="2">
        <f t="shared" si="67"/>
        <v>5</v>
      </c>
      <c r="L526" s="2">
        <f t="shared" si="68"/>
        <v>8</v>
      </c>
      <c r="M526" s="3">
        <f t="shared" si="69"/>
        <v>28.950001</v>
      </c>
      <c r="N526" s="1">
        <f t="shared" ca="1" si="70"/>
        <v>28.950001</v>
      </c>
      <c r="O526" s="5">
        <f t="shared" si="71"/>
        <v>-2.832476586097521E-2</v>
      </c>
    </row>
    <row r="527" spans="1:15" s="2" customFormat="1" x14ac:dyDescent="0.5">
      <c r="A527" s="6">
        <v>41117</v>
      </c>
      <c r="B527" s="1">
        <v>28.709999</v>
      </c>
      <c r="C527" s="1">
        <v>29.66</v>
      </c>
      <c r="D527" s="1">
        <v>28.1</v>
      </c>
      <c r="E527" s="1">
        <v>29.51</v>
      </c>
      <c r="F527" s="1">
        <v>29.51</v>
      </c>
      <c r="G527" s="2">
        <v>1673000</v>
      </c>
      <c r="H527" s="2">
        <f t="shared" si="64"/>
        <v>2012</v>
      </c>
      <c r="I527" s="2">
        <f t="shared" si="65"/>
        <v>7</v>
      </c>
      <c r="J527" s="2">
        <f t="shared" si="66"/>
        <v>27</v>
      </c>
      <c r="K527" s="2">
        <f t="shared" si="67"/>
        <v>6</v>
      </c>
      <c r="L527" s="2">
        <f t="shared" si="68"/>
        <v>8</v>
      </c>
      <c r="M527" s="3">
        <f t="shared" si="69"/>
        <v>28.129999000000002</v>
      </c>
      <c r="N527" s="1">
        <f t="shared" ca="1" si="70"/>
        <v>28.129999000000002</v>
      </c>
      <c r="O527" s="5">
        <f t="shared" si="71"/>
        <v>4.9057982547386469E-2</v>
      </c>
    </row>
    <row r="528" spans="1:15" s="2" customFormat="1" x14ac:dyDescent="0.5">
      <c r="A528" s="6">
        <v>41120</v>
      </c>
      <c r="B528" s="1">
        <v>29.51</v>
      </c>
      <c r="C528" s="1">
        <v>30.25</v>
      </c>
      <c r="D528" s="1">
        <v>27.209999</v>
      </c>
      <c r="E528" s="1">
        <v>27.35</v>
      </c>
      <c r="F528" s="1">
        <v>27.35</v>
      </c>
      <c r="G528" s="2">
        <v>2065200</v>
      </c>
      <c r="H528" s="2">
        <f t="shared" si="64"/>
        <v>2012</v>
      </c>
      <c r="I528" s="2">
        <f t="shared" si="65"/>
        <v>7</v>
      </c>
      <c r="J528" s="2">
        <f t="shared" si="66"/>
        <v>30</v>
      </c>
      <c r="K528" s="2">
        <f t="shared" si="67"/>
        <v>2</v>
      </c>
      <c r="L528" s="2">
        <f t="shared" si="68"/>
        <v>8</v>
      </c>
      <c r="M528" s="3">
        <f t="shared" si="69"/>
        <v>29.51</v>
      </c>
      <c r="N528" s="1">
        <f t="shared" ca="1" si="70"/>
        <v>29.51</v>
      </c>
      <c r="O528" s="5">
        <f t="shared" si="71"/>
        <v>-7.3195526940020295E-2</v>
      </c>
    </row>
    <row r="529" spans="1:15" s="2" customFormat="1" x14ac:dyDescent="0.5">
      <c r="A529" s="6">
        <v>41121</v>
      </c>
      <c r="B529" s="1">
        <v>27.540001</v>
      </c>
      <c r="C529" s="1">
        <v>27.969999000000001</v>
      </c>
      <c r="D529" s="1">
        <v>27.35</v>
      </c>
      <c r="E529" s="1">
        <v>27.42</v>
      </c>
      <c r="F529" s="1">
        <v>27.42</v>
      </c>
      <c r="G529" s="2">
        <v>1575100</v>
      </c>
      <c r="H529" s="2">
        <f t="shared" si="64"/>
        <v>2012</v>
      </c>
      <c r="I529" s="2">
        <f t="shared" si="65"/>
        <v>7</v>
      </c>
      <c r="J529" s="2">
        <f t="shared" si="66"/>
        <v>31</v>
      </c>
      <c r="K529" s="2">
        <f t="shared" si="67"/>
        <v>3</v>
      </c>
      <c r="L529" s="2">
        <f t="shared" si="68"/>
        <v>8</v>
      </c>
      <c r="M529" s="3">
        <f t="shared" si="69"/>
        <v>27.35</v>
      </c>
      <c r="N529" s="1">
        <f t="shared" ca="1" si="70"/>
        <v>27.35</v>
      </c>
      <c r="O529" s="5">
        <f t="shared" si="71"/>
        <v>2.5594149908592101E-3</v>
      </c>
    </row>
    <row r="530" spans="1:15" s="2" customFormat="1" x14ac:dyDescent="0.5">
      <c r="A530" s="6">
        <v>41122</v>
      </c>
      <c r="B530" s="1">
        <v>27.99</v>
      </c>
      <c r="C530" s="1">
        <v>27.99</v>
      </c>
      <c r="D530" s="1">
        <v>26.030000999999999</v>
      </c>
      <c r="E530" s="1">
        <v>26.25</v>
      </c>
      <c r="F530" s="1">
        <v>26.25</v>
      </c>
      <c r="G530" s="2">
        <v>1592300</v>
      </c>
      <c r="H530" s="2">
        <f t="shared" si="64"/>
        <v>2012</v>
      </c>
      <c r="I530" s="2">
        <f t="shared" si="65"/>
        <v>8</v>
      </c>
      <c r="J530" s="2">
        <f t="shared" si="66"/>
        <v>1</v>
      </c>
      <c r="K530" s="2">
        <f t="shared" si="67"/>
        <v>4</v>
      </c>
      <c r="L530" s="2">
        <f t="shared" si="68"/>
        <v>9</v>
      </c>
      <c r="M530" s="3">
        <f t="shared" si="69"/>
        <v>27.42</v>
      </c>
      <c r="N530" s="1">
        <f t="shared" ca="1" si="70"/>
        <v>27.42</v>
      </c>
      <c r="O530" s="5">
        <f t="shared" si="71"/>
        <v>-4.2669584245076608E-2</v>
      </c>
    </row>
    <row r="531" spans="1:15" s="2" customFormat="1" x14ac:dyDescent="0.5">
      <c r="A531" s="6">
        <v>41123</v>
      </c>
      <c r="B531" s="1">
        <v>26.84</v>
      </c>
      <c r="C531" s="1">
        <v>26.85</v>
      </c>
      <c r="D531" s="1">
        <v>25.52</v>
      </c>
      <c r="E531" s="1">
        <v>26.1</v>
      </c>
      <c r="F531" s="1">
        <v>26.1</v>
      </c>
      <c r="G531" s="2">
        <v>1305100</v>
      </c>
      <c r="H531" s="2">
        <f t="shared" si="64"/>
        <v>2012</v>
      </c>
      <c r="I531" s="2">
        <f t="shared" si="65"/>
        <v>8</v>
      </c>
      <c r="J531" s="2">
        <f t="shared" si="66"/>
        <v>2</v>
      </c>
      <c r="K531" s="2">
        <f t="shared" si="67"/>
        <v>5</v>
      </c>
      <c r="L531" s="2">
        <f t="shared" si="68"/>
        <v>9</v>
      </c>
      <c r="M531" s="3">
        <f t="shared" si="69"/>
        <v>26.25</v>
      </c>
      <c r="N531" s="1">
        <f t="shared" ca="1" si="70"/>
        <v>26.25</v>
      </c>
      <c r="O531" s="5">
        <f t="shared" si="71"/>
        <v>-5.7142857142856718E-3</v>
      </c>
    </row>
    <row r="532" spans="1:15" s="2" customFormat="1" x14ac:dyDescent="0.5">
      <c r="A532" s="6">
        <v>41124</v>
      </c>
      <c r="B532" s="1">
        <v>26.9</v>
      </c>
      <c r="C532" s="1">
        <v>27.549999</v>
      </c>
      <c r="D532" s="1">
        <v>26.74</v>
      </c>
      <c r="E532" s="1">
        <v>27.27</v>
      </c>
      <c r="F532" s="1">
        <v>27.27</v>
      </c>
      <c r="G532" s="2">
        <v>1209500</v>
      </c>
      <c r="H532" s="2">
        <f t="shared" si="64"/>
        <v>2012</v>
      </c>
      <c r="I532" s="2">
        <f t="shared" si="65"/>
        <v>8</v>
      </c>
      <c r="J532" s="2">
        <f t="shared" si="66"/>
        <v>3</v>
      </c>
      <c r="K532" s="2">
        <f t="shared" si="67"/>
        <v>6</v>
      </c>
      <c r="L532" s="2">
        <f t="shared" si="68"/>
        <v>9</v>
      </c>
      <c r="M532" s="3">
        <f t="shared" si="69"/>
        <v>26.1</v>
      </c>
      <c r="N532" s="1">
        <f t="shared" ca="1" si="70"/>
        <v>26.1</v>
      </c>
      <c r="O532" s="5">
        <f t="shared" si="71"/>
        <v>4.482758620689653E-2</v>
      </c>
    </row>
    <row r="533" spans="1:15" s="2" customFormat="1" x14ac:dyDescent="0.5">
      <c r="A533" s="6">
        <v>41127</v>
      </c>
      <c r="B533" s="1">
        <v>27.549999</v>
      </c>
      <c r="C533" s="1">
        <v>28.700001</v>
      </c>
      <c r="D533" s="1">
        <v>27.549999</v>
      </c>
      <c r="E533" s="1">
        <v>28.27</v>
      </c>
      <c r="F533" s="1">
        <v>28.27</v>
      </c>
      <c r="G533" s="2">
        <v>1528200</v>
      </c>
      <c r="H533" s="2">
        <f t="shared" si="64"/>
        <v>2012</v>
      </c>
      <c r="I533" s="2">
        <f t="shared" si="65"/>
        <v>8</v>
      </c>
      <c r="J533" s="2">
        <f t="shared" si="66"/>
        <v>6</v>
      </c>
      <c r="K533" s="2">
        <f t="shared" si="67"/>
        <v>2</v>
      </c>
      <c r="L533" s="2">
        <f t="shared" si="68"/>
        <v>9</v>
      </c>
      <c r="M533" s="3">
        <f t="shared" si="69"/>
        <v>27.27</v>
      </c>
      <c r="N533" s="1">
        <f t="shared" ca="1" si="70"/>
        <v>27.27</v>
      </c>
      <c r="O533" s="5">
        <f t="shared" si="71"/>
        <v>3.6670333700036695E-2</v>
      </c>
    </row>
    <row r="534" spans="1:15" s="2" customFormat="1" x14ac:dyDescent="0.5">
      <c r="A534" s="6">
        <v>41128</v>
      </c>
      <c r="B534" s="1">
        <v>28.77</v>
      </c>
      <c r="C534" s="1">
        <v>30.9</v>
      </c>
      <c r="D534" s="1">
        <v>28.5</v>
      </c>
      <c r="E534" s="1">
        <v>30.25</v>
      </c>
      <c r="F534" s="1">
        <v>30.25</v>
      </c>
      <c r="G534" s="2">
        <v>2387200</v>
      </c>
      <c r="H534" s="2">
        <f t="shared" si="64"/>
        <v>2012</v>
      </c>
      <c r="I534" s="2">
        <f t="shared" si="65"/>
        <v>8</v>
      </c>
      <c r="J534" s="2">
        <f t="shared" si="66"/>
        <v>7</v>
      </c>
      <c r="K534" s="2">
        <f t="shared" si="67"/>
        <v>3</v>
      </c>
      <c r="L534" s="2">
        <f t="shared" si="68"/>
        <v>9</v>
      </c>
      <c r="M534" s="3">
        <f t="shared" si="69"/>
        <v>28.27</v>
      </c>
      <c r="N534" s="1">
        <f t="shared" ca="1" si="70"/>
        <v>28.27</v>
      </c>
      <c r="O534" s="5">
        <f t="shared" si="71"/>
        <v>7.0038910505836549E-2</v>
      </c>
    </row>
    <row r="535" spans="1:15" s="2" customFormat="1" x14ac:dyDescent="0.5">
      <c r="A535" s="6">
        <v>41129</v>
      </c>
      <c r="B535" s="1">
        <v>29.9</v>
      </c>
      <c r="C535" s="1">
        <v>30</v>
      </c>
      <c r="D535" s="1">
        <v>28.59</v>
      </c>
      <c r="E535" s="1">
        <v>29.09</v>
      </c>
      <c r="F535" s="1">
        <v>29.09</v>
      </c>
      <c r="G535" s="2">
        <v>1308900</v>
      </c>
      <c r="H535" s="2">
        <f t="shared" si="64"/>
        <v>2012</v>
      </c>
      <c r="I535" s="2">
        <f t="shared" si="65"/>
        <v>8</v>
      </c>
      <c r="J535" s="2">
        <f t="shared" si="66"/>
        <v>8</v>
      </c>
      <c r="K535" s="2">
        <f t="shared" si="67"/>
        <v>4</v>
      </c>
      <c r="L535" s="2">
        <f t="shared" si="68"/>
        <v>9</v>
      </c>
      <c r="M535" s="3">
        <f t="shared" si="69"/>
        <v>30.25</v>
      </c>
      <c r="N535" s="1">
        <f t="shared" ca="1" si="70"/>
        <v>30.25</v>
      </c>
      <c r="O535" s="5">
        <f t="shared" si="71"/>
        <v>-3.8347107438016503E-2</v>
      </c>
    </row>
    <row r="536" spans="1:15" s="2" customFormat="1" x14ac:dyDescent="0.5">
      <c r="A536" s="6">
        <v>41130</v>
      </c>
      <c r="B536" s="1">
        <v>29.52</v>
      </c>
      <c r="C536" s="1">
        <v>30</v>
      </c>
      <c r="D536" s="1">
        <v>29.129999000000002</v>
      </c>
      <c r="E536" s="1">
        <v>29.41</v>
      </c>
      <c r="F536" s="1">
        <v>29.41</v>
      </c>
      <c r="G536" s="2">
        <v>672600</v>
      </c>
      <c r="H536" s="2">
        <f t="shared" si="64"/>
        <v>2012</v>
      </c>
      <c r="I536" s="2">
        <f t="shared" si="65"/>
        <v>8</v>
      </c>
      <c r="J536" s="2">
        <f t="shared" si="66"/>
        <v>9</v>
      </c>
      <c r="K536" s="2">
        <f t="shared" si="67"/>
        <v>5</v>
      </c>
      <c r="L536" s="2">
        <f t="shared" si="68"/>
        <v>9</v>
      </c>
      <c r="M536" s="3">
        <f t="shared" si="69"/>
        <v>29.09</v>
      </c>
      <c r="N536" s="1">
        <f t="shared" ca="1" si="70"/>
        <v>29.09</v>
      </c>
      <c r="O536" s="5">
        <f t="shared" si="71"/>
        <v>1.1000343760742437E-2</v>
      </c>
    </row>
    <row r="537" spans="1:15" s="2" customFormat="1" x14ac:dyDescent="0.5">
      <c r="A537" s="6">
        <v>41131</v>
      </c>
      <c r="B537" s="1">
        <v>29.309999000000001</v>
      </c>
      <c r="C537" s="1">
        <v>29.940000999999999</v>
      </c>
      <c r="D537" s="1">
        <v>29.309999000000001</v>
      </c>
      <c r="E537" s="1">
        <v>29.940000999999999</v>
      </c>
      <c r="F537" s="1">
        <v>29.940000999999999</v>
      </c>
      <c r="G537" s="2">
        <v>707400</v>
      </c>
      <c r="H537" s="2">
        <f t="shared" si="64"/>
        <v>2012</v>
      </c>
      <c r="I537" s="2">
        <f t="shared" si="65"/>
        <v>8</v>
      </c>
      <c r="J537" s="2">
        <f t="shared" si="66"/>
        <v>10</v>
      </c>
      <c r="K537" s="2">
        <f t="shared" si="67"/>
        <v>6</v>
      </c>
      <c r="L537" s="2">
        <f t="shared" si="68"/>
        <v>9</v>
      </c>
      <c r="M537" s="3">
        <f t="shared" si="69"/>
        <v>29.41</v>
      </c>
      <c r="N537" s="1">
        <f t="shared" ca="1" si="70"/>
        <v>29.41</v>
      </c>
      <c r="O537" s="5">
        <f t="shared" si="71"/>
        <v>1.8021115266916077E-2</v>
      </c>
    </row>
    <row r="538" spans="1:15" s="2" customFormat="1" x14ac:dyDescent="0.5">
      <c r="A538" s="6">
        <v>41134</v>
      </c>
      <c r="B538" s="1">
        <v>29.690000999999999</v>
      </c>
      <c r="C538" s="1">
        <v>31.299999</v>
      </c>
      <c r="D538" s="1">
        <v>29.1</v>
      </c>
      <c r="E538" s="1">
        <v>31.17</v>
      </c>
      <c r="F538" s="1">
        <v>31.17</v>
      </c>
      <c r="G538" s="2">
        <v>870100</v>
      </c>
      <c r="H538" s="2">
        <f t="shared" si="64"/>
        <v>2012</v>
      </c>
      <c r="I538" s="2">
        <f t="shared" si="65"/>
        <v>8</v>
      </c>
      <c r="J538" s="2">
        <f t="shared" si="66"/>
        <v>13</v>
      </c>
      <c r="K538" s="2">
        <f t="shared" si="67"/>
        <v>2</v>
      </c>
      <c r="L538" s="2">
        <f t="shared" si="68"/>
        <v>9</v>
      </c>
      <c r="M538" s="3">
        <f t="shared" si="69"/>
        <v>29.940000999999999</v>
      </c>
      <c r="N538" s="1">
        <f t="shared" ca="1" si="70"/>
        <v>29.940000999999999</v>
      </c>
      <c r="O538" s="5">
        <f t="shared" si="71"/>
        <v>4.1082129556375246E-2</v>
      </c>
    </row>
    <row r="539" spans="1:15" s="2" customFormat="1" x14ac:dyDescent="0.5">
      <c r="A539" s="6">
        <v>41135</v>
      </c>
      <c r="B539" s="1">
        <v>30.75</v>
      </c>
      <c r="C539" s="1">
        <v>31.17</v>
      </c>
      <c r="D539" s="1">
        <v>29.26</v>
      </c>
      <c r="E539" s="1">
        <v>29.42</v>
      </c>
      <c r="F539" s="1">
        <v>29.42</v>
      </c>
      <c r="G539" s="2">
        <v>793400</v>
      </c>
      <c r="H539" s="2">
        <f t="shared" si="64"/>
        <v>2012</v>
      </c>
      <c r="I539" s="2">
        <f t="shared" si="65"/>
        <v>8</v>
      </c>
      <c r="J539" s="2">
        <f t="shared" si="66"/>
        <v>14</v>
      </c>
      <c r="K539" s="2">
        <f t="shared" si="67"/>
        <v>3</v>
      </c>
      <c r="L539" s="2">
        <f t="shared" si="68"/>
        <v>9</v>
      </c>
      <c r="M539" s="3">
        <f t="shared" si="69"/>
        <v>31.17</v>
      </c>
      <c r="N539" s="1">
        <f t="shared" ca="1" si="70"/>
        <v>31.17</v>
      </c>
      <c r="O539" s="5">
        <f t="shared" si="71"/>
        <v>-5.6143727943535393E-2</v>
      </c>
    </row>
    <row r="540" spans="1:15" s="2" customFormat="1" x14ac:dyDescent="0.5">
      <c r="A540" s="6">
        <v>41136</v>
      </c>
      <c r="B540" s="1">
        <v>29.389999</v>
      </c>
      <c r="C540" s="1">
        <v>29.700001</v>
      </c>
      <c r="D540" s="1">
        <v>28.809999000000001</v>
      </c>
      <c r="E540" s="1">
        <v>29.4</v>
      </c>
      <c r="F540" s="1">
        <v>29.4</v>
      </c>
      <c r="G540" s="2">
        <v>525400</v>
      </c>
      <c r="H540" s="2">
        <f t="shared" si="64"/>
        <v>2012</v>
      </c>
      <c r="I540" s="2">
        <f t="shared" si="65"/>
        <v>8</v>
      </c>
      <c r="J540" s="2">
        <f t="shared" si="66"/>
        <v>15</v>
      </c>
      <c r="K540" s="2">
        <f t="shared" si="67"/>
        <v>4</v>
      </c>
      <c r="L540" s="2">
        <f t="shared" si="68"/>
        <v>9</v>
      </c>
      <c r="M540" s="3">
        <f t="shared" si="69"/>
        <v>29.42</v>
      </c>
      <c r="N540" s="1">
        <f t="shared" ca="1" si="70"/>
        <v>29.42</v>
      </c>
      <c r="O540" s="5">
        <f t="shared" si="71"/>
        <v>-6.798096532971698E-4</v>
      </c>
    </row>
    <row r="541" spans="1:15" s="2" customFormat="1" x14ac:dyDescent="0.5">
      <c r="A541" s="6">
        <v>41137</v>
      </c>
      <c r="B541" s="1">
        <v>29.530000999999999</v>
      </c>
      <c r="C541" s="1">
        <v>30.389999</v>
      </c>
      <c r="D541" s="1">
        <v>29.5</v>
      </c>
      <c r="E541" s="1">
        <v>30.299999</v>
      </c>
      <c r="F541" s="1">
        <v>30.299999</v>
      </c>
      <c r="G541" s="2">
        <v>669000</v>
      </c>
      <c r="H541" s="2">
        <f t="shared" si="64"/>
        <v>2012</v>
      </c>
      <c r="I541" s="2">
        <f t="shared" si="65"/>
        <v>8</v>
      </c>
      <c r="J541" s="2">
        <f t="shared" si="66"/>
        <v>16</v>
      </c>
      <c r="K541" s="2">
        <f t="shared" si="67"/>
        <v>5</v>
      </c>
      <c r="L541" s="2">
        <f t="shared" si="68"/>
        <v>9</v>
      </c>
      <c r="M541" s="3">
        <f t="shared" si="69"/>
        <v>29.4</v>
      </c>
      <c r="N541" s="1">
        <f t="shared" ca="1" si="70"/>
        <v>29.4</v>
      </c>
      <c r="O541" s="5">
        <f t="shared" si="71"/>
        <v>3.0612210884353841E-2</v>
      </c>
    </row>
    <row r="542" spans="1:15" s="2" customFormat="1" x14ac:dyDescent="0.5">
      <c r="A542" s="6">
        <v>41138</v>
      </c>
      <c r="B542" s="1">
        <v>30.290001</v>
      </c>
      <c r="C542" s="1">
        <v>30.709999</v>
      </c>
      <c r="D542" s="1">
        <v>29.98</v>
      </c>
      <c r="E542" s="1">
        <v>30.01</v>
      </c>
      <c r="F542" s="1">
        <v>30.01</v>
      </c>
      <c r="G542" s="2">
        <v>508200</v>
      </c>
      <c r="H542" s="2">
        <f t="shared" si="64"/>
        <v>2012</v>
      </c>
      <c r="I542" s="2">
        <f t="shared" si="65"/>
        <v>8</v>
      </c>
      <c r="J542" s="2">
        <f t="shared" si="66"/>
        <v>17</v>
      </c>
      <c r="K542" s="2">
        <f t="shared" si="67"/>
        <v>6</v>
      </c>
      <c r="L542" s="2">
        <f t="shared" si="68"/>
        <v>9</v>
      </c>
      <c r="M542" s="3">
        <f t="shared" si="69"/>
        <v>30.299999</v>
      </c>
      <c r="N542" s="1">
        <f t="shared" ca="1" si="70"/>
        <v>30.299999</v>
      </c>
      <c r="O542" s="5">
        <f t="shared" si="71"/>
        <v>-9.5709244082812228E-3</v>
      </c>
    </row>
    <row r="543" spans="1:15" s="2" customFormat="1" x14ac:dyDescent="0.5">
      <c r="A543" s="6">
        <v>41141</v>
      </c>
      <c r="B543" s="1">
        <v>30.15</v>
      </c>
      <c r="C543" s="1">
        <v>30.389999</v>
      </c>
      <c r="D543" s="1">
        <v>29.1</v>
      </c>
      <c r="E543" s="1">
        <v>29.51</v>
      </c>
      <c r="F543" s="1">
        <v>29.51</v>
      </c>
      <c r="G543" s="2">
        <v>1179100</v>
      </c>
      <c r="H543" s="2">
        <f t="shared" si="64"/>
        <v>2012</v>
      </c>
      <c r="I543" s="2">
        <f t="shared" si="65"/>
        <v>8</v>
      </c>
      <c r="J543" s="2">
        <f t="shared" si="66"/>
        <v>20</v>
      </c>
      <c r="K543" s="2">
        <f t="shared" si="67"/>
        <v>2</v>
      </c>
      <c r="L543" s="2">
        <f t="shared" si="68"/>
        <v>9</v>
      </c>
      <c r="M543" s="3">
        <f t="shared" si="69"/>
        <v>30.01</v>
      </c>
      <c r="N543" s="1">
        <f t="shared" ca="1" si="70"/>
        <v>30.01</v>
      </c>
      <c r="O543" s="5">
        <f t="shared" si="71"/>
        <v>-1.6661112962345848E-2</v>
      </c>
    </row>
    <row r="544" spans="1:15" s="2" customFormat="1" x14ac:dyDescent="0.5">
      <c r="A544" s="6">
        <v>41142</v>
      </c>
      <c r="B544" s="1">
        <v>29.58</v>
      </c>
      <c r="C544" s="1">
        <v>30</v>
      </c>
      <c r="D544" s="1">
        <v>29</v>
      </c>
      <c r="E544" s="1">
        <v>29.110001</v>
      </c>
      <c r="F544" s="1">
        <v>29.110001</v>
      </c>
      <c r="G544" s="2">
        <v>761600</v>
      </c>
      <c r="H544" s="2">
        <f t="shared" si="64"/>
        <v>2012</v>
      </c>
      <c r="I544" s="2">
        <f t="shared" si="65"/>
        <v>8</v>
      </c>
      <c r="J544" s="2">
        <f t="shared" si="66"/>
        <v>21</v>
      </c>
      <c r="K544" s="2">
        <f t="shared" si="67"/>
        <v>3</v>
      </c>
      <c r="L544" s="2">
        <f t="shared" si="68"/>
        <v>9</v>
      </c>
      <c r="M544" s="3">
        <f t="shared" si="69"/>
        <v>29.51</v>
      </c>
      <c r="N544" s="1">
        <f t="shared" ca="1" si="70"/>
        <v>29.51</v>
      </c>
      <c r="O544" s="5">
        <f t="shared" si="71"/>
        <v>-1.3554693324296929E-2</v>
      </c>
    </row>
    <row r="545" spans="1:15" s="2" customFormat="1" x14ac:dyDescent="0.5">
      <c r="A545" s="6">
        <v>41143</v>
      </c>
      <c r="B545" s="1">
        <v>29.01</v>
      </c>
      <c r="C545" s="1">
        <v>30.040001</v>
      </c>
      <c r="D545" s="1">
        <v>29.01</v>
      </c>
      <c r="E545" s="1">
        <v>29.950001</v>
      </c>
      <c r="F545" s="1">
        <v>29.950001</v>
      </c>
      <c r="G545" s="2">
        <v>775500</v>
      </c>
      <c r="H545" s="2">
        <f t="shared" si="64"/>
        <v>2012</v>
      </c>
      <c r="I545" s="2">
        <f t="shared" si="65"/>
        <v>8</v>
      </c>
      <c r="J545" s="2">
        <f t="shared" si="66"/>
        <v>22</v>
      </c>
      <c r="K545" s="2">
        <f t="shared" si="67"/>
        <v>4</v>
      </c>
      <c r="L545" s="2">
        <f t="shared" si="68"/>
        <v>9</v>
      </c>
      <c r="M545" s="3">
        <f t="shared" si="69"/>
        <v>29.110001</v>
      </c>
      <c r="N545" s="1">
        <f t="shared" ca="1" si="70"/>
        <v>29.110001</v>
      </c>
      <c r="O545" s="5">
        <f t="shared" si="71"/>
        <v>2.8856062217242684E-2</v>
      </c>
    </row>
    <row r="546" spans="1:15" s="2" customFormat="1" x14ac:dyDescent="0.5">
      <c r="A546" s="6">
        <v>41144</v>
      </c>
      <c r="B546" s="1">
        <v>30</v>
      </c>
      <c r="C546" s="1">
        <v>30.85</v>
      </c>
      <c r="D546" s="1">
        <v>29.65</v>
      </c>
      <c r="E546" s="1">
        <v>30.73</v>
      </c>
      <c r="F546" s="1">
        <v>30.73</v>
      </c>
      <c r="G546" s="2">
        <v>1471000</v>
      </c>
      <c r="H546" s="2">
        <f t="shared" si="64"/>
        <v>2012</v>
      </c>
      <c r="I546" s="2">
        <f t="shared" si="65"/>
        <v>8</v>
      </c>
      <c r="J546" s="2">
        <f t="shared" si="66"/>
        <v>23</v>
      </c>
      <c r="K546" s="2">
        <f t="shared" si="67"/>
        <v>5</v>
      </c>
      <c r="L546" s="2">
        <f t="shared" si="68"/>
        <v>9</v>
      </c>
      <c r="M546" s="3">
        <f t="shared" si="69"/>
        <v>29.950001</v>
      </c>
      <c r="N546" s="1">
        <f t="shared" ca="1" si="70"/>
        <v>29.950001</v>
      </c>
      <c r="O546" s="5">
        <f t="shared" si="71"/>
        <v>2.6043371417583616E-2</v>
      </c>
    </row>
    <row r="547" spans="1:15" s="2" customFormat="1" x14ac:dyDescent="0.5">
      <c r="A547" s="6">
        <v>41145</v>
      </c>
      <c r="B547" s="1">
        <v>30.059999000000001</v>
      </c>
      <c r="C547" s="1">
        <v>30.24</v>
      </c>
      <c r="D547" s="1">
        <v>29.41</v>
      </c>
      <c r="E547" s="1">
        <v>29.5</v>
      </c>
      <c r="F547" s="1">
        <v>29.5</v>
      </c>
      <c r="G547" s="2">
        <v>1429400</v>
      </c>
      <c r="H547" s="2">
        <f t="shared" si="64"/>
        <v>2012</v>
      </c>
      <c r="I547" s="2">
        <f t="shared" si="65"/>
        <v>8</v>
      </c>
      <c r="J547" s="2">
        <f t="shared" si="66"/>
        <v>24</v>
      </c>
      <c r="K547" s="2">
        <f t="shared" si="67"/>
        <v>6</v>
      </c>
      <c r="L547" s="2">
        <f t="shared" si="68"/>
        <v>9</v>
      </c>
      <c r="M547" s="3">
        <f t="shared" si="69"/>
        <v>30.73</v>
      </c>
      <c r="N547" s="1">
        <f t="shared" ca="1" si="70"/>
        <v>30.73</v>
      </c>
      <c r="O547" s="5">
        <f t="shared" si="71"/>
        <v>-4.0026033192320232E-2</v>
      </c>
    </row>
    <row r="548" spans="1:15" s="2" customFormat="1" x14ac:dyDescent="0.5">
      <c r="A548" s="6">
        <v>41148</v>
      </c>
      <c r="B548" s="1">
        <v>29.57</v>
      </c>
      <c r="C548" s="1">
        <v>29.700001</v>
      </c>
      <c r="D548" s="1">
        <v>28.17</v>
      </c>
      <c r="E548" s="1">
        <v>28.32</v>
      </c>
      <c r="F548" s="1">
        <v>28.32</v>
      </c>
      <c r="G548" s="2">
        <v>1350400</v>
      </c>
      <c r="H548" s="2">
        <f t="shared" si="64"/>
        <v>2012</v>
      </c>
      <c r="I548" s="2">
        <f t="shared" si="65"/>
        <v>8</v>
      </c>
      <c r="J548" s="2">
        <f t="shared" si="66"/>
        <v>27</v>
      </c>
      <c r="K548" s="2">
        <f t="shared" si="67"/>
        <v>2</v>
      </c>
      <c r="L548" s="2">
        <f t="shared" si="68"/>
        <v>9</v>
      </c>
      <c r="M548" s="3">
        <f t="shared" si="69"/>
        <v>29.5</v>
      </c>
      <c r="N548" s="1">
        <f t="shared" ca="1" si="70"/>
        <v>29.5</v>
      </c>
      <c r="O548" s="5">
        <f t="shared" si="71"/>
        <v>-4.0000000000000036E-2</v>
      </c>
    </row>
    <row r="549" spans="1:15" s="2" customFormat="1" x14ac:dyDescent="0.5">
      <c r="A549" s="6">
        <v>41149</v>
      </c>
      <c r="B549" s="1">
        <v>28.4</v>
      </c>
      <c r="C549" s="1">
        <v>29.379999000000002</v>
      </c>
      <c r="D549" s="1">
        <v>28</v>
      </c>
      <c r="E549" s="1">
        <v>28.690000999999999</v>
      </c>
      <c r="F549" s="1">
        <v>28.690000999999999</v>
      </c>
      <c r="G549" s="2">
        <v>1402700</v>
      </c>
      <c r="H549" s="2">
        <f t="shared" si="64"/>
        <v>2012</v>
      </c>
      <c r="I549" s="2">
        <f t="shared" si="65"/>
        <v>8</v>
      </c>
      <c r="J549" s="2">
        <f t="shared" si="66"/>
        <v>28</v>
      </c>
      <c r="K549" s="2">
        <f t="shared" si="67"/>
        <v>3</v>
      </c>
      <c r="L549" s="2">
        <f t="shared" si="68"/>
        <v>9</v>
      </c>
      <c r="M549" s="3">
        <f t="shared" si="69"/>
        <v>28.32</v>
      </c>
      <c r="N549" s="1">
        <f t="shared" ca="1" si="70"/>
        <v>28.32</v>
      </c>
      <c r="O549" s="5">
        <f t="shared" si="71"/>
        <v>1.306500706214675E-2</v>
      </c>
    </row>
    <row r="550" spans="1:15" s="2" customFormat="1" x14ac:dyDescent="0.5">
      <c r="A550" s="6">
        <v>41150</v>
      </c>
      <c r="B550" s="1">
        <v>28.49</v>
      </c>
      <c r="C550" s="1">
        <v>28.639999</v>
      </c>
      <c r="D550" s="1">
        <v>28.02</v>
      </c>
      <c r="E550" s="1">
        <v>28.41</v>
      </c>
      <c r="F550" s="1">
        <v>28.41</v>
      </c>
      <c r="G550" s="2">
        <v>838900</v>
      </c>
      <c r="H550" s="2">
        <f t="shared" si="64"/>
        <v>2012</v>
      </c>
      <c r="I550" s="2">
        <f t="shared" si="65"/>
        <v>8</v>
      </c>
      <c r="J550" s="2">
        <f t="shared" si="66"/>
        <v>29</v>
      </c>
      <c r="K550" s="2">
        <f t="shared" si="67"/>
        <v>4</v>
      </c>
      <c r="L550" s="2">
        <f t="shared" si="68"/>
        <v>9</v>
      </c>
      <c r="M550" s="3">
        <f t="shared" si="69"/>
        <v>28.690000999999999</v>
      </c>
      <c r="N550" s="1">
        <f t="shared" ca="1" si="70"/>
        <v>28.690000999999999</v>
      </c>
      <c r="O550" s="5">
        <f t="shared" si="71"/>
        <v>-9.759532598134002E-3</v>
      </c>
    </row>
    <row r="551" spans="1:15" s="2" customFormat="1" x14ac:dyDescent="0.5">
      <c r="A551" s="6">
        <v>41151</v>
      </c>
      <c r="B551" s="1">
        <v>28.6</v>
      </c>
      <c r="C551" s="1">
        <v>28.74</v>
      </c>
      <c r="D551" s="1">
        <v>28.1</v>
      </c>
      <c r="E551" s="1">
        <v>28.41</v>
      </c>
      <c r="F551" s="1">
        <v>28.41</v>
      </c>
      <c r="G551" s="2">
        <v>656400</v>
      </c>
      <c r="H551" s="2">
        <f t="shared" si="64"/>
        <v>2012</v>
      </c>
      <c r="I551" s="2">
        <f t="shared" si="65"/>
        <v>8</v>
      </c>
      <c r="J551" s="2">
        <f t="shared" si="66"/>
        <v>30</v>
      </c>
      <c r="K551" s="2">
        <f t="shared" si="67"/>
        <v>5</v>
      </c>
      <c r="L551" s="2">
        <f t="shared" si="68"/>
        <v>9</v>
      </c>
      <c r="M551" s="3">
        <f t="shared" si="69"/>
        <v>28.41</v>
      </c>
      <c r="N551" s="1">
        <f t="shared" ca="1" si="70"/>
        <v>28.41</v>
      </c>
      <c r="O551" s="5">
        <f t="shared" si="71"/>
        <v>0</v>
      </c>
    </row>
    <row r="552" spans="1:15" s="2" customFormat="1" x14ac:dyDescent="0.5">
      <c r="A552" s="6">
        <v>41152</v>
      </c>
      <c r="B552" s="1">
        <v>28.610001</v>
      </c>
      <c r="C552" s="1">
        <v>28.84</v>
      </c>
      <c r="D552" s="1">
        <v>28.200001</v>
      </c>
      <c r="E552" s="1">
        <v>28.52</v>
      </c>
      <c r="F552" s="1">
        <v>28.52</v>
      </c>
      <c r="G552" s="2">
        <v>539800</v>
      </c>
      <c r="H552" s="2">
        <f t="shared" si="64"/>
        <v>2012</v>
      </c>
      <c r="I552" s="2">
        <f t="shared" si="65"/>
        <v>8</v>
      </c>
      <c r="J552" s="2">
        <f t="shared" si="66"/>
        <v>31</v>
      </c>
      <c r="K552" s="2">
        <f t="shared" si="67"/>
        <v>6</v>
      </c>
      <c r="L552" s="2">
        <f t="shared" si="68"/>
        <v>9</v>
      </c>
      <c r="M552" s="3">
        <f t="shared" si="69"/>
        <v>28.41</v>
      </c>
      <c r="N552" s="1">
        <f t="shared" ca="1" si="70"/>
        <v>28.41</v>
      </c>
      <c r="O552" s="5">
        <f t="shared" si="71"/>
        <v>3.871876099964755E-3</v>
      </c>
    </row>
    <row r="553" spans="1:15" s="2" customFormat="1" x14ac:dyDescent="0.5">
      <c r="A553" s="6">
        <v>41156</v>
      </c>
      <c r="B553" s="1">
        <v>28.52</v>
      </c>
      <c r="C553" s="1">
        <v>28.99</v>
      </c>
      <c r="D553" s="1">
        <v>27.9</v>
      </c>
      <c r="E553" s="1">
        <v>28.139999</v>
      </c>
      <c r="F553" s="1">
        <v>28.139999</v>
      </c>
      <c r="G553" s="2">
        <v>752500</v>
      </c>
      <c r="H553" s="2">
        <f t="shared" si="64"/>
        <v>2012</v>
      </c>
      <c r="I553" s="2">
        <f t="shared" si="65"/>
        <v>9</v>
      </c>
      <c r="J553" s="2">
        <f t="shared" si="66"/>
        <v>4</v>
      </c>
      <c r="K553" s="2">
        <f t="shared" si="67"/>
        <v>3</v>
      </c>
      <c r="L553" s="2">
        <f t="shared" si="68"/>
        <v>10</v>
      </c>
      <c r="M553" s="3">
        <f t="shared" si="69"/>
        <v>28.52</v>
      </c>
      <c r="N553" s="1">
        <f t="shared" ca="1" si="70"/>
        <v>28.52</v>
      </c>
      <c r="O553" s="5">
        <f t="shared" si="71"/>
        <v>-1.3324018232819035E-2</v>
      </c>
    </row>
    <row r="554" spans="1:15" s="2" customFormat="1" x14ac:dyDescent="0.5">
      <c r="A554" s="6">
        <v>41157</v>
      </c>
      <c r="B554" s="1">
        <v>28.01</v>
      </c>
      <c r="C554" s="1">
        <v>28.5</v>
      </c>
      <c r="D554" s="1">
        <v>27.809999000000001</v>
      </c>
      <c r="E554" s="1">
        <v>27.940000999999999</v>
      </c>
      <c r="F554" s="1">
        <v>27.940000999999999</v>
      </c>
      <c r="G554" s="2">
        <v>639300</v>
      </c>
      <c r="H554" s="2">
        <f t="shared" si="64"/>
        <v>2012</v>
      </c>
      <c r="I554" s="2">
        <f t="shared" si="65"/>
        <v>9</v>
      </c>
      <c r="J554" s="2">
        <f t="shared" si="66"/>
        <v>5</v>
      </c>
      <c r="K554" s="2">
        <f t="shared" si="67"/>
        <v>4</v>
      </c>
      <c r="L554" s="2">
        <f t="shared" si="68"/>
        <v>10</v>
      </c>
      <c r="M554" s="3">
        <f t="shared" si="69"/>
        <v>28.139999</v>
      </c>
      <c r="N554" s="1">
        <f t="shared" ca="1" si="70"/>
        <v>28.139999</v>
      </c>
      <c r="O554" s="5">
        <f t="shared" si="71"/>
        <v>-7.1072497195184825E-3</v>
      </c>
    </row>
    <row r="555" spans="1:15" s="2" customFormat="1" x14ac:dyDescent="0.5">
      <c r="A555" s="6">
        <v>41158</v>
      </c>
      <c r="B555" s="1">
        <v>28</v>
      </c>
      <c r="C555" s="1">
        <v>28.9</v>
      </c>
      <c r="D555" s="1">
        <v>27.9</v>
      </c>
      <c r="E555" s="1">
        <v>28.549999</v>
      </c>
      <c r="F555" s="1">
        <v>28.549999</v>
      </c>
      <c r="G555" s="2">
        <v>841700</v>
      </c>
      <c r="H555" s="2">
        <f t="shared" si="64"/>
        <v>2012</v>
      </c>
      <c r="I555" s="2">
        <f t="shared" si="65"/>
        <v>9</v>
      </c>
      <c r="J555" s="2">
        <f t="shared" si="66"/>
        <v>6</v>
      </c>
      <c r="K555" s="2">
        <f t="shared" si="67"/>
        <v>5</v>
      </c>
      <c r="L555" s="2">
        <f t="shared" si="68"/>
        <v>10</v>
      </c>
      <c r="M555" s="3">
        <f t="shared" si="69"/>
        <v>27.940000999999999</v>
      </c>
      <c r="N555" s="1">
        <f t="shared" ca="1" si="70"/>
        <v>27.940000999999999</v>
      </c>
      <c r="O555" s="5">
        <f t="shared" si="71"/>
        <v>2.1832425847085668E-2</v>
      </c>
    </row>
    <row r="556" spans="1:15" s="2" customFormat="1" x14ac:dyDescent="0.5">
      <c r="A556" s="6">
        <v>41159</v>
      </c>
      <c r="B556" s="1">
        <v>28.549999</v>
      </c>
      <c r="C556" s="1">
        <v>29.57</v>
      </c>
      <c r="D556" s="1">
        <v>28.5</v>
      </c>
      <c r="E556" s="1">
        <v>29.35</v>
      </c>
      <c r="F556" s="1">
        <v>29.35</v>
      </c>
      <c r="G556" s="2">
        <v>953200</v>
      </c>
      <c r="H556" s="2">
        <f t="shared" si="64"/>
        <v>2012</v>
      </c>
      <c r="I556" s="2">
        <f t="shared" si="65"/>
        <v>9</v>
      </c>
      <c r="J556" s="2">
        <f t="shared" si="66"/>
        <v>7</v>
      </c>
      <c r="K556" s="2">
        <f t="shared" si="67"/>
        <v>6</v>
      </c>
      <c r="L556" s="2">
        <f t="shared" si="68"/>
        <v>10</v>
      </c>
      <c r="M556" s="3">
        <f t="shared" si="69"/>
        <v>28.549999</v>
      </c>
      <c r="N556" s="1">
        <f t="shared" ca="1" si="70"/>
        <v>28.549999</v>
      </c>
      <c r="O556" s="5">
        <f t="shared" si="71"/>
        <v>2.8021051769564043E-2</v>
      </c>
    </row>
    <row r="557" spans="1:15" s="2" customFormat="1" x14ac:dyDescent="0.5">
      <c r="A557" s="6">
        <v>41162</v>
      </c>
      <c r="B557" s="1">
        <v>29.200001</v>
      </c>
      <c r="C557" s="1">
        <v>29.35</v>
      </c>
      <c r="D557" s="1">
        <v>27.299999</v>
      </c>
      <c r="E557" s="1">
        <v>27.370000999999998</v>
      </c>
      <c r="F557" s="1">
        <v>27.370000999999998</v>
      </c>
      <c r="G557" s="2">
        <v>1483300</v>
      </c>
      <c r="H557" s="2">
        <f t="shared" si="64"/>
        <v>2012</v>
      </c>
      <c r="I557" s="2">
        <f t="shared" si="65"/>
        <v>9</v>
      </c>
      <c r="J557" s="2">
        <f t="shared" si="66"/>
        <v>10</v>
      </c>
      <c r="K557" s="2">
        <f t="shared" si="67"/>
        <v>2</v>
      </c>
      <c r="L557" s="2">
        <f t="shared" si="68"/>
        <v>10</v>
      </c>
      <c r="M557" s="3">
        <f t="shared" si="69"/>
        <v>29.35</v>
      </c>
      <c r="N557" s="1">
        <f t="shared" ca="1" si="70"/>
        <v>29.35</v>
      </c>
      <c r="O557" s="5">
        <f t="shared" si="71"/>
        <v>-6.7461635434412415E-2</v>
      </c>
    </row>
    <row r="558" spans="1:15" s="2" customFormat="1" x14ac:dyDescent="0.5">
      <c r="A558" s="6">
        <v>41163</v>
      </c>
      <c r="B558" s="1">
        <v>27.76</v>
      </c>
      <c r="C558" s="1">
        <v>28.16</v>
      </c>
      <c r="D558" s="1">
        <v>27.4</v>
      </c>
      <c r="E558" s="1">
        <v>27.799999</v>
      </c>
      <c r="F558" s="1">
        <v>27.799999</v>
      </c>
      <c r="G558" s="2">
        <v>1014900</v>
      </c>
      <c r="H558" s="2">
        <f t="shared" si="64"/>
        <v>2012</v>
      </c>
      <c r="I558" s="2">
        <f t="shared" si="65"/>
        <v>9</v>
      </c>
      <c r="J558" s="2">
        <f t="shared" si="66"/>
        <v>11</v>
      </c>
      <c r="K558" s="2">
        <f t="shared" si="67"/>
        <v>3</v>
      </c>
      <c r="L558" s="2">
        <f t="shared" si="68"/>
        <v>10</v>
      </c>
      <c r="M558" s="3">
        <f t="shared" si="69"/>
        <v>27.370000999999998</v>
      </c>
      <c r="N558" s="1">
        <f t="shared" ca="1" si="70"/>
        <v>27.370000999999998</v>
      </c>
      <c r="O558" s="5">
        <f t="shared" si="71"/>
        <v>1.5710558432204813E-2</v>
      </c>
    </row>
    <row r="559" spans="1:15" s="2" customFormat="1" x14ac:dyDescent="0.5">
      <c r="A559" s="6">
        <v>41164</v>
      </c>
      <c r="B559" s="1">
        <v>27.9</v>
      </c>
      <c r="C559" s="1">
        <v>28.58</v>
      </c>
      <c r="D559" s="1">
        <v>27.799999</v>
      </c>
      <c r="E559" s="1">
        <v>28.280000999999999</v>
      </c>
      <c r="F559" s="1">
        <v>28.280000999999999</v>
      </c>
      <c r="G559" s="2">
        <v>1145200</v>
      </c>
      <c r="H559" s="2">
        <f t="shared" si="64"/>
        <v>2012</v>
      </c>
      <c r="I559" s="2">
        <f t="shared" si="65"/>
        <v>9</v>
      </c>
      <c r="J559" s="2">
        <f t="shared" si="66"/>
        <v>12</v>
      </c>
      <c r="K559" s="2">
        <f t="shared" si="67"/>
        <v>4</v>
      </c>
      <c r="L559" s="2">
        <f t="shared" si="68"/>
        <v>10</v>
      </c>
      <c r="M559" s="3">
        <f t="shared" si="69"/>
        <v>27.799999</v>
      </c>
      <c r="N559" s="1">
        <f t="shared" ca="1" si="70"/>
        <v>27.799999</v>
      </c>
      <c r="O559" s="5">
        <f t="shared" si="71"/>
        <v>1.7266259613894164E-2</v>
      </c>
    </row>
    <row r="560" spans="1:15" s="2" customFormat="1" x14ac:dyDescent="0.5">
      <c r="A560" s="6">
        <v>41165</v>
      </c>
      <c r="B560" s="1">
        <v>28.57</v>
      </c>
      <c r="C560" s="1">
        <v>29.5</v>
      </c>
      <c r="D560" s="1">
        <v>28.48</v>
      </c>
      <c r="E560" s="1">
        <v>29.48</v>
      </c>
      <c r="F560" s="1">
        <v>29.48</v>
      </c>
      <c r="G560" s="2">
        <v>1484700</v>
      </c>
      <c r="H560" s="2">
        <f t="shared" si="64"/>
        <v>2012</v>
      </c>
      <c r="I560" s="2">
        <f t="shared" si="65"/>
        <v>9</v>
      </c>
      <c r="J560" s="2">
        <f t="shared" si="66"/>
        <v>13</v>
      </c>
      <c r="K560" s="2">
        <f t="shared" si="67"/>
        <v>5</v>
      </c>
      <c r="L560" s="2">
        <f t="shared" si="68"/>
        <v>10</v>
      </c>
      <c r="M560" s="3">
        <f t="shared" si="69"/>
        <v>28.280000999999999</v>
      </c>
      <c r="N560" s="1">
        <f t="shared" ca="1" si="70"/>
        <v>28.280000999999999</v>
      </c>
      <c r="O560" s="5">
        <f t="shared" si="71"/>
        <v>4.2432777848911751E-2</v>
      </c>
    </row>
    <row r="561" spans="1:15" s="2" customFormat="1" x14ac:dyDescent="0.5">
      <c r="A561" s="6">
        <v>41166</v>
      </c>
      <c r="B561" s="1">
        <v>30</v>
      </c>
      <c r="C561" s="1">
        <v>30.65</v>
      </c>
      <c r="D561" s="1">
        <v>29.65</v>
      </c>
      <c r="E561" s="1">
        <v>30.389999</v>
      </c>
      <c r="F561" s="1">
        <v>30.389999</v>
      </c>
      <c r="G561" s="2">
        <v>1536600</v>
      </c>
      <c r="H561" s="2">
        <f t="shared" si="64"/>
        <v>2012</v>
      </c>
      <c r="I561" s="2">
        <f t="shared" si="65"/>
        <v>9</v>
      </c>
      <c r="J561" s="2">
        <f t="shared" si="66"/>
        <v>14</v>
      </c>
      <c r="K561" s="2">
        <f t="shared" si="67"/>
        <v>6</v>
      </c>
      <c r="L561" s="2">
        <f t="shared" si="68"/>
        <v>10</v>
      </c>
      <c r="M561" s="3">
        <f t="shared" si="69"/>
        <v>29.48</v>
      </c>
      <c r="N561" s="1">
        <f t="shared" ca="1" si="70"/>
        <v>29.48</v>
      </c>
      <c r="O561" s="5">
        <f t="shared" si="71"/>
        <v>3.0868351424694573E-2</v>
      </c>
    </row>
    <row r="562" spans="1:15" s="2" customFormat="1" x14ac:dyDescent="0.5">
      <c r="A562" s="6">
        <v>41169</v>
      </c>
      <c r="B562" s="1">
        <v>32.349997999999999</v>
      </c>
      <c r="C562" s="1">
        <v>32.779998999999997</v>
      </c>
      <c r="D562" s="1">
        <v>31.51</v>
      </c>
      <c r="E562" s="1">
        <v>32.540000999999997</v>
      </c>
      <c r="F562" s="1">
        <v>32.540000999999997</v>
      </c>
      <c r="G562" s="2">
        <v>3212800</v>
      </c>
      <c r="H562" s="2">
        <f t="shared" si="64"/>
        <v>2012</v>
      </c>
      <c r="I562" s="2">
        <f t="shared" si="65"/>
        <v>9</v>
      </c>
      <c r="J562" s="2">
        <f t="shared" si="66"/>
        <v>17</v>
      </c>
      <c r="K562" s="2">
        <f t="shared" si="67"/>
        <v>2</v>
      </c>
      <c r="L562" s="2">
        <f t="shared" si="68"/>
        <v>10</v>
      </c>
      <c r="M562" s="3">
        <f t="shared" si="69"/>
        <v>30.389999</v>
      </c>
      <c r="N562" s="1">
        <f t="shared" ca="1" si="70"/>
        <v>30.389999</v>
      </c>
      <c r="O562" s="5">
        <f t="shared" si="71"/>
        <v>7.0747024374696377E-2</v>
      </c>
    </row>
    <row r="563" spans="1:15" s="2" customFormat="1" x14ac:dyDescent="0.5">
      <c r="A563" s="6">
        <v>41170</v>
      </c>
      <c r="B563" s="1">
        <v>31.879999000000002</v>
      </c>
      <c r="C563" s="1">
        <v>31.9</v>
      </c>
      <c r="D563" s="1">
        <v>30.68</v>
      </c>
      <c r="E563" s="1">
        <v>31.34</v>
      </c>
      <c r="F563" s="1">
        <v>31.34</v>
      </c>
      <c r="G563" s="2">
        <v>1788500</v>
      </c>
      <c r="H563" s="2">
        <f t="shared" si="64"/>
        <v>2012</v>
      </c>
      <c r="I563" s="2">
        <f t="shared" si="65"/>
        <v>9</v>
      </c>
      <c r="J563" s="2">
        <f t="shared" si="66"/>
        <v>18</v>
      </c>
      <c r="K563" s="2">
        <f t="shared" si="67"/>
        <v>3</v>
      </c>
      <c r="L563" s="2">
        <f t="shared" si="68"/>
        <v>10</v>
      </c>
      <c r="M563" s="3">
        <f t="shared" si="69"/>
        <v>32.540000999999997</v>
      </c>
      <c r="N563" s="1">
        <f t="shared" ca="1" si="70"/>
        <v>32.540000999999997</v>
      </c>
      <c r="O563" s="5">
        <f t="shared" si="71"/>
        <v>-3.6877718596259323E-2</v>
      </c>
    </row>
    <row r="564" spans="1:15" s="2" customFormat="1" x14ac:dyDescent="0.5">
      <c r="A564" s="6">
        <v>41171</v>
      </c>
      <c r="B564" s="1">
        <v>31</v>
      </c>
      <c r="C564" s="1">
        <v>31.74</v>
      </c>
      <c r="D564" s="1">
        <v>30.940000999999999</v>
      </c>
      <c r="E564" s="1">
        <v>31.049999</v>
      </c>
      <c r="F564" s="1">
        <v>31.049999</v>
      </c>
      <c r="G564" s="2">
        <v>1048500</v>
      </c>
      <c r="H564" s="2">
        <f t="shared" si="64"/>
        <v>2012</v>
      </c>
      <c r="I564" s="2">
        <f t="shared" si="65"/>
        <v>9</v>
      </c>
      <c r="J564" s="2">
        <f t="shared" si="66"/>
        <v>19</v>
      </c>
      <c r="K564" s="2">
        <f t="shared" si="67"/>
        <v>4</v>
      </c>
      <c r="L564" s="2">
        <f t="shared" si="68"/>
        <v>10</v>
      </c>
      <c r="M564" s="3">
        <f t="shared" si="69"/>
        <v>31.34</v>
      </c>
      <c r="N564" s="1">
        <f t="shared" ca="1" si="70"/>
        <v>31.34</v>
      </c>
      <c r="O564" s="5">
        <f t="shared" si="71"/>
        <v>-9.2533822590937787E-3</v>
      </c>
    </row>
    <row r="565" spans="1:15" s="2" customFormat="1" x14ac:dyDescent="0.5">
      <c r="A565" s="6">
        <v>41172</v>
      </c>
      <c r="B565" s="1">
        <v>30.93</v>
      </c>
      <c r="C565" s="1">
        <v>31.5</v>
      </c>
      <c r="D565" s="1">
        <v>30.68</v>
      </c>
      <c r="E565" s="1">
        <v>30.9</v>
      </c>
      <c r="F565" s="1">
        <v>30.9</v>
      </c>
      <c r="G565" s="2">
        <v>912400</v>
      </c>
      <c r="H565" s="2">
        <f t="shared" si="64"/>
        <v>2012</v>
      </c>
      <c r="I565" s="2">
        <f t="shared" si="65"/>
        <v>9</v>
      </c>
      <c r="J565" s="2">
        <f t="shared" si="66"/>
        <v>20</v>
      </c>
      <c r="K565" s="2">
        <f t="shared" si="67"/>
        <v>5</v>
      </c>
      <c r="L565" s="2">
        <f t="shared" si="68"/>
        <v>10</v>
      </c>
      <c r="M565" s="3">
        <f t="shared" si="69"/>
        <v>31.049999</v>
      </c>
      <c r="N565" s="1">
        <f t="shared" ca="1" si="70"/>
        <v>31.049999</v>
      </c>
      <c r="O565" s="5">
        <f t="shared" si="71"/>
        <v>-4.8308858238610419E-3</v>
      </c>
    </row>
    <row r="566" spans="1:15" s="2" customFormat="1" x14ac:dyDescent="0.5">
      <c r="A566" s="6">
        <v>41173</v>
      </c>
      <c r="B566" s="1">
        <v>31.1</v>
      </c>
      <c r="C566" s="1">
        <v>31.49</v>
      </c>
      <c r="D566" s="1">
        <v>29.540001</v>
      </c>
      <c r="E566" s="1">
        <v>30.02</v>
      </c>
      <c r="F566" s="1">
        <v>30.02</v>
      </c>
      <c r="G566" s="2">
        <v>1870000</v>
      </c>
      <c r="H566" s="2">
        <f t="shared" si="64"/>
        <v>2012</v>
      </c>
      <c r="I566" s="2">
        <f t="shared" si="65"/>
        <v>9</v>
      </c>
      <c r="J566" s="2">
        <f t="shared" si="66"/>
        <v>21</v>
      </c>
      <c r="K566" s="2">
        <f t="shared" si="67"/>
        <v>6</v>
      </c>
      <c r="L566" s="2">
        <f t="shared" si="68"/>
        <v>10</v>
      </c>
      <c r="M566" s="3">
        <f t="shared" si="69"/>
        <v>30.9</v>
      </c>
      <c r="N566" s="1">
        <f t="shared" ca="1" si="70"/>
        <v>30.9</v>
      </c>
      <c r="O566" s="5">
        <f t="shared" si="71"/>
        <v>-2.8478964401294493E-2</v>
      </c>
    </row>
    <row r="567" spans="1:15" s="2" customFormat="1" x14ac:dyDescent="0.5">
      <c r="A567" s="6">
        <v>41176</v>
      </c>
      <c r="B567" s="1">
        <v>29.51</v>
      </c>
      <c r="C567" s="1">
        <v>31.030000999999999</v>
      </c>
      <c r="D567" s="1">
        <v>29.4</v>
      </c>
      <c r="E567" s="1">
        <v>30.66</v>
      </c>
      <c r="F567" s="1">
        <v>30.66</v>
      </c>
      <c r="G567" s="2">
        <v>1301900</v>
      </c>
      <c r="H567" s="2">
        <f t="shared" si="64"/>
        <v>2012</v>
      </c>
      <c r="I567" s="2">
        <f t="shared" si="65"/>
        <v>9</v>
      </c>
      <c r="J567" s="2">
        <f t="shared" si="66"/>
        <v>24</v>
      </c>
      <c r="K567" s="2">
        <f t="shared" si="67"/>
        <v>2</v>
      </c>
      <c r="L567" s="2">
        <f t="shared" si="68"/>
        <v>10</v>
      </c>
      <c r="M567" s="3">
        <f t="shared" si="69"/>
        <v>30.02</v>
      </c>
      <c r="N567" s="1">
        <f t="shared" ca="1" si="70"/>
        <v>30.02</v>
      </c>
      <c r="O567" s="5">
        <f t="shared" si="71"/>
        <v>2.1319120586275941E-2</v>
      </c>
    </row>
    <row r="568" spans="1:15" s="2" customFormat="1" x14ac:dyDescent="0.5">
      <c r="A568" s="6">
        <v>41177</v>
      </c>
      <c r="B568" s="1">
        <v>28.620000999999998</v>
      </c>
      <c r="C568" s="1">
        <v>29.48</v>
      </c>
      <c r="D568" s="1">
        <v>27.530000999999999</v>
      </c>
      <c r="E568" s="1">
        <v>27.66</v>
      </c>
      <c r="F568" s="1">
        <v>27.66</v>
      </c>
      <c r="G568" s="2">
        <v>5680400</v>
      </c>
      <c r="H568" s="2">
        <f t="shared" si="64"/>
        <v>2012</v>
      </c>
      <c r="I568" s="2">
        <f t="shared" si="65"/>
        <v>9</v>
      </c>
      <c r="J568" s="2">
        <f t="shared" si="66"/>
        <v>25</v>
      </c>
      <c r="K568" s="2">
        <f t="shared" si="67"/>
        <v>3</v>
      </c>
      <c r="L568" s="2">
        <f t="shared" si="68"/>
        <v>10</v>
      </c>
      <c r="M568" s="3">
        <f t="shared" si="69"/>
        <v>30.66</v>
      </c>
      <c r="N568" s="1">
        <f t="shared" ca="1" si="70"/>
        <v>30.66</v>
      </c>
      <c r="O568" s="5">
        <f t="shared" si="71"/>
        <v>-9.7847358121330719E-2</v>
      </c>
    </row>
    <row r="569" spans="1:15" s="2" customFormat="1" x14ac:dyDescent="0.5">
      <c r="A569" s="6">
        <v>41178</v>
      </c>
      <c r="B569" s="1">
        <v>27.66</v>
      </c>
      <c r="C569" s="1">
        <v>28.4</v>
      </c>
      <c r="D569" s="1">
        <v>27.48</v>
      </c>
      <c r="E569" s="1">
        <v>27.540001</v>
      </c>
      <c r="F569" s="1">
        <v>27.540001</v>
      </c>
      <c r="G569" s="2">
        <v>1527200</v>
      </c>
      <c r="H569" s="2">
        <f t="shared" si="64"/>
        <v>2012</v>
      </c>
      <c r="I569" s="2">
        <f t="shared" si="65"/>
        <v>9</v>
      </c>
      <c r="J569" s="2">
        <f t="shared" si="66"/>
        <v>26</v>
      </c>
      <c r="K569" s="2">
        <f t="shared" si="67"/>
        <v>4</v>
      </c>
      <c r="L569" s="2">
        <f t="shared" si="68"/>
        <v>10</v>
      </c>
      <c r="M569" s="3">
        <f t="shared" si="69"/>
        <v>27.66</v>
      </c>
      <c r="N569" s="1">
        <f t="shared" ca="1" si="70"/>
        <v>27.66</v>
      </c>
      <c r="O569" s="5">
        <f t="shared" si="71"/>
        <v>-4.3383586406362529E-3</v>
      </c>
    </row>
    <row r="570" spans="1:15" s="2" customFormat="1" x14ac:dyDescent="0.5">
      <c r="A570" s="6">
        <v>41179</v>
      </c>
      <c r="B570" s="1">
        <v>27.82</v>
      </c>
      <c r="C570" s="1">
        <v>28.540001</v>
      </c>
      <c r="D570" s="1">
        <v>27.6</v>
      </c>
      <c r="E570" s="1">
        <v>28.49</v>
      </c>
      <c r="F570" s="1">
        <v>28.49</v>
      </c>
      <c r="G570" s="2">
        <v>1758600</v>
      </c>
      <c r="H570" s="2">
        <f t="shared" si="64"/>
        <v>2012</v>
      </c>
      <c r="I570" s="2">
        <f t="shared" si="65"/>
        <v>9</v>
      </c>
      <c r="J570" s="2">
        <f t="shared" si="66"/>
        <v>27</v>
      </c>
      <c r="K570" s="2">
        <f t="shared" si="67"/>
        <v>5</v>
      </c>
      <c r="L570" s="2">
        <f t="shared" si="68"/>
        <v>10</v>
      </c>
      <c r="M570" s="3">
        <f t="shared" si="69"/>
        <v>27.540001</v>
      </c>
      <c r="N570" s="1">
        <f t="shared" ca="1" si="70"/>
        <v>27.540001</v>
      </c>
      <c r="O570" s="5">
        <f t="shared" si="71"/>
        <v>3.4495242029947581E-2</v>
      </c>
    </row>
    <row r="571" spans="1:15" s="2" customFormat="1" x14ac:dyDescent="0.5">
      <c r="A571" s="6">
        <v>41180</v>
      </c>
      <c r="B571" s="1">
        <v>28.73</v>
      </c>
      <c r="C571" s="1">
        <v>29.889999</v>
      </c>
      <c r="D571" s="1">
        <v>28.610001</v>
      </c>
      <c r="E571" s="1">
        <v>29.280000999999999</v>
      </c>
      <c r="F571" s="1">
        <v>29.280000999999999</v>
      </c>
      <c r="G571" s="2">
        <v>4343400</v>
      </c>
      <c r="H571" s="2">
        <f t="shared" si="64"/>
        <v>2012</v>
      </c>
      <c r="I571" s="2">
        <f t="shared" si="65"/>
        <v>9</v>
      </c>
      <c r="J571" s="2">
        <f t="shared" si="66"/>
        <v>28</v>
      </c>
      <c r="K571" s="2">
        <f t="shared" si="67"/>
        <v>6</v>
      </c>
      <c r="L571" s="2">
        <f t="shared" si="68"/>
        <v>10</v>
      </c>
      <c r="M571" s="3">
        <f t="shared" si="69"/>
        <v>28.49</v>
      </c>
      <c r="N571" s="1">
        <f t="shared" ca="1" si="70"/>
        <v>28.49</v>
      </c>
      <c r="O571" s="5">
        <f t="shared" si="71"/>
        <v>2.7729062829062734E-2</v>
      </c>
    </row>
    <row r="572" spans="1:15" s="2" customFormat="1" x14ac:dyDescent="0.5">
      <c r="A572" s="6">
        <v>41183</v>
      </c>
      <c r="B572" s="1">
        <v>29.5</v>
      </c>
      <c r="C572" s="1">
        <v>29.889999</v>
      </c>
      <c r="D572" s="1">
        <v>29</v>
      </c>
      <c r="E572" s="1">
        <v>29.16</v>
      </c>
      <c r="F572" s="1">
        <v>29.16</v>
      </c>
      <c r="G572" s="2">
        <v>884400</v>
      </c>
      <c r="H572" s="2">
        <f t="shared" si="64"/>
        <v>2012</v>
      </c>
      <c r="I572" s="2">
        <f t="shared" si="65"/>
        <v>10</v>
      </c>
      <c r="J572" s="2">
        <f t="shared" si="66"/>
        <v>1</v>
      </c>
      <c r="K572" s="2">
        <f t="shared" si="67"/>
        <v>2</v>
      </c>
      <c r="L572" s="2">
        <f t="shared" si="68"/>
        <v>11</v>
      </c>
      <c r="M572" s="3">
        <f t="shared" si="69"/>
        <v>29.280000999999999</v>
      </c>
      <c r="N572" s="1">
        <f t="shared" ca="1" si="70"/>
        <v>29.280000999999999</v>
      </c>
      <c r="O572" s="5">
        <f t="shared" si="71"/>
        <v>-4.0983946687705997E-3</v>
      </c>
    </row>
    <row r="573" spans="1:15" s="2" customFormat="1" x14ac:dyDescent="0.5">
      <c r="A573" s="6">
        <v>41184</v>
      </c>
      <c r="B573" s="1">
        <v>29.280000999999999</v>
      </c>
      <c r="C573" s="1">
        <v>29.889999</v>
      </c>
      <c r="D573" s="1">
        <v>29</v>
      </c>
      <c r="E573" s="1">
        <v>29.799999</v>
      </c>
      <c r="F573" s="1">
        <v>29.799999</v>
      </c>
      <c r="G573" s="2">
        <v>729000</v>
      </c>
      <c r="H573" s="2">
        <f t="shared" si="64"/>
        <v>2012</v>
      </c>
      <c r="I573" s="2">
        <f t="shared" si="65"/>
        <v>10</v>
      </c>
      <c r="J573" s="2">
        <f t="shared" si="66"/>
        <v>2</v>
      </c>
      <c r="K573" s="2">
        <f t="shared" si="67"/>
        <v>3</v>
      </c>
      <c r="L573" s="2">
        <f t="shared" si="68"/>
        <v>11</v>
      </c>
      <c r="M573" s="3">
        <f t="shared" si="69"/>
        <v>29.16</v>
      </c>
      <c r="N573" s="1">
        <f t="shared" ca="1" si="70"/>
        <v>29.16</v>
      </c>
      <c r="O573" s="5">
        <f t="shared" si="71"/>
        <v>2.1947839506172739E-2</v>
      </c>
    </row>
    <row r="574" spans="1:15" s="2" customFormat="1" x14ac:dyDescent="0.5">
      <c r="A574" s="6">
        <v>41185</v>
      </c>
      <c r="B574" s="1">
        <v>29.75</v>
      </c>
      <c r="C574" s="1">
        <v>29.950001</v>
      </c>
      <c r="D574" s="1">
        <v>29.24</v>
      </c>
      <c r="E574" s="1">
        <v>29.299999</v>
      </c>
      <c r="F574" s="1">
        <v>29.299999</v>
      </c>
      <c r="G574" s="2">
        <v>1052800</v>
      </c>
      <c r="H574" s="2">
        <f t="shared" si="64"/>
        <v>2012</v>
      </c>
      <c r="I574" s="2">
        <f t="shared" si="65"/>
        <v>10</v>
      </c>
      <c r="J574" s="2">
        <f t="shared" si="66"/>
        <v>3</v>
      </c>
      <c r="K574" s="2">
        <f t="shared" si="67"/>
        <v>4</v>
      </c>
      <c r="L574" s="2">
        <f t="shared" si="68"/>
        <v>11</v>
      </c>
      <c r="M574" s="3">
        <f t="shared" si="69"/>
        <v>29.799999</v>
      </c>
      <c r="N574" s="1">
        <f t="shared" ca="1" si="70"/>
        <v>29.799999</v>
      </c>
      <c r="O574" s="5">
        <f t="shared" si="71"/>
        <v>-1.6778524052970645E-2</v>
      </c>
    </row>
    <row r="575" spans="1:15" s="2" customFormat="1" x14ac:dyDescent="0.5">
      <c r="A575" s="6">
        <v>41186</v>
      </c>
      <c r="B575" s="1">
        <v>30</v>
      </c>
      <c r="C575" s="1">
        <v>30.1</v>
      </c>
      <c r="D575" s="1">
        <v>28.65</v>
      </c>
      <c r="E575" s="1">
        <v>29.4</v>
      </c>
      <c r="F575" s="1">
        <v>29.4</v>
      </c>
      <c r="G575" s="2">
        <v>1541300</v>
      </c>
      <c r="H575" s="2">
        <f t="shared" si="64"/>
        <v>2012</v>
      </c>
      <c r="I575" s="2">
        <f t="shared" si="65"/>
        <v>10</v>
      </c>
      <c r="J575" s="2">
        <f t="shared" si="66"/>
        <v>4</v>
      </c>
      <c r="K575" s="2">
        <f t="shared" si="67"/>
        <v>5</v>
      </c>
      <c r="L575" s="2">
        <f t="shared" si="68"/>
        <v>11</v>
      </c>
      <c r="M575" s="3">
        <f t="shared" si="69"/>
        <v>29.299999</v>
      </c>
      <c r="N575" s="1">
        <f t="shared" ca="1" si="70"/>
        <v>29.299999</v>
      </c>
      <c r="O575" s="5">
        <f t="shared" si="71"/>
        <v>3.4130035294539507E-3</v>
      </c>
    </row>
    <row r="576" spans="1:15" s="2" customFormat="1" x14ac:dyDescent="0.5">
      <c r="A576" s="6">
        <v>41187</v>
      </c>
      <c r="B576" s="1">
        <v>29.700001</v>
      </c>
      <c r="C576" s="1">
        <v>29.809999000000001</v>
      </c>
      <c r="D576" s="1">
        <v>28.68</v>
      </c>
      <c r="E576" s="1">
        <v>28.889999</v>
      </c>
      <c r="F576" s="1">
        <v>28.889999</v>
      </c>
      <c r="G576" s="2">
        <v>938600</v>
      </c>
      <c r="H576" s="2">
        <f t="shared" si="64"/>
        <v>2012</v>
      </c>
      <c r="I576" s="2">
        <f t="shared" si="65"/>
        <v>10</v>
      </c>
      <c r="J576" s="2">
        <f t="shared" si="66"/>
        <v>5</v>
      </c>
      <c r="K576" s="2">
        <f t="shared" si="67"/>
        <v>6</v>
      </c>
      <c r="L576" s="2">
        <f t="shared" si="68"/>
        <v>11</v>
      </c>
      <c r="M576" s="3">
        <f t="shared" si="69"/>
        <v>29.4</v>
      </c>
      <c r="N576" s="1">
        <f t="shared" ca="1" si="70"/>
        <v>29.4</v>
      </c>
      <c r="O576" s="5">
        <f t="shared" si="71"/>
        <v>-1.7346972789115567E-2</v>
      </c>
    </row>
    <row r="577" spans="1:15" s="2" customFormat="1" x14ac:dyDescent="0.5">
      <c r="A577" s="6">
        <v>41190</v>
      </c>
      <c r="B577" s="1">
        <v>28.860001</v>
      </c>
      <c r="C577" s="1">
        <v>29.4</v>
      </c>
      <c r="D577" s="1">
        <v>28.610001</v>
      </c>
      <c r="E577" s="1">
        <v>29.25</v>
      </c>
      <c r="F577" s="1">
        <v>29.25</v>
      </c>
      <c r="G577" s="2">
        <v>889700</v>
      </c>
      <c r="H577" s="2">
        <f t="shared" si="64"/>
        <v>2012</v>
      </c>
      <c r="I577" s="2">
        <f t="shared" si="65"/>
        <v>10</v>
      </c>
      <c r="J577" s="2">
        <f t="shared" si="66"/>
        <v>8</v>
      </c>
      <c r="K577" s="2">
        <f t="shared" si="67"/>
        <v>2</v>
      </c>
      <c r="L577" s="2">
        <f t="shared" si="68"/>
        <v>11</v>
      </c>
      <c r="M577" s="3">
        <f t="shared" si="69"/>
        <v>28.889999</v>
      </c>
      <c r="N577" s="1">
        <f t="shared" ca="1" si="70"/>
        <v>28.889999</v>
      </c>
      <c r="O577" s="5">
        <f t="shared" si="71"/>
        <v>1.2461094235413528E-2</v>
      </c>
    </row>
    <row r="578" spans="1:15" s="2" customFormat="1" x14ac:dyDescent="0.5">
      <c r="A578" s="6">
        <v>41191</v>
      </c>
      <c r="B578" s="1">
        <v>29.120000999999998</v>
      </c>
      <c r="C578" s="1">
        <v>29.120000999999998</v>
      </c>
      <c r="D578" s="1">
        <v>28.25</v>
      </c>
      <c r="E578" s="1">
        <v>28.370000999999998</v>
      </c>
      <c r="F578" s="1">
        <v>28.370000999999998</v>
      </c>
      <c r="G578" s="2">
        <v>1193000</v>
      </c>
      <c r="H578" s="2">
        <f t="shared" ref="H578:H641" si="72">YEAR(A578)</f>
        <v>2012</v>
      </c>
      <c r="I578" s="2">
        <f t="shared" ref="I578:I641" si="73">MONTH(A578)</f>
        <v>10</v>
      </c>
      <c r="J578" s="2">
        <f t="shared" ref="J578:J641" si="74">DAY(A578)</f>
        <v>9</v>
      </c>
      <c r="K578" s="2">
        <f t="shared" ref="K578:K641" si="75">WEEKDAY(A578)</f>
        <v>3</v>
      </c>
      <c r="L578" s="2">
        <f t="shared" si="68"/>
        <v>11</v>
      </c>
      <c r="M578" s="3">
        <f t="shared" si="69"/>
        <v>29.25</v>
      </c>
      <c r="N578" s="1">
        <f t="shared" ca="1" si="70"/>
        <v>29.25</v>
      </c>
      <c r="O578" s="5">
        <f t="shared" si="71"/>
        <v>-3.0085435897435953E-2</v>
      </c>
    </row>
    <row r="579" spans="1:15" s="2" customFormat="1" x14ac:dyDescent="0.5">
      <c r="A579" s="6">
        <v>41192</v>
      </c>
      <c r="B579" s="1">
        <v>28.389999</v>
      </c>
      <c r="C579" s="1">
        <v>28.719999000000001</v>
      </c>
      <c r="D579" s="1">
        <v>28.01</v>
      </c>
      <c r="E579" s="1">
        <v>28.4</v>
      </c>
      <c r="F579" s="1">
        <v>28.4</v>
      </c>
      <c r="G579" s="2">
        <v>503600</v>
      </c>
      <c r="H579" s="2">
        <f t="shared" si="72"/>
        <v>2012</v>
      </c>
      <c r="I579" s="2">
        <f t="shared" si="73"/>
        <v>10</v>
      </c>
      <c r="J579" s="2">
        <f t="shared" si="74"/>
        <v>10</v>
      </c>
      <c r="K579" s="2">
        <f t="shared" si="75"/>
        <v>4</v>
      </c>
      <c r="L579" s="2">
        <f t="shared" ref="L579:L642" si="76">I579+1</f>
        <v>11</v>
      </c>
      <c r="M579" s="3">
        <f t="shared" ref="M579:M642" si="77">F578</f>
        <v>28.370000999999998</v>
      </c>
      <c r="N579" s="1">
        <f t="shared" ref="N579:N642" ca="1" si="78">OFFSET(F579, -1, 0)</f>
        <v>28.370000999999998</v>
      </c>
      <c r="O579" s="5">
        <f t="shared" ref="O579:O642" si="79">(F579/M579)-1</f>
        <v>1.0574197723856038E-3</v>
      </c>
    </row>
    <row r="580" spans="1:15" s="2" customFormat="1" x14ac:dyDescent="0.5">
      <c r="A580" s="6">
        <v>41193</v>
      </c>
      <c r="B580" s="1">
        <v>28.940000999999999</v>
      </c>
      <c r="C580" s="1">
        <v>28.98</v>
      </c>
      <c r="D580" s="1">
        <v>28.25</v>
      </c>
      <c r="E580" s="1">
        <v>28.32</v>
      </c>
      <c r="F580" s="1">
        <v>28.32</v>
      </c>
      <c r="G580" s="2">
        <v>450600</v>
      </c>
      <c r="H580" s="2">
        <f t="shared" si="72"/>
        <v>2012</v>
      </c>
      <c r="I580" s="2">
        <f t="shared" si="73"/>
        <v>10</v>
      </c>
      <c r="J580" s="2">
        <f t="shared" si="74"/>
        <v>11</v>
      </c>
      <c r="K580" s="2">
        <f t="shared" si="75"/>
        <v>5</v>
      </c>
      <c r="L580" s="2">
        <f t="shared" si="76"/>
        <v>11</v>
      </c>
      <c r="M580" s="3">
        <f t="shared" si="77"/>
        <v>28.4</v>
      </c>
      <c r="N580" s="1">
        <f t="shared" ca="1" si="78"/>
        <v>28.4</v>
      </c>
      <c r="O580" s="5">
        <f t="shared" si="79"/>
        <v>-2.8169014084505895E-3</v>
      </c>
    </row>
    <row r="581" spans="1:15" s="2" customFormat="1" x14ac:dyDescent="0.5">
      <c r="A581" s="6">
        <v>41194</v>
      </c>
      <c r="B581" s="1">
        <v>28.32</v>
      </c>
      <c r="C581" s="1">
        <v>28.73</v>
      </c>
      <c r="D581" s="1">
        <v>27.5</v>
      </c>
      <c r="E581" s="1">
        <v>27.639999</v>
      </c>
      <c r="F581" s="1">
        <v>27.639999</v>
      </c>
      <c r="G581" s="2">
        <v>987600</v>
      </c>
      <c r="H581" s="2">
        <f t="shared" si="72"/>
        <v>2012</v>
      </c>
      <c r="I581" s="2">
        <f t="shared" si="73"/>
        <v>10</v>
      </c>
      <c r="J581" s="2">
        <f t="shared" si="74"/>
        <v>12</v>
      </c>
      <c r="K581" s="2">
        <f t="shared" si="75"/>
        <v>6</v>
      </c>
      <c r="L581" s="2">
        <f t="shared" si="76"/>
        <v>11</v>
      </c>
      <c r="M581" s="3">
        <f t="shared" si="77"/>
        <v>28.32</v>
      </c>
      <c r="N581" s="1">
        <f t="shared" ca="1" si="78"/>
        <v>28.32</v>
      </c>
      <c r="O581" s="5">
        <f t="shared" si="79"/>
        <v>-2.401133474576278E-2</v>
      </c>
    </row>
    <row r="582" spans="1:15" s="2" customFormat="1" x14ac:dyDescent="0.5">
      <c r="A582" s="6">
        <v>41197</v>
      </c>
      <c r="B582" s="1">
        <v>28.02</v>
      </c>
      <c r="C582" s="1">
        <v>28.049999</v>
      </c>
      <c r="D582" s="1">
        <v>26.860001</v>
      </c>
      <c r="E582" s="1">
        <v>27.33</v>
      </c>
      <c r="F582" s="1">
        <v>27.33</v>
      </c>
      <c r="G582" s="2">
        <v>1468700</v>
      </c>
      <c r="H582" s="2">
        <f t="shared" si="72"/>
        <v>2012</v>
      </c>
      <c r="I582" s="2">
        <f t="shared" si="73"/>
        <v>10</v>
      </c>
      <c r="J582" s="2">
        <f t="shared" si="74"/>
        <v>15</v>
      </c>
      <c r="K582" s="2">
        <f t="shared" si="75"/>
        <v>2</v>
      </c>
      <c r="L582" s="2">
        <f t="shared" si="76"/>
        <v>11</v>
      </c>
      <c r="M582" s="3">
        <f t="shared" si="77"/>
        <v>27.639999</v>
      </c>
      <c r="N582" s="1">
        <f t="shared" ca="1" si="78"/>
        <v>27.639999</v>
      </c>
      <c r="O582" s="5">
        <f t="shared" si="79"/>
        <v>-1.1215593748755248E-2</v>
      </c>
    </row>
    <row r="583" spans="1:15" s="2" customFormat="1" x14ac:dyDescent="0.5">
      <c r="A583" s="6">
        <v>41198</v>
      </c>
      <c r="B583" s="1">
        <v>27.67</v>
      </c>
      <c r="C583" s="1">
        <v>28.09</v>
      </c>
      <c r="D583" s="1">
        <v>27.34</v>
      </c>
      <c r="E583" s="1">
        <v>28.059999000000001</v>
      </c>
      <c r="F583" s="1">
        <v>28.059999000000001</v>
      </c>
      <c r="G583" s="2">
        <v>479300</v>
      </c>
      <c r="H583" s="2">
        <f t="shared" si="72"/>
        <v>2012</v>
      </c>
      <c r="I583" s="2">
        <f t="shared" si="73"/>
        <v>10</v>
      </c>
      <c r="J583" s="2">
        <f t="shared" si="74"/>
        <v>16</v>
      </c>
      <c r="K583" s="2">
        <f t="shared" si="75"/>
        <v>3</v>
      </c>
      <c r="L583" s="2">
        <f t="shared" si="76"/>
        <v>11</v>
      </c>
      <c r="M583" s="3">
        <f t="shared" si="77"/>
        <v>27.33</v>
      </c>
      <c r="N583" s="1">
        <f t="shared" ca="1" si="78"/>
        <v>27.33</v>
      </c>
      <c r="O583" s="5">
        <f t="shared" si="79"/>
        <v>2.6710537870472173E-2</v>
      </c>
    </row>
    <row r="584" spans="1:15" s="2" customFormat="1" x14ac:dyDescent="0.5">
      <c r="A584" s="6">
        <v>41199</v>
      </c>
      <c r="B584" s="1">
        <v>28.25</v>
      </c>
      <c r="C584" s="1">
        <v>28.84</v>
      </c>
      <c r="D584" s="1">
        <v>27.799999</v>
      </c>
      <c r="E584" s="1">
        <v>28.82</v>
      </c>
      <c r="F584" s="1">
        <v>28.82</v>
      </c>
      <c r="G584" s="2">
        <v>668000</v>
      </c>
      <c r="H584" s="2">
        <f t="shared" si="72"/>
        <v>2012</v>
      </c>
      <c r="I584" s="2">
        <f t="shared" si="73"/>
        <v>10</v>
      </c>
      <c r="J584" s="2">
        <f t="shared" si="74"/>
        <v>17</v>
      </c>
      <c r="K584" s="2">
        <f t="shared" si="75"/>
        <v>4</v>
      </c>
      <c r="L584" s="2">
        <f t="shared" si="76"/>
        <v>11</v>
      </c>
      <c r="M584" s="3">
        <f t="shared" si="77"/>
        <v>28.059999000000001</v>
      </c>
      <c r="N584" s="1">
        <f t="shared" ca="1" si="78"/>
        <v>28.059999000000001</v>
      </c>
      <c r="O584" s="5">
        <f t="shared" si="79"/>
        <v>2.708485484978107E-2</v>
      </c>
    </row>
    <row r="585" spans="1:15" s="2" customFormat="1" x14ac:dyDescent="0.5">
      <c r="A585" s="6">
        <v>41200</v>
      </c>
      <c r="B585" s="1">
        <v>28.99</v>
      </c>
      <c r="C585" s="1">
        <v>28.99</v>
      </c>
      <c r="D585" s="1">
        <v>27.780000999999999</v>
      </c>
      <c r="E585" s="1">
        <v>28.040001</v>
      </c>
      <c r="F585" s="1">
        <v>28.040001</v>
      </c>
      <c r="G585" s="2">
        <v>741000</v>
      </c>
      <c r="H585" s="2">
        <f t="shared" si="72"/>
        <v>2012</v>
      </c>
      <c r="I585" s="2">
        <f t="shared" si="73"/>
        <v>10</v>
      </c>
      <c r="J585" s="2">
        <f t="shared" si="74"/>
        <v>18</v>
      </c>
      <c r="K585" s="2">
        <f t="shared" si="75"/>
        <v>5</v>
      </c>
      <c r="L585" s="2">
        <f t="shared" si="76"/>
        <v>11</v>
      </c>
      <c r="M585" s="3">
        <f t="shared" si="77"/>
        <v>28.82</v>
      </c>
      <c r="N585" s="1">
        <f t="shared" ca="1" si="78"/>
        <v>28.82</v>
      </c>
      <c r="O585" s="5">
        <f t="shared" si="79"/>
        <v>-2.7064503816793928E-2</v>
      </c>
    </row>
    <row r="586" spans="1:15" s="2" customFormat="1" x14ac:dyDescent="0.5">
      <c r="A586" s="6">
        <v>41201</v>
      </c>
      <c r="B586" s="1">
        <v>27.83</v>
      </c>
      <c r="C586" s="1">
        <v>28.200001</v>
      </c>
      <c r="D586" s="1">
        <v>27.299999</v>
      </c>
      <c r="E586" s="1">
        <v>27.74</v>
      </c>
      <c r="F586" s="1">
        <v>27.74</v>
      </c>
      <c r="G586" s="2">
        <v>1027400</v>
      </c>
      <c r="H586" s="2">
        <f t="shared" si="72"/>
        <v>2012</v>
      </c>
      <c r="I586" s="2">
        <f t="shared" si="73"/>
        <v>10</v>
      </c>
      <c r="J586" s="2">
        <f t="shared" si="74"/>
        <v>19</v>
      </c>
      <c r="K586" s="2">
        <f t="shared" si="75"/>
        <v>6</v>
      </c>
      <c r="L586" s="2">
        <f t="shared" si="76"/>
        <v>11</v>
      </c>
      <c r="M586" s="3">
        <f t="shared" si="77"/>
        <v>28.040001</v>
      </c>
      <c r="N586" s="1">
        <f t="shared" ca="1" si="78"/>
        <v>28.040001</v>
      </c>
      <c r="O586" s="5">
        <f t="shared" si="79"/>
        <v>-1.0699036708308296E-2</v>
      </c>
    </row>
    <row r="587" spans="1:15" s="2" customFormat="1" x14ac:dyDescent="0.5">
      <c r="A587" s="6">
        <v>41204</v>
      </c>
      <c r="B587" s="1">
        <v>27.99</v>
      </c>
      <c r="C587" s="1">
        <v>28</v>
      </c>
      <c r="D587" s="1">
        <v>27.360001</v>
      </c>
      <c r="E587" s="1">
        <v>27.85</v>
      </c>
      <c r="F587" s="1">
        <v>27.85</v>
      </c>
      <c r="G587" s="2">
        <v>470200</v>
      </c>
      <c r="H587" s="2">
        <f t="shared" si="72"/>
        <v>2012</v>
      </c>
      <c r="I587" s="2">
        <f t="shared" si="73"/>
        <v>10</v>
      </c>
      <c r="J587" s="2">
        <f t="shared" si="74"/>
        <v>22</v>
      </c>
      <c r="K587" s="2">
        <f t="shared" si="75"/>
        <v>2</v>
      </c>
      <c r="L587" s="2">
        <f t="shared" si="76"/>
        <v>11</v>
      </c>
      <c r="M587" s="3">
        <f t="shared" si="77"/>
        <v>27.74</v>
      </c>
      <c r="N587" s="1">
        <f t="shared" ca="1" si="78"/>
        <v>27.74</v>
      </c>
      <c r="O587" s="5">
        <f t="shared" si="79"/>
        <v>3.965392934390799E-3</v>
      </c>
    </row>
    <row r="588" spans="1:15" s="2" customFormat="1" x14ac:dyDescent="0.5">
      <c r="A588" s="6">
        <v>41205</v>
      </c>
      <c r="B588" s="1">
        <v>27.379999000000002</v>
      </c>
      <c r="C588" s="1">
        <v>28.559999000000001</v>
      </c>
      <c r="D588" s="1">
        <v>27.370000999999998</v>
      </c>
      <c r="E588" s="1">
        <v>28.389999</v>
      </c>
      <c r="F588" s="1">
        <v>28.389999</v>
      </c>
      <c r="G588" s="2">
        <v>749000</v>
      </c>
      <c r="H588" s="2">
        <f t="shared" si="72"/>
        <v>2012</v>
      </c>
      <c r="I588" s="2">
        <f t="shared" si="73"/>
        <v>10</v>
      </c>
      <c r="J588" s="2">
        <f t="shared" si="74"/>
        <v>23</v>
      </c>
      <c r="K588" s="2">
        <f t="shared" si="75"/>
        <v>3</v>
      </c>
      <c r="L588" s="2">
        <f t="shared" si="76"/>
        <v>11</v>
      </c>
      <c r="M588" s="3">
        <f t="shared" si="77"/>
        <v>27.85</v>
      </c>
      <c r="N588" s="1">
        <f t="shared" ca="1" si="78"/>
        <v>27.85</v>
      </c>
      <c r="O588" s="5">
        <f t="shared" si="79"/>
        <v>1.9389551166965724E-2</v>
      </c>
    </row>
    <row r="589" spans="1:15" s="2" customFormat="1" x14ac:dyDescent="0.5">
      <c r="A589" s="6">
        <v>41206</v>
      </c>
      <c r="B589" s="1">
        <v>28.52</v>
      </c>
      <c r="C589" s="1">
        <v>28.52</v>
      </c>
      <c r="D589" s="1">
        <v>27.25</v>
      </c>
      <c r="E589" s="1">
        <v>27.42</v>
      </c>
      <c r="F589" s="1">
        <v>27.42</v>
      </c>
      <c r="G589" s="2">
        <v>1016400</v>
      </c>
      <c r="H589" s="2">
        <f t="shared" si="72"/>
        <v>2012</v>
      </c>
      <c r="I589" s="2">
        <f t="shared" si="73"/>
        <v>10</v>
      </c>
      <c r="J589" s="2">
        <f t="shared" si="74"/>
        <v>24</v>
      </c>
      <c r="K589" s="2">
        <f t="shared" si="75"/>
        <v>4</v>
      </c>
      <c r="L589" s="2">
        <f t="shared" si="76"/>
        <v>11</v>
      </c>
      <c r="M589" s="3">
        <f t="shared" si="77"/>
        <v>28.389999</v>
      </c>
      <c r="N589" s="1">
        <f t="shared" ca="1" si="78"/>
        <v>28.389999</v>
      </c>
      <c r="O589" s="5">
        <f t="shared" si="79"/>
        <v>-3.4166926177066737E-2</v>
      </c>
    </row>
    <row r="590" spans="1:15" s="2" customFormat="1" x14ac:dyDescent="0.5">
      <c r="A590" s="6">
        <v>41207</v>
      </c>
      <c r="B590" s="1">
        <v>27.799999</v>
      </c>
      <c r="C590" s="1">
        <v>27.799999</v>
      </c>
      <c r="D590" s="1">
        <v>27.450001</v>
      </c>
      <c r="E590" s="1">
        <v>27.52</v>
      </c>
      <c r="F590" s="1">
        <v>27.52</v>
      </c>
      <c r="G590" s="2">
        <v>577700</v>
      </c>
      <c r="H590" s="2">
        <f t="shared" si="72"/>
        <v>2012</v>
      </c>
      <c r="I590" s="2">
        <f t="shared" si="73"/>
        <v>10</v>
      </c>
      <c r="J590" s="2">
        <f t="shared" si="74"/>
        <v>25</v>
      </c>
      <c r="K590" s="2">
        <f t="shared" si="75"/>
        <v>5</v>
      </c>
      <c r="L590" s="2">
        <f t="shared" si="76"/>
        <v>11</v>
      </c>
      <c r="M590" s="3">
        <f t="shared" si="77"/>
        <v>27.42</v>
      </c>
      <c r="N590" s="1">
        <f t="shared" ca="1" si="78"/>
        <v>27.42</v>
      </c>
      <c r="O590" s="5">
        <f t="shared" si="79"/>
        <v>3.6469730123995792E-3</v>
      </c>
    </row>
    <row r="591" spans="1:15" s="2" customFormat="1" x14ac:dyDescent="0.5">
      <c r="A591" s="6">
        <v>41208</v>
      </c>
      <c r="B591" s="1">
        <v>27.530000999999999</v>
      </c>
      <c r="C591" s="1">
        <v>27.799999</v>
      </c>
      <c r="D591" s="1">
        <v>27.02</v>
      </c>
      <c r="E591" s="1">
        <v>27.379999000000002</v>
      </c>
      <c r="F591" s="1">
        <v>27.379999000000002</v>
      </c>
      <c r="G591" s="2">
        <v>477400</v>
      </c>
      <c r="H591" s="2">
        <f t="shared" si="72"/>
        <v>2012</v>
      </c>
      <c r="I591" s="2">
        <f t="shared" si="73"/>
        <v>10</v>
      </c>
      <c r="J591" s="2">
        <f t="shared" si="74"/>
        <v>26</v>
      </c>
      <c r="K591" s="2">
        <f t="shared" si="75"/>
        <v>6</v>
      </c>
      <c r="L591" s="2">
        <f t="shared" si="76"/>
        <v>11</v>
      </c>
      <c r="M591" s="3">
        <f t="shared" si="77"/>
        <v>27.52</v>
      </c>
      <c r="N591" s="1">
        <f t="shared" ca="1" si="78"/>
        <v>27.52</v>
      </c>
      <c r="O591" s="5">
        <f t="shared" si="79"/>
        <v>-5.0872456395347765E-3</v>
      </c>
    </row>
    <row r="592" spans="1:15" s="2" customFormat="1" x14ac:dyDescent="0.5">
      <c r="A592" s="6">
        <v>41213</v>
      </c>
      <c r="B592" s="1">
        <v>27.700001</v>
      </c>
      <c r="C592" s="1">
        <v>28.35</v>
      </c>
      <c r="D592" s="1">
        <v>27.370000999999998</v>
      </c>
      <c r="E592" s="1">
        <v>28.129999000000002</v>
      </c>
      <c r="F592" s="1">
        <v>28.129999000000002</v>
      </c>
      <c r="G592" s="2">
        <v>775200</v>
      </c>
      <c r="H592" s="2">
        <f t="shared" si="72"/>
        <v>2012</v>
      </c>
      <c r="I592" s="2">
        <f t="shared" si="73"/>
        <v>10</v>
      </c>
      <c r="J592" s="2">
        <f t="shared" si="74"/>
        <v>31</v>
      </c>
      <c r="K592" s="2">
        <f t="shared" si="75"/>
        <v>4</v>
      </c>
      <c r="L592" s="2">
        <f t="shared" si="76"/>
        <v>11</v>
      </c>
      <c r="M592" s="3">
        <f t="shared" si="77"/>
        <v>27.379999000000002</v>
      </c>
      <c r="N592" s="1">
        <f t="shared" ca="1" si="78"/>
        <v>27.379999000000002</v>
      </c>
      <c r="O592" s="5">
        <f t="shared" si="79"/>
        <v>2.7392258122434621E-2</v>
      </c>
    </row>
    <row r="593" spans="1:15" s="2" customFormat="1" x14ac:dyDescent="0.5">
      <c r="A593" s="6">
        <v>41214</v>
      </c>
      <c r="B593" s="1">
        <v>28.25</v>
      </c>
      <c r="C593" s="1">
        <v>29.49</v>
      </c>
      <c r="D593" s="1">
        <v>28.200001</v>
      </c>
      <c r="E593" s="1">
        <v>29.25</v>
      </c>
      <c r="F593" s="1">
        <v>29.25</v>
      </c>
      <c r="G593" s="2">
        <v>1024100</v>
      </c>
      <c r="H593" s="2">
        <f t="shared" si="72"/>
        <v>2012</v>
      </c>
      <c r="I593" s="2">
        <f t="shared" si="73"/>
        <v>11</v>
      </c>
      <c r="J593" s="2">
        <f t="shared" si="74"/>
        <v>1</v>
      </c>
      <c r="K593" s="2">
        <f t="shared" si="75"/>
        <v>5</v>
      </c>
      <c r="L593" s="2">
        <f t="shared" si="76"/>
        <v>12</v>
      </c>
      <c r="M593" s="3">
        <f t="shared" si="77"/>
        <v>28.129999000000002</v>
      </c>
      <c r="N593" s="1">
        <f t="shared" ca="1" si="78"/>
        <v>28.129999000000002</v>
      </c>
      <c r="O593" s="5">
        <f t="shared" si="79"/>
        <v>3.9815180939039463E-2</v>
      </c>
    </row>
    <row r="594" spans="1:15" s="2" customFormat="1" x14ac:dyDescent="0.5">
      <c r="A594" s="6">
        <v>41215</v>
      </c>
      <c r="B594" s="1">
        <v>29.27</v>
      </c>
      <c r="C594" s="1">
        <v>29.549999</v>
      </c>
      <c r="D594" s="1">
        <v>28.549999</v>
      </c>
      <c r="E594" s="1">
        <v>28.92</v>
      </c>
      <c r="F594" s="1">
        <v>28.92</v>
      </c>
      <c r="G594" s="2">
        <v>1030300</v>
      </c>
      <c r="H594" s="2">
        <f t="shared" si="72"/>
        <v>2012</v>
      </c>
      <c r="I594" s="2">
        <f t="shared" si="73"/>
        <v>11</v>
      </c>
      <c r="J594" s="2">
        <f t="shared" si="74"/>
        <v>2</v>
      </c>
      <c r="K594" s="2">
        <f t="shared" si="75"/>
        <v>6</v>
      </c>
      <c r="L594" s="2">
        <f t="shared" si="76"/>
        <v>12</v>
      </c>
      <c r="M594" s="3">
        <f t="shared" si="77"/>
        <v>29.25</v>
      </c>
      <c r="N594" s="1">
        <f t="shared" ca="1" si="78"/>
        <v>29.25</v>
      </c>
      <c r="O594" s="5">
        <f t="shared" si="79"/>
        <v>-1.1282051282051175E-2</v>
      </c>
    </row>
    <row r="595" spans="1:15" s="2" customFormat="1" x14ac:dyDescent="0.5">
      <c r="A595" s="6">
        <v>41218</v>
      </c>
      <c r="B595" s="1">
        <v>29.799999</v>
      </c>
      <c r="C595" s="1">
        <v>31.58</v>
      </c>
      <c r="D595" s="1">
        <v>29.33</v>
      </c>
      <c r="E595" s="1">
        <v>31.5</v>
      </c>
      <c r="F595" s="1">
        <v>31.5</v>
      </c>
      <c r="G595" s="2">
        <v>2048900</v>
      </c>
      <c r="H595" s="2">
        <f t="shared" si="72"/>
        <v>2012</v>
      </c>
      <c r="I595" s="2">
        <f t="shared" si="73"/>
        <v>11</v>
      </c>
      <c r="J595" s="2">
        <f t="shared" si="74"/>
        <v>5</v>
      </c>
      <c r="K595" s="2">
        <f t="shared" si="75"/>
        <v>2</v>
      </c>
      <c r="L595" s="2">
        <f t="shared" si="76"/>
        <v>12</v>
      </c>
      <c r="M595" s="3">
        <f t="shared" si="77"/>
        <v>28.92</v>
      </c>
      <c r="N595" s="1">
        <f t="shared" ca="1" si="78"/>
        <v>28.92</v>
      </c>
      <c r="O595" s="5">
        <f t="shared" si="79"/>
        <v>8.9211618257261316E-2</v>
      </c>
    </row>
    <row r="596" spans="1:15" s="2" customFormat="1" x14ac:dyDescent="0.5">
      <c r="A596" s="6">
        <v>41219</v>
      </c>
      <c r="B596" s="1">
        <v>30.610001</v>
      </c>
      <c r="C596" s="1">
        <v>31.200001</v>
      </c>
      <c r="D596" s="1">
        <v>29.950001</v>
      </c>
      <c r="E596" s="1">
        <v>31.15</v>
      </c>
      <c r="F596" s="1">
        <v>31.15</v>
      </c>
      <c r="G596" s="2">
        <v>2324000</v>
      </c>
      <c r="H596" s="2">
        <f t="shared" si="72"/>
        <v>2012</v>
      </c>
      <c r="I596" s="2">
        <f t="shared" si="73"/>
        <v>11</v>
      </c>
      <c r="J596" s="2">
        <f t="shared" si="74"/>
        <v>6</v>
      </c>
      <c r="K596" s="2">
        <f t="shared" si="75"/>
        <v>3</v>
      </c>
      <c r="L596" s="2">
        <f t="shared" si="76"/>
        <v>12</v>
      </c>
      <c r="M596" s="3">
        <f t="shared" si="77"/>
        <v>31.5</v>
      </c>
      <c r="N596" s="1">
        <f t="shared" ca="1" si="78"/>
        <v>31.5</v>
      </c>
      <c r="O596" s="5">
        <f t="shared" si="79"/>
        <v>-1.1111111111111183E-2</v>
      </c>
    </row>
    <row r="597" spans="1:15" s="2" customFormat="1" x14ac:dyDescent="0.5">
      <c r="A597" s="6">
        <v>41220</v>
      </c>
      <c r="B597" s="1">
        <v>31</v>
      </c>
      <c r="C597" s="1">
        <v>32.049999</v>
      </c>
      <c r="D597" s="1">
        <v>30.809999000000001</v>
      </c>
      <c r="E597" s="1">
        <v>31.540001</v>
      </c>
      <c r="F597" s="1">
        <v>31.540001</v>
      </c>
      <c r="G597" s="2">
        <v>1714500</v>
      </c>
      <c r="H597" s="2">
        <f t="shared" si="72"/>
        <v>2012</v>
      </c>
      <c r="I597" s="2">
        <f t="shared" si="73"/>
        <v>11</v>
      </c>
      <c r="J597" s="2">
        <f t="shared" si="74"/>
        <v>7</v>
      </c>
      <c r="K597" s="2">
        <f t="shared" si="75"/>
        <v>4</v>
      </c>
      <c r="L597" s="2">
        <f t="shared" si="76"/>
        <v>12</v>
      </c>
      <c r="M597" s="3">
        <f t="shared" si="77"/>
        <v>31.15</v>
      </c>
      <c r="N597" s="1">
        <f t="shared" ca="1" si="78"/>
        <v>31.15</v>
      </c>
      <c r="O597" s="5">
        <f t="shared" si="79"/>
        <v>1.2520096308186179E-2</v>
      </c>
    </row>
    <row r="598" spans="1:15" s="2" customFormat="1" x14ac:dyDescent="0.5">
      <c r="A598" s="6">
        <v>41221</v>
      </c>
      <c r="B598" s="1">
        <v>31.01</v>
      </c>
      <c r="C598" s="1">
        <v>31.879999000000002</v>
      </c>
      <c r="D598" s="1">
        <v>30.940000999999999</v>
      </c>
      <c r="E598" s="1">
        <v>31.309999000000001</v>
      </c>
      <c r="F598" s="1">
        <v>31.309999000000001</v>
      </c>
      <c r="G598" s="2">
        <v>1274000</v>
      </c>
      <c r="H598" s="2">
        <f t="shared" si="72"/>
        <v>2012</v>
      </c>
      <c r="I598" s="2">
        <f t="shared" si="73"/>
        <v>11</v>
      </c>
      <c r="J598" s="2">
        <f t="shared" si="74"/>
        <v>8</v>
      </c>
      <c r="K598" s="2">
        <f t="shared" si="75"/>
        <v>5</v>
      </c>
      <c r="L598" s="2">
        <f t="shared" si="76"/>
        <v>12</v>
      </c>
      <c r="M598" s="3">
        <f t="shared" si="77"/>
        <v>31.540001</v>
      </c>
      <c r="N598" s="1">
        <f t="shared" ca="1" si="78"/>
        <v>31.540001</v>
      </c>
      <c r="O598" s="5">
        <f t="shared" si="79"/>
        <v>-7.2923903838810755E-3</v>
      </c>
    </row>
    <row r="599" spans="1:15" s="2" customFormat="1" x14ac:dyDescent="0.5">
      <c r="A599" s="6">
        <v>41222</v>
      </c>
      <c r="B599" s="1">
        <v>30.6</v>
      </c>
      <c r="C599" s="1">
        <v>30.93</v>
      </c>
      <c r="D599" s="1">
        <v>29.85</v>
      </c>
      <c r="E599" s="1">
        <v>30.32</v>
      </c>
      <c r="F599" s="1">
        <v>30.32</v>
      </c>
      <c r="G599" s="2">
        <v>863000</v>
      </c>
      <c r="H599" s="2">
        <f t="shared" si="72"/>
        <v>2012</v>
      </c>
      <c r="I599" s="2">
        <f t="shared" si="73"/>
        <v>11</v>
      </c>
      <c r="J599" s="2">
        <f t="shared" si="74"/>
        <v>9</v>
      </c>
      <c r="K599" s="2">
        <f t="shared" si="75"/>
        <v>6</v>
      </c>
      <c r="L599" s="2">
        <f t="shared" si="76"/>
        <v>12</v>
      </c>
      <c r="M599" s="3">
        <f t="shared" si="77"/>
        <v>31.309999000000001</v>
      </c>
      <c r="N599" s="1">
        <f t="shared" ca="1" si="78"/>
        <v>31.309999000000001</v>
      </c>
      <c r="O599" s="5">
        <f t="shared" si="79"/>
        <v>-3.1619260032553886E-2</v>
      </c>
    </row>
    <row r="600" spans="1:15" s="2" customFormat="1" x14ac:dyDescent="0.5">
      <c r="A600" s="6">
        <v>41225</v>
      </c>
      <c r="B600" s="1">
        <v>30.290001</v>
      </c>
      <c r="C600" s="1">
        <v>31.42</v>
      </c>
      <c r="D600" s="1">
        <v>30.16</v>
      </c>
      <c r="E600" s="1">
        <v>31.07</v>
      </c>
      <c r="F600" s="1">
        <v>31.07</v>
      </c>
      <c r="G600" s="2">
        <v>555900</v>
      </c>
      <c r="H600" s="2">
        <f t="shared" si="72"/>
        <v>2012</v>
      </c>
      <c r="I600" s="2">
        <f t="shared" si="73"/>
        <v>11</v>
      </c>
      <c r="J600" s="2">
        <f t="shared" si="74"/>
        <v>12</v>
      </c>
      <c r="K600" s="2">
        <f t="shared" si="75"/>
        <v>2</v>
      </c>
      <c r="L600" s="2">
        <f t="shared" si="76"/>
        <v>12</v>
      </c>
      <c r="M600" s="3">
        <f t="shared" si="77"/>
        <v>30.32</v>
      </c>
      <c r="N600" s="1">
        <f t="shared" ca="1" si="78"/>
        <v>30.32</v>
      </c>
      <c r="O600" s="5">
        <f t="shared" si="79"/>
        <v>2.4736147757255855E-2</v>
      </c>
    </row>
    <row r="601" spans="1:15" s="2" customFormat="1" x14ac:dyDescent="0.5">
      <c r="A601" s="6">
        <v>41226</v>
      </c>
      <c r="B601" s="1">
        <v>31.290001</v>
      </c>
      <c r="C601" s="1">
        <v>32</v>
      </c>
      <c r="D601" s="1">
        <v>30.719999000000001</v>
      </c>
      <c r="E601" s="1">
        <v>31.610001</v>
      </c>
      <c r="F601" s="1">
        <v>31.610001</v>
      </c>
      <c r="G601" s="2">
        <v>998300</v>
      </c>
      <c r="H601" s="2">
        <f t="shared" si="72"/>
        <v>2012</v>
      </c>
      <c r="I601" s="2">
        <f t="shared" si="73"/>
        <v>11</v>
      </c>
      <c r="J601" s="2">
        <f t="shared" si="74"/>
        <v>13</v>
      </c>
      <c r="K601" s="2">
        <f t="shared" si="75"/>
        <v>3</v>
      </c>
      <c r="L601" s="2">
        <f t="shared" si="76"/>
        <v>12</v>
      </c>
      <c r="M601" s="3">
        <f t="shared" si="77"/>
        <v>31.07</v>
      </c>
      <c r="N601" s="1">
        <f t="shared" ca="1" si="78"/>
        <v>31.07</v>
      </c>
      <c r="O601" s="5">
        <f t="shared" si="79"/>
        <v>1.7380141615706446E-2</v>
      </c>
    </row>
    <row r="602" spans="1:15" s="2" customFormat="1" x14ac:dyDescent="0.5">
      <c r="A602" s="6">
        <v>41227</v>
      </c>
      <c r="B602" s="1">
        <v>31.959999</v>
      </c>
      <c r="C602" s="1">
        <v>32.119999</v>
      </c>
      <c r="D602" s="1">
        <v>31.200001</v>
      </c>
      <c r="E602" s="1">
        <v>31.379999000000002</v>
      </c>
      <c r="F602" s="1">
        <v>31.379999000000002</v>
      </c>
      <c r="G602" s="2">
        <v>871300</v>
      </c>
      <c r="H602" s="2">
        <f t="shared" si="72"/>
        <v>2012</v>
      </c>
      <c r="I602" s="2">
        <f t="shared" si="73"/>
        <v>11</v>
      </c>
      <c r="J602" s="2">
        <f t="shared" si="74"/>
        <v>14</v>
      </c>
      <c r="K602" s="2">
        <f t="shared" si="75"/>
        <v>4</v>
      </c>
      <c r="L602" s="2">
        <f t="shared" si="76"/>
        <v>12</v>
      </c>
      <c r="M602" s="3">
        <f t="shared" si="77"/>
        <v>31.610001</v>
      </c>
      <c r="N602" s="1">
        <f t="shared" ca="1" si="78"/>
        <v>31.610001</v>
      </c>
      <c r="O602" s="5">
        <f t="shared" si="79"/>
        <v>-7.2762414654778951E-3</v>
      </c>
    </row>
    <row r="603" spans="1:15" s="2" customFormat="1" x14ac:dyDescent="0.5">
      <c r="A603" s="6">
        <v>41228</v>
      </c>
      <c r="B603" s="1">
        <v>31.299999</v>
      </c>
      <c r="C603" s="1">
        <v>31.440000999999999</v>
      </c>
      <c r="D603" s="1">
        <v>30.5</v>
      </c>
      <c r="E603" s="1">
        <v>30.82</v>
      </c>
      <c r="F603" s="1">
        <v>30.82</v>
      </c>
      <c r="G603" s="2">
        <v>984000</v>
      </c>
      <c r="H603" s="2">
        <f t="shared" si="72"/>
        <v>2012</v>
      </c>
      <c r="I603" s="2">
        <f t="shared" si="73"/>
        <v>11</v>
      </c>
      <c r="J603" s="2">
        <f t="shared" si="74"/>
        <v>15</v>
      </c>
      <c r="K603" s="2">
        <f t="shared" si="75"/>
        <v>5</v>
      </c>
      <c r="L603" s="2">
        <f t="shared" si="76"/>
        <v>12</v>
      </c>
      <c r="M603" s="3">
        <f t="shared" si="77"/>
        <v>31.379999000000002</v>
      </c>
      <c r="N603" s="1">
        <f t="shared" ca="1" si="78"/>
        <v>31.379999000000002</v>
      </c>
      <c r="O603" s="5">
        <f t="shared" si="79"/>
        <v>-1.7845730332878618E-2</v>
      </c>
    </row>
    <row r="604" spans="1:15" s="2" customFormat="1" x14ac:dyDescent="0.5">
      <c r="A604" s="6">
        <v>41229</v>
      </c>
      <c r="B604" s="1">
        <v>31.15</v>
      </c>
      <c r="C604" s="1">
        <v>32</v>
      </c>
      <c r="D604" s="1">
        <v>30.59</v>
      </c>
      <c r="E604" s="1">
        <v>31.84</v>
      </c>
      <c r="F604" s="1">
        <v>31.84</v>
      </c>
      <c r="G604" s="2">
        <v>908700</v>
      </c>
      <c r="H604" s="2">
        <f t="shared" si="72"/>
        <v>2012</v>
      </c>
      <c r="I604" s="2">
        <f t="shared" si="73"/>
        <v>11</v>
      </c>
      <c r="J604" s="2">
        <f t="shared" si="74"/>
        <v>16</v>
      </c>
      <c r="K604" s="2">
        <f t="shared" si="75"/>
        <v>6</v>
      </c>
      <c r="L604" s="2">
        <f t="shared" si="76"/>
        <v>12</v>
      </c>
      <c r="M604" s="3">
        <f t="shared" si="77"/>
        <v>30.82</v>
      </c>
      <c r="N604" s="1">
        <f t="shared" ca="1" si="78"/>
        <v>30.82</v>
      </c>
      <c r="O604" s="5">
        <f t="shared" si="79"/>
        <v>3.3095392602206397E-2</v>
      </c>
    </row>
    <row r="605" spans="1:15" s="2" customFormat="1" x14ac:dyDescent="0.5">
      <c r="A605" s="6">
        <v>41232</v>
      </c>
      <c r="B605" s="1">
        <v>32.07</v>
      </c>
      <c r="C605" s="1">
        <v>33.25</v>
      </c>
      <c r="D605" s="1">
        <v>31.84</v>
      </c>
      <c r="E605" s="1">
        <v>32.919998</v>
      </c>
      <c r="F605" s="1">
        <v>32.919998</v>
      </c>
      <c r="G605" s="2">
        <v>1392400</v>
      </c>
      <c r="H605" s="2">
        <f t="shared" si="72"/>
        <v>2012</v>
      </c>
      <c r="I605" s="2">
        <f t="shared" si="73"/>
        <v>11</v>
      </c>
      <c r="J605" s="2">
        <f t="shared" si="74"/>
        <v>19</v>
      </c>
      <c r="K605" s="2">
        <f t="shared" si="75"/>
        <v>2</v>
      </c>
      <c r="L605" s="2">
        <f t="shared" si="76"/>
        <v>12</v>
      </c>
      <c r="M605" s="3">
        <f t="shared" si="77"/>
        <v>31.84</v>
      </c>
      <c r="N605" s="1">
        <f t="shared" ca="1" si="78"/>
        <v>31.84</v>
      </c>
      <c r="O605" s="5">
        <f t="shared" si="79"/>
        <v>3.3919535175879423E-2</v>
      </c>
    </row>
    <row r="606" spans="1:15" s="2" customFormat="1" x14ac:dyDescent="0.5">
      <c r="A606" s="6">
        <v>41233</v>
      </c>
      <c r="B606" s="1">
        <v>32.799999</v>
      </c>
      <c r="C606" s="1">
        <v>33.099997999999999</v>
      </c>
      <c r="D606" s="1">
        <v>31.91</v>
      </c>
      <c r="E606" s="1">
        <v>33</v>
      </c>
      <c r="F606" s="1">
        <v>33</v>
      </c>
      <c r="G606" s="2">
        <v>922500</v>
      </c>
      <c r="H606" s="2">
        <f t="shared" si="72"/>
        <v>2012</v>
      </c>
      <c r="I606" s="2">
        <f t="shared" si="73"/>
        <v>11</v>
      </c>
      <c r="J606" s="2">
        <f t="shared" si="74"/>
        <v>20</v>
      </c>
      <c r="K606" s="2">
        <f t="shared" si="75"/>
        <v>3</v>
      </c>
      <c r="L606" s="2">
        <f t="shared" si="76"/>
        <v>12</v>
      </c>
      <c r="M606" s="3">
        <f t="shared" si="77"/>
        <v>32.919998</v>
      </c>
      <c r="N606" s="1">
        <f t="shared" ca="1" si="78"/>
        <v>32.919998</v>
      </c>
      <c r="O606" s="5">
        <f t="shared" si="79"/>
        <v>2.4301945583349305E-3</v>
      </c>
    </row>
    <row r="607" spans="1:15" s="2" customFormat="1" x14ac:dyDescent="0.5">
      <c r="A607" s="6">
        <v>41234</v>
      </c>
      <c r="B607" s="1">
        <v>32.610000999999997</v>
      </c>
      <c r="C607" s="1">
        <v>33.470001000000003</v>
      </c>
      <c r="D607" s="1">
        <v>32.290000999999997</v>
      </c>
      <c r="E607" s="1">
        <v>32.470001000000003</v>
      </c>
      <c r="F607" s="1">
        <v>32.470001000000003</v>
      </c>
      <c r="G607" s="2">
        <v>963200</v>
      </c>
      <c r="H607" s="2">
        <f t="shared" si="72"/>
        <v>2012</v>
      </c>
      <c r="I607" s="2">
        <f t="shared" si="73"/>
        <v>11</v>
      </c>
      <c r="J607" s="2">
        <f t="shared" si="74"/>
        <v>21</v>
      </c>
      <c r="K607" s="2">
        <f t="shared" si="75"/>
        <v>4</v>
      </c>
      <c r="L607" s="2">
        <f t="shared" si="76"/>
        <v>12</v>
      </c>
      <c r="M607" s="3">
        <f t="shared" si="77"/>
        <v>33</v>
      </c>
      <c r="N607" s="1">
        <f t="shared" ca="1" si="78"/>
        <v>33</v>
      </c>
      <c r="O607" s="5">
        <f t="shared" si="79"/>
        <v>-1.606057575757569E-2</v>
      </c>
    </row>
    <row r="608" spans="1:15" s="2" customFormat="1" x14ac:dyDescent="0.5">
      <c r="A608" s="6">
        <v>41236</v>
      </c>
      <c r="B608" s="1">
        <v>32.599997999999999</v>
      </c>
      <c r="C608" s="1">
        <v>32.830002</v>
      </c>
      <c r="D608" s="1">
        <v>31.700001</v>
      </c>
      <c r="E608" s="1">
        <v>32.130001</v>
      </c>
      <c r="F608" s="1">
        <v>32.130001</v>
      </c>
      <c r="G608" s="2">
        <v>430300</v>
      </c>
      <c r="H608" s="2">
        <f t="shared" si="72"/>
        <v>2012</v>
      </c>
      <c r="I608" s="2">
        <f t="shared" si="73"/>
        <v>11</v>
      </c>
      <c r="J608" s="2">
        <f t="shared" si="74"/>
        <v>23</v>
      </c>
      <c r="K608" s="2">
        <f t="shared" si="75"/>
        <v>6</v>
      </c>
      <c r="L608" s="2">
        <f t="shared" si="76"/>
        <v>12</v>
      </c>
      <c r="M608" s="3">
        <f t="shared" si="77"/>
        <v>32.470001000000003</v>
      </c>
      <c r="N608" s="1">
        <f t="shared" ca="1" si="78"/>
        <v>32.470001000000003</v>
      </c>
      <c r="O608" s="5">
        <f t="shared" si="79"/>
        <v>-1.0471203865993206E-2</v>
      </c>
    </row>
    <row r="609" spans="1:15" s="2" customFormat="1" x14ac:dyDescent="0.5">
      <c r="A609" s="6">
        <v>41239</v>
      </c>
      <c r="B609" s="1">
        <v>32.099997999999999</v>
      </c>
      <c r="C609" s="1">
        <v>32.299999</v>
      </c>
      <c r="D609" s="1">
        <v>31.620000999999998</v>
      </c>
      <c r="E609" s="1">
        <v>32.270000000000003</v>
      </c>
      <c r="F609" s="1">
        <v>32.270000000000003</v>
      </c>
      <c r="G609" s="2">
        <v>495800</v>
      </c>
      <c r="H609" s="2">
        <f t="shared" si="72"/>
        <v>2012</v>
      </c>
      <c r="I609" s="2">
        <f t="shared" si="73"/>
        <v>11</v>
      </c>
      <c r="J609" s="2">
        <f t="shared" si="74"/>
        <v>26</v>
      </c>
      <c r="K609" s="2">
        <f t="shared" si="75"/>
        <v>2</v>
      </c>
      <c r="L609" s="2">
        <f t="shared" si="76"/>
        <v>12</v>
      </c>
      <c r="M609" s="3">
        <f t="shared" si="77"/>
        <v>32.130001</v>
      </c>
      <c r="N609" s="1">
        <f t="shared" ca="1" si="78"/>
        <v>32.130001</v>
      </c>
      <c r="O609" s="5">
        <f t="shared" si="79"/>
        <v>4.3572672157714543E-3</v>
      </c>
    </row>
    <row r="610" spans="1:15" s="2" customFormat="1" x14ac:dyDescent="0.5">
      <c r="A610" s="6">
        <v>41240</v>
      </c>
      <c r="B610" s="1">
        <v>32.130001</v>
      </c>
      <c r="C610" s="1">
        <v>32.659999999999997</v>
      </c>
      <c r="D610" s="1">
        <v>31.52</v>
      </c>
      <c r="E610" s="1">
        <v>32.150002000000001</v>
      </c>
      <c r="F610" s="1">
        <v>32.150002000000001</v>
      </c>
      <c r="G610" s="2">
        <v>910800</v>
      </c>
      <c r="H610" s="2">
        <f t="shared" si="72"/>
        <v>2012</v>
      </c>
      <c r="I610" s="2">
        <f t="shared" si="73"/>
        <v>11</v>
      </c>
      <c r="J610" s="2">
        <f t="shared" si="74"/>
        <v>27</v>
      </c>
      <c r="K610" s="2">
        <f t="shared" si="75"/>
        <v>3</v>
      </c>
      <c r="L610" s="2">
        <f t="shared" si="76"/>
        <v>12</v>
      </c>
      <c r="M610" s="3">
        <f t="shared" si="77"/>
        <v>32.270000000000003</v>
      </c>
      <c r="N610" s="1">
        <f t="shared" ca="1" si="78"/>
        <v>32.270000000000003</v>
      </c>
      <c r="O610" s="5">
        <f t="shared" si="79"/>
        <v>-3.7185621320112716E-3</v>
      </c>
    </row>
    <row r="611" spans="1:15" s="2" customFormat="1" x14ac:dyDescent="0.5">
      <c r="A611" s="6">
        <v>41241</v>
      </c>
      <c r="B611" s="1">
        <v>32</v>
      </c>
      <c r="C611" s="1">
        <v>34.290000999999997</v>
      </c>
      <c r="D611" s="1">
        <v>31.91</v>
      </c>
      <c r="E611" s="1">
        <v>33.229999999999997</v>
      </c>
      <c r="F611" s="1">
        <v>33.229999999999997</v>
      </c>
      <c r="G611" s="2">
        <v>1525200</v>
      </c>
      <c r="H611" s="2">
        <f t="shared" si="72"/>
        <v>2012</v>
      </c>
      <c r="I611" s="2">
        <f t="shared" si="73"/>
        <v>11</v>
      </c>
      <c r="J611" s="2">
        <f t="shared" si="74"/>
        <v>28</v>
      </c>
      <c r="K611" s="2">
        <f t="shared" si="75"/>
        <v>4</v>
      </c>
      <c r="L611" s="2">
        <f t="shared" si="76"/>
        <v>12</v>
      </c>
      <c r="M611" s="3">
        <f t="shared" si="77"/>
        <v>32.150002000000001</v>
      </c>
      <c r="N611" s="1">
        <f t="shared" ca="1" si="78"/>
        <v>32.150002000000001</v>
      </c>
      <c r="O611" s="5">
        <f t="shared" si="79"/>
        <v>3.3592470694091991E-2</v>
      </c>
    </row>
    <row r="612" spans="1:15" s="2" customFormat="1" x14ac:dyDescent="0.5">
      <c r="A612" s="6">
        <v>41242</v>
      </c>
      <c r="B612" s="1">
        <v>33.439999</v>
      </c>
      <c r="C612" s="1">
        <v>34</v>
      </c>
      <c r="D612" s="1">
        <v>32.869999</v>
      </c>
      <c r="E612" s="1">
        <v>33.689999</v>
      </c>
      <c r="F612" s="1">
        <v>33.689999</v>
      </c>
      <c r="G612" s="2">
        <v>1103400</v>
      </c>
      <c r="H612" s="2">
        <f t="shared" si="72"/>
        <v>2012</v>
      </c>
      <c r="I612" s="2">
        <f t="shared" si="73"/>
        <v>11</v>
      </c>
      <c r="J612" s="2">
        <f t="shared" si="74"/>
        <v>29</v>
      </c>
      <c r="K612" s="2">
        <f t="shared" si="75"/>
        <v>5</v>
      </c>
      <c r="L612" s="2">
        <f t="shared" si="76"/>
        <v>12</v>
      </c>
      <c r="M612" s="3">
        <f t="shared" si="77"/>
        <v>33.229999999999997</v>
      </c>
      <c r="N612" s="1">
        <f t="shared" ca="1" si="78"/>
        <v>33.229999999999997</v>
      </c>
      <c r="O612" s="5">
        <f t="shared" si="79"/>
        <v>1.3842882937105117E-2</v>
      </c>
    </row>
    <row r="613" spans="1:15" s="2" customFormat="1" x14ac:dyDescent="0.5">
      <c r="A613" s="6">
        <v>41243</v>
      </c>
      <c r="B613" s="1">
        <v>33.630001</v>
      </c>
      <c r="C613" s="1">
        <v>34.279998999999997</v>
      </c>
      <c r="D613" s="1">
        <v>33.009998000000003</v>
      </c>
      <c r="E613" s="1">
        <v>33.82</v>
      </c>
      <c r="F613" s="1">
        <v>33.82</v>
      </c>
      <c r="G613" s="2">
        <v>1420300</v>
      </c>
      <c r="H613" s="2">
        <f t="shared" si="72"/>
        <v>2012</v>
      </c>
      <c r="I613" s="2">
        <f t="shared" si="73"/>
        <v>11</v>
      </c>
      <c r="J613" s="2">
        <f t="shared" si="74"/>
        <v>30</v>
      </c>
      <c r="K613" s="2">
        <f t="shared" si="75"/>
        <v>6</v>
      </c>
      <c r="L613" s="2">
        <f t="shared" si="76"/>
        <v>12</v>
      </c>
      <c r="M613" s="3">
        <f t="shared" si="77"/>
        <v>33.689999</v>
      </c>
      <c r="N613" s="1">
        <f t="shared" ca="1" si="78"/>
        <v>33.689999</v>
      </c>
      <c r="O613" s="5">
        <f t="shared" si="79"/>
        <v>3.8587415808470915E-3</v>
      </c>
    </row>
    <row r="614" spans="1:15" s="2" customFormat="1" x14ac:dyDescent="0.5">
      <c r="A614" s="6">
        <v>41246</v>
      </c>
      <c r="B614" s="1">
        <v>33.889999000000003</v>
      </c>
      <c r="C614" s="1">
        <v>35</v>
      </c>
      <c r="D614" s="1">
        <v>33.5</v>
      </c>
      <c r="E614" s="1">
        <v>34.619999</v>
      </c>
      <c r="F614" s="1">
        <v>34.619999</v>
      </c>
      <c r="G614" s="2">
        <v>2085700</v>
      </c>
      <c r="H614" s="2">
        <f t="shared" si="72"/>
        <v>2012</v>
      </c>
      <c r="I614" s="2">
        <f t="shared" si="73"/>
        <v>12</v>
      </c>
      <c r="J614" s="2">
        <f t="shared" si="74"/>
        <v>3</v>
      </c>
      <c r="K614" s="2">
        <f t="shared" si="75"/>
        <v>2</v>
      </c>
      <c r="L614" s="2">
        <f t="shared" si="76"/>
        <v>13</v>
      </c>
      <c r="M614" s="3">
        <f t="shared" si="77"/>
        <v>33.82</v>
      </c>
      <c r="N614" s="1">
        <f t="shared" ca="1" si="78"/>
        <v>33.82</v>
      </c>
      <c r="O614" s="5">
        <f t="shared" si="79"/>
        <v>2.3654612655233498E-2</v>
      </c>
    </row>
    <row r="615" spans="1:15" s="2" customFormat="1" x14ac:dyDescent="0.5">
      <c r="A615" s="6">
        <v>41247</v>
      </c>
      <c r="B615" s="1">
        <v>34.080002</v>
      </c>
      <c r="C615" s="1">
        <v>34.799999</v>
      </c>
      <c r="D615" s="1">
        <v>33.549999</v>
      </c>
      <c r="E615" s="1">
        <v>33.900002000000001</v>
      </c>
      <c r="F615" s="1">
        <v>33.900002000000001</v>
      </c>
      <c r="G615" s="2">
        <v>1263300</v>
      </c>
      <c r="H615" s="2">
        <f t="shared" si="72"/>
        <v>2012</v>
      </c>
      <c r="I615" s="2">
        <f t="shared" si="73"/>
        <v>12</v>
      </c>
      <c r="J615" s="2">
        <f t="shared" si="74"/>
        <v>4</v>
      </c>
      <c r="K615" s="2">
        <f t="shared" si="75"/>
        <v>3</v>
      </c>
      <c r="L615" s="2">
        <f t="shared" si="76"/>
        <v>13</v>
      </c>
      <c r="M615" s="3">
        <f t="shared" si="77"/>
        <v>34.619999</v>
      </c>
      <c r="N615" s="1">
        <f t="shared" ca="1" si="78"/>
        <v>34.619999</v>
      </c>
      <c r="O615" s="5">
        <f t="shared" si="79"/>
        <v>-2.0797140982008688E-2</v>
      </c>
    </row>
    <row r="616" spans="1:15" s="2" customFormat="1" x14ac:dyDescent="0.5">
      <c r="A616" s="6">
        <v>41248</v>
      </c>
      <c r="B616" s="1">
        <v>33.82</v>
      </c>
      <c r="C616" s="1">
        <v>34.189999</v>
      </c>
      <c r="D616" s="1">
        <v>33.580002</v>
      </c>
      <c r="E616" s="1">
        <v>33.709999000000003</v>
      </c>
      <c r="F616" s="1">
        <v>33.709999000000003</v>
      </c>
      <c r="G616" s="2">
        <v>661500</v>
      </c>
      <c r="H616" s="2">
        <f t="shared" si="72"/>
        <v>2012</v>
      </c>
      <c r="I616" s="2">
        <f t="shared" si="73"/>
        <v>12</v>
      </c>
      <c r="J616" s="2">
        <f t="shared" si="74"/>
        <v>5</v>
      </c>
      <c r="K616" s="2">
        <f t="shared" si="75"/>
        <v>4</v>
      </c>
      <c r="L616" s="2">
        <f t="shared" si="76"/>
        <v>13</v>
      </c>
      <c r="M616" s="3">
        <f t="shared" si="77"/>
        <v>33.900002000000001</v>
      </c>
      <c r="N616" s="1">
        <f t="shared" ca="1" si="78"/>
        <v>33.900002000000001</v>
      </c>
      <c r="O616" s="5">
        <f t="shared" si="79"/>
        <v>-5.6048079289198194E-3</v>
      </c>
    </row>
    <row r="617" spans="1:15" s="2" customFormat="1" x14ac:dyDescent="0.5">
      <c r="A617" s="6">
        <v>41249</v>
      </c>
      <c r="B617" s="1">
        <v>33.82</v>
      </c>
      <c r="C617" s="1">
        <v>34.799999</v>
      </c>
      <c r="D617" s="1">
        <v>33.5</v>
      </c>
      <c r="E617" s="1">
        <v>33.900002000000001</v>
      </c>
      <c r="F617" s="1">
        <v>33.900002000000001</v>
      </c>
      <c r="G617" s="2">
        <v>660400</v>
      </c>
      <c r="H617" s="2">
        <f t="shared" si="72"/>
        <v>2012</v>
      </c>
      <c r="I617" s="2">
        <f t="shared" si="73"/>
        <v>12</v>
      </c>
      <c r="J617" s="2">
        <f t="shared" si="74"/>
        <v>6</v>
      </c>
      <c r="K617" s="2">
        <f t="shared" si="75"/>
        <v>5</v>
      </c>
      <c r="L617" s="2">
        <f t="shared" si="76"/>
        <v>13</v>
      </c>
      <c r="M617" s="3">
        <f t="shared" si="77"/>
        <v>33.709999000000003</v>
      </c>
      <c r="N617" s="1">
        <f t="shared" ca="1" si="78"/>
        <v>33.709999000000003</v>
      </c>
      <c r="O617" s="5">
        <f t="shared" si="79"/>
        <v>5.6363988619518857E-3</v>
      </c>
    </row>
    <row r="618" spans="1:15" s="2" customFormat="1" x14ac:dyDescent="0.5">
      <c r="A618" s="6">
        <v>41250</v>
      </c>
      <c r="B618" s="1">
        <v>34.299999</v>
      </c>
      <c r="C618" s="1">
        <v>34.490001999999997</v>
      </c>
      <c r="D618" s="1">
        <v>33.849997999999999</v>
      </c>
      <c r="E618" s="1">
        <v>34.169998</v>
      </c>
      <c r="F618" s="1">
        <v>34.169998</v>
      </c>
      <c r="G618" s="2">
        <v>664400</v>
      </c>
      <c r="H618" s="2">
        <f t="shared" si="72"/>
        <v>2012</v>
      </c>
      <c r="I618" s="2">
        <f t="shared" si="73"/>
        <v>12</v>
      </c>
      <c r="J618" s="2">
        <f t="shared" si="74"/>
        <v>7</v>
      </c>
      <c r="K618" s="2">
        <f t="shared" si="75"/>
        <v>6</v>
      </c>
      <c r="L618" s="2">
        <f t="shared" si="76"/>
        <v>13</v>
      </c>
      <c r="M618" s="3">
        <f t="shared" si="77"/>
        <v>33.900002000000001</v>
      </c>
      <c r="N618" s="1">
        <f t="shared" ca="1" si="78"/>
        <v>33.900002000000001</v>
      </c>
      <c r="O618" s="5">
        <f t="shared" si="79"/>
        <v>7.9644833059302478E-3</v>
      </c>
    </row>
    <row r="619" spans="1:15" s="2" customFormat="1" x14ac:dyDescent="0.5">
      <c r="A619" s="6">
        <v>41253</v>
      </c>
      <c r="B619" s="1">
        <v>34.43</v>
      </c>
      <c r="C619" s="1">
        <v>34.799999</v>
      </c>
      <c r="D619" s="1">
        <v>34.18</v>
      </c>
      <c r="E619" s="1">
        <v>34.57</v>
      </c>
      <c r="F619" s="1">
        <v>34.57</v>
      </c>
      <c r="G619" s="2">
        <v>929800</v>
      </c>
      <c r="H619" s="2">
        <f t="shared" si="72"/>
        <v>2012</v>
      </c>
      <c r="I619" s="2">
        <f t="shared" si="73"/>
        <v>12</v>
      </c>
      <c r="J619" s="2">
        <f t="shared" si="74"/>
        <v>10</v>
      </c>
      <c r="K619" s="2">
        <f t="shared" si="75"/>
        <v>2</v>
      </c>
      <c r="L619" s="2">
        <f t="shared" si="76"/>
        <v>13</v>
      </c>
      <c r="M619" s="3">
        <f t="shared" si="77"/>
        <v>34.169998</v>
      </c>
      <c r="N619" s="1">
        <f t="shared" ca="1" si="78"/>
        <v>34.169998</v>
      </c>
      <c r="O619" s="5">
        <f t="shared" si="79"/>
        <v>1.1706234223367584E-2</v>
      </c>
    </row>
    <row r="620" spans="1:15" s="2" customFormat="1" x14ac:dyDescent="0.5">
      <c r="A620" s="6">
        <v>41254</v>
      </c>
      <c r="B620" s="1">
        <v>34.599997999999999</v>
      </c>
      <c r="C620" s="1">
        <v>35.5</v>
      </c>
      <c r="D620" s="1">
        <v>34.459999000000003</v>
      </c>
      <c r="E620" s="1">
        <v>35.279998999999997</v>
      </c>
      <c r="F620" s="1">
        <v>35.279998999999997</v>
      </c>
      <c r="G620" s="2">
        <v>1572600</v>
      </c>
      <c r="H620" s="2">
        <f t="shared" si="72"/>
        <v>2012</v>
      </c>
      <c r="I620" s="2">
        <f t="shared" si="73"/>
        <v>12</v>
      </c>
      <c r="J620" s="2">
        <f t="shared" si="74"/>
        <v>11</v>
      </c>
      <c r="K620" s="2">
        <f t="shared" si="75"/>
        <v>3</v>
      </c>
      <c r="L620" s="2">
        <f t="shared" si="76"/>
        <v>13</v>
      </c>
      <c r="M620" s="3">
        <f t="shared" si="77"/>
        <v>34.57</v>
      </c>
      <c r="N620" s="1">
        <f t="shared" ca="1" si="78"/>
        <v>34.57</v>
      </c>
      <c r="O620" s="5">
        <f t="shared" si="79"/>
        <v>2.053800983511711E-2</v>
      </c>
    </row>
    <row r="621" spans="1:15" s="2" customFormat="1" x14ac:dyDescent="0.5">
      <c r="A621" s="6">
        <v>41255</v>
      </c>
      <c r="B621" s="1">
        <v>35.209999000000003</v>
      </c>
      <c r="C621" s="1">
        <v>35.799999</v>
      </c>
      <c r="D621" s="1">
        <v>34.950001</v>
      </c>
      <c r="E621" s="1">
        <v>35.259998000000003</v>
      </c>
      <c r="F621" s="1">
        <v>35.259998000000003</v>
      </c>
      <c r="G621" s="2">
        <v>2063800</v>
      </c>
      <c r="H621" s="2">
        <f t="shared" si="72"/>
        <v>2012</v>
      </c>
      <c r="I621" s="2">
        <f t="shared" si="73"/>
        <v>12</v>
      </c>
      <c r="J621" s="2">
        <f t="shared" si="74"/>
        <v>12</v>
      </c>
      <c r="K621" s="2">
        <f t="shared" si="75"/>
        <v>4</v>
      </c>
      <c r="L621" s="2">
        <f t="shared" si="76"/>
        <v>13</v>
      </c>
      <c r="M621" s="3">
        <f t="shared" si="77"/>
        <v>35.279998999999997</v>
      </c>
      <c r="N621" s="1">
        <f t="shared" ca="1" si="78"/>
        <v>35.279998999999997</v>
      </c>
      <c r="O621" s="5">
        <f t="shared" si="79"/>
        <v>-5.6692178477646404E-4</v>
      </c>
    </row>
    <row r="622" spans="1:15" s="2" customFormat="1" x14ac:dyDescent="0.5">
      <c r="A622" s="6">
        <v>41256</v>
      </c>
      <c r="B622" s="1">
        <v>35.259998000000003</v>
      </c>
      <c r="C622" s="1">
        <v>35.299999</v>
      </c>
      <c r="D622" s="1">
        <v>32.75</v>
      </c>
      <c r="E622" s="1">
        <v>33.610000999999997</v>
      </c>
      <c r="F622" s="1">
        <v>33.610000999999997</v>
      </c>
      <c r="G622" s="2">
        <v>2151300</v>
      </c>
      <c r="H622" s="2">
        <f t="shared" si="72"/>
        <v>2012</v>
      </c>
      <c r="I622" s="2">
        <f t="shared" si="73"/>
        <v>12</v>
      </c>
      <c r="J622" s="2">
        <f t="shared" si="74"/>
        <v>13</v>
      </c>
      <c r="K622" s="2">
        <f t="shared" si="75"/>
        <v>5</v>
      </c>
      <c r="L622" s="2">
        <f t="shared" si="76"/>
        <v>13</v>
      </c>
      <c r="M622" s="3">
        <f t="shared" si="77"/>
        <v>35.259998000000003</v>
      </c>
      <c r="N622" s="1">
        <f t="shared" ca="1" si="78"/>
        <v>35.259998000000003</v>
      </c>
      <c r="O622" s="5">
        <f t="shared" si="79"/>
        <v>-4.6795152966259579E-2</v>
      </c>
    </row>
    <row r="623" spans="1:15" s="2" customFormat="1" x14ac:dyDescent="0.5">
      <c r="A623" s="6">
        <v>41257</v>
      </c>
      <c r="B623" s="1">
        <v>33.779998999999997</v>
      </c>
      <c r="C623" s="1">
        <v>34.400002000000001</v>
      </c>
      <c r="D623" s="1">
        <v>33.590000000000003</v>
      </c>
      <c r="E623" s="1">
        <v>33.810001</v>
      </c>
      <c r="F623" s="1">
        <v>33.810001</v>
      </c>
      <c r="G623" s="2">
        <v>1023000</v>
      </c>
      <c r="H623" s="2">
        <f t="shared" si="72"/>
        <v>2012</v>
      </c>
      <c r="I623" s="2">
        <f t="shared" si="73"/>
        <v>12</v>
      </c>
      <c r="J623" s="2">
        <f t="shared" si="74"/>
        <v>14</v>
      </c>
      <c r="K623" s="2">
        <f t="shared" si="75"/>
        <v>6</v>
      </c>
      <c r="L623" s="2">
        <f t="shared" si="76"/>
        <v>13</v>
      </c>
      <c r="M623" s="3">
        <f t="shared" si="77"/>
        <v>33.610000999999997</v>
      </c>
      <c r="N623" s="1">
        <f t="shared" ca="1" si="78"/>
        <v>33.610000999999997</v>
      </c>
      <c r="O623" s="5">
        <f t="shared" si="79"/>
        <v>5.9506097604697938E-3</v>
      </c>
    </row>
    <row r="624" spans="1:15" s="2" customFormat="1" x14ac:dyDescent="0.5">
      <c r="A624" s="6">
        <v>41260</v>
      </c>
      <c r="B624" s="1">
        <v>33.770000000000003</v>
      </c>
      <c r="C624" s="1">
        <v>34.5</v>
      </c>
      <c r="D624" s="1">
        <v>33.75</v>
      </c>
      <c r="E624" s="1">
        <v>34.400002000000001</v>
      </c>
      <c r="F624" s="1">
        <v>34.400002000000001</v>
      </c>
      <c r="G624" s="2">
        <v>824900</v>
      </c>
      <c r="H624" s="2">
        <f t="shared" si="72"/>
        <v>2012</v>
      </c>
      <c r="I624" s="2">
        <f t="shared" si="73"/>
        <v>12</v>
      </c>
      <c r="J624" s="2">
        <f t="shared" si="74"/>
        <v>17</v>
      </c>
      <c r="K624" s="2">
        <f t="shared" si="75"/>
        <v>2</v>
      </c>
      <c r="L624" s="2">
        <f t="shared" si="76"/>
        <v>13</v>
      </c>
      <c r="M624" s="3">
        <f t="shared" si="77"/>
        <v>33.810001</v>
      </c>
      <c r="N624" s="1">
        <f t="shared" ca="1" si="78"/>
        <v>33.810001</v>
      </c>
      <c r="O624" s="5">
        <f t="shared" si="79"/>
        <v>1.7450487505161538E-2</v>
      </c>
    </row>
    <row r="625" spans="1:15" s="2" customFormat="1" x14ac:dyDescent="0.5">
      <c r="A625" s="6">
        <v>41261</v>
      </c>
      <c r="B625" s="1">
        <v>34.259998000000003</v>
      </c>
      <c r="C625" s="1">
        <v>35.07</v>
      </c>
      <c r="D625" s="1">
        <v>34.259998000000003</v>
      </c>
      <c r="E625" s="1">
        <v>34.590000000000003</v>
      </c>
      <c r="F625" s="1">
        <v>34.590000000000003</v>
      </c>
      <c r="G625" s="2">
        <v>1553900</v>
      </c>
      <c r="H625" s="2">
        <f t="shared" si="72"/>
        <v>2012</v>
      </c>
      <c r="I625" s="2">
        <f t="shared" si="73"/>
        <v>12</v>
      </c>
      <c r="J625" s="2">
        <f t="shared" si="74"/>
        <v>18</v>
      </c>
      <c r="K625" s="2">
        <f t="shared" si="75"/>
        <v>3</v>
      </c>
      <c r="L625" s="2">
        <f t="shared" si="76"/>
        <v>13</v>
      </c>
      <c r="M625" s="3">
        <f t="shared" si="77"/>
        <v>34.400002000000001</v>
      </c>
      <c r="N625" s="1">
        <f t="shared" ca="1" si="78"/>
        <v>34.400002000000001</v>
      </c>
      <c r="O625" s="5">
        <f t="shared" si="79"/>
        <v>5.5231973533025336E-3</v>
      </c>
    </row>
    <row r="626" spans="1:15" s="2" customFormat="1" x14ac:dyDescent="0.5">
      <c r="A626" s="6">
        <v>41262</v>
      </c>
      <c r="B626" s="1">
        <v>34.75</v>
      </c>
      <c r="C626" s="1">
        <v>35.259998000000003</v>
      </c>
      <c r="D626" s="1">
        <v>34.520000000000003</v>
      </c>
      <c r="E626" s="1">
        <v>34.610000999999997</v>
      </c>
      <c r="F626" s="1">
        <v>34.610000999999997</v>
      </c>
      <c r="G626" s="2">
        <v>1298800</v>
      </c>
      <c r="H626" s="2">
        <f t="shared" si="72"/>
        <v>2012</v>
      </c>
      <c r="I626" s="2">
        <f t="shared" si="73"/>
        <v>12</v>
      </c>
      <c r="J626" s="2">
        <f t="shared" si="74"/>
        <v>19</v>
      </c>
      <c r="K626" s="2">
        <f t="shared" si="75"/>
        <v>4</v>
      </c>
      <c r="L626" s="2">
        <f t="shared" si="76"/>
        <v>13</v>
      </c>
      <c r="M626" s="3">
        <f t="shared" si="77"/>
        <v>34.590000000000003</v>
      </c>
      <c r="N626" s="1">
        <f t="shared" ca="1" si="78"/>
        <v>34.590000000000003</v>
      </c>
      <c r="O626" s="5">
        <f t="shared" si="79"/>
        <v>5.7823070251505904E-4</v>
      </c>
    </row>
    <row r="627" spans="1:15" s="2" customFormat="1" x14ac:dyDescent="0.5">
      <c r="A627" s="6">
        <v>41263</v>
      </c>
      <c r="B627" s="1">
        <v>34.509998000000003</v>
      </c>
      <c r="C627" s="1">
        <v>34.790000999999997</v>
      </c>
      <c r="D627" s="1">
        <v>34.049999</v>
      </c>
      <c r="E627" s="1">
        <v>34.43</v>
      </c>
      <c r="F627" s="1">
        <v>34.43</v>
      </c>
      <c r="G627" s="2">
        <v>921200</v>
      </c>
      <c r="H627" s="2">
        <f t="shared" si="72"/>
        <v>2012</v>
      </c>
      <c r="I627" s="2">
        <f t="shared" si="73"/>
        <v>12</v>
      </c>
      <c r="J627" s="2">
        <f t="shared" si="74"/>
        <v>20</v>
      </c>
      <c r="K627" s="2">
        <f t="shared" si="75"/>
        <v>5</v>
      </c>
      <c r="L627" s="2">
        <f t="shared" si="76"/>
        <v>13</v>
      </c>
      <c r="M627" s="3">
        <f t="shared" si="77"/>
        <v>34.610000999999997</v>
      </c>
      <c r="N627" s="1">
        <f t="shared" ca="1" si="78"/>
        <v>34.610000999999997</v>
      </c>
      <c r="O627" s="5">
        <f t="shared" si="79"/>
        <v>-5.200837757849186E-3</v>
      </c>
    </row>
    <row r="628" spans="1:15" s="2" customFormat="1" x14ac:dyDescent="0.5">
      <c r="A628" s="6">
        <v>41264</v>
      </c>
      <c r="B628" s="1">
        <v>33.939999</v>
      </c>
      <c r="C628" s="1">
        <v>34.169998</v>
      </c>
      <c r="D628" s="1">
        <v>33.580002</v>
      </c>
      <c r="E628" s="1">
        <v>34</v>
      </c>
      <c r="F628" s="1">
        <v>34</v>
      </c>
      <c r="G628" s="2">
        <v>1492400</v>
      </c>
      <c r="H628" s="2">
        <f t="shared" si="72"/>
        <v>2012</v>
      </c>
      <c r="I628" s="2">
        <f t="shared" si="73"/>
        <v>12</v>
      </c>
      <c r="J628" s="2">
        <f t="shared" si="74"/>
        <v>21</v>
      </c>
      <c r="K628" s="2">
        <f t="shared" si="75"/>
        <v>6</v>
      </c>
      <c r="L628" s="2">
        <f t="shared" si="76"/>
        <v>13</v>
      </c>
      <c r="M628" s="3">
        <f t="shared" si="77"/>
        <v>34.43</v>
      </c>
      <c r="N628" s="1">
        <f t="shared" ca="1" si="78"/>
        <v>34.43</v>
      </c>
      <c r="O628" s="5">
        <f t="shared" si="79"/>
        <v>-1.2489108335753674E-2</v>
      </c>
    </row>
    <row r="629" spans="1:15" s="2" customFormat="1" x14ac:dyDescent="0.5">
      <c r="A629" s="6">
        <v>41267</v>
      </c>
      <c r="B629" s="1">
        <v>33.639999000000003</v>
      </c>
      <c r="C629" s="1">
        <v>34.349997999999999</v>
      </c>
      <c r="D629" s="1">
        <v>33.549999</v>
      </c>
      <c r="E629" s="1">
        <v>34.279998999999997</v>
      </c>
      <c r="F629" s="1">
        <v>34.279998999999997</v>
      </c>
      <c r="G629" s="2">
        <v>375800</v>
      </c>
      <c r="H629" s="2">
        <f t="shared" si="72"/>
        <v>2012</v>
      </c>
      <c r="I629" s="2">
        <f t="shared" si="73"/>
        <v>12</v>
      </c>
      <c r="J629" s="2">
        <f t="shared" si="74"/>
        <v>24</v>
      </c>
      <c r="K629" s="2">
        <f t="shared" si="75"/>
        <v>2</v>
      </c>
      <c r="L629" s="2">
        <f t="shared" si="76"/>
        <v>13</v>
      </c>
      <c r="M629" s="3">
        <f t="shared" si="77"/>
        <v>34</v>
      </c>
      <c r="N629" s="1">
        <f t="shared" ca="1" si="78"/>
        <v>34</v>
      </c>
      <c r="O629" s="5">
        <f t="shared" si="79"/>
        <v>8.235264705882317E-3</v>
      </c>
    </row>
    <row r="630" spans="1:15" s="2" customFormat="1" x14ac:dyDescent="0.5">
      <c r="A630" s="6">
        <v>41269</v>
      </c>
      <c r="B630" s="1">
        <v>33.959999000000003</v>
      </c>
      <c r="C630" s="1">
        <v>34.5</v>
      </c>
      <c r="D630" s="1">
        <v>33.5</v>
      </c>
      <c r="E630" s="1">
        <v>33.590000000000003</v>
      </c>
      <c r="F630" s="1">
        <v>33.590000000000003</v>
      </c>
      <c r="G630" s="2">
        <v>601400</v>
      </c>
      <c r="H630" s="2">
        <f t="shared" si="72"/>
        <v>2012</v>
      </c>
      <c r="I630" s="2">
        <f t="shared" si="73"/>
        <v>12</v>
      </c>
      <c r="J630" s="2">
        <f t="shared" si="74"/>
        <v>26</v>
      </c>
      <c r="K630" s="2">
        <f t="shared" si="75"/>
        <v>4</v>
      </c>
      <c r="L630" s="2">
        <f t="shared" si="76"/>
        <v>13</v>
      </c>
      <c r="M630" s="3">
        <f t="shared" si="77"/>
        <v>34.279998999999997</v>
      </c>
      <c r="N630" s="1">
        <f t="shared" ca="1" si="78"/>
        <v>34.279998999999997</v>
      </c>
      <c r="O630" s="5">
        <f t="shared" si="79"/>
        <v>-2.0128326141432895E-2</v>
      </c>
    </row>
    <row r="631" spans="1:15" s="2" customFormat="1" x14ac:dyDescent="0.5">
      <c r="A631" s="6">
        <v>41270</v>
      </c>
      <c r="B631" s="1">
        <v>33.5</v>
      </c>
      <c r="C631" s="1">
        <v>33.909999999999997</v>
      </c>
      <c r="D631" s="1">
        <v>33</v>
      </c>
      <c r="E631" s="1">
        <v>33.689999</v>
      </c>
      <c r="F631" s="1">
        <v>33.689999</v>
      </c>
      <c r="G631" s="2">
        <v>561100</v>
      </c>
      <c r="H631" s="2">
        <f t="shared" si="72"/>
        <v>2012</v>
      </c>
      <c r="I631" s="2">
        <f t="shared" si="73"/>
        <v>12</v>
      </c>
      <c r="J631" s="2">
        <f t="shared" si="74"/>
        <v>27</v>
      </c>
      <c r="K631" s="2">
        <f t="shared" si="75"/>
        <v>5</v>
      </c>
      <c r="L631" s="2">
        <f t="shared" si="76"/>
        <v>13</v>
      </c>
      <c r="M631" s="3">
        <f t="shared" si="77"/>
        <v>33.590000000000003</v>
      </c>
      <c r="N631" s="1">
        <f t="shared" ca="1" si="78"/>
        <v>33.590000000000003</v>
      </c>
      <c r="O631" s="5">
        <f t="shared" si="79"/>
        <v>2.9770467401011302E-3</v>
      </c>
    </row>
    <row r="632" spans="1:15" s="2" customFormat="1" x14ac:dyDescent="0.5">
      <c r="A632" s="6">
        <v>41271</v>
      </c>
      <c r="B632" s="1">
        <v>33.380001</v>
      </c>
      <c r="C632" s="1">
        <v>33.650002000000001</v>
      </c>
      <c r="D632" s="1">
        <v>33.020000000000003</v>
      </c>
      <c r="E632" s="1">
        <v>33.220001000000003</v>
      </c>
      <c r="F632" s="1">
        <v>33.220001000000003</v>
      </c>
      <c r="G632" s="2">
        <v>414100</v>
      </c>
      <c r="H632" s="2">
        <f t="shared" si="72"/>
        <v>2012</v>
      </c>
      <c r="I632" s="2">
        <f t="shared" si="73"/>
        <v>12</v>
      </c>
      <c r="J632" s="2">
        <f t="shared" si="74"/>
        <v>28</v>
      </c>
      <c r="K632" s="2">
        <f t="shared" si="75"/>
        <v>6</v>
      </c>
      <c r="L632" s="2">
        <f t="shared" si="76"/>
        <v>13</v>
      </c>
      <c r="M632" s="3">
        <f t="shared" si="77"/>
        <v>33.689999</v>
      </c>
      <c r="N632" s="1">
        <f t="shared" ca="1" si="78"/>
        <v>33.689999</v>
      </c>
      <c r="O632" s="5">
        <f t="shared" si="79"/>
        <v>-1.3950668268051802E-2</v>
      </c>
    </row>
    <row r="633" spans="1:15" s="2" customFormat="1" x14ac:dyDescent="0.5">
      <c r="A633" s="6">
        <v>41274</v>
      </c>
      <c r="B633" s="1">
        <v>33</v>
      </c>
      <c r="C633" s="1">
        <v>33.970001000000003</v>
      </c>
      <c r="D633" s="1">
        <v>33</v>
      </c>
      <c r="E633" s="1">
        <v>33.869999</v>
      </c>
      <c r="F633" s="1">
        <v>33.869999</v>
      </c>
      <c r="G633" s="2">
        <v>594900</v>
      </c>
      <c r="H633" s="2">
        <f t="shared" si="72"/>
        <v>2012</v>
      </c>
      <c r="I633" s="2">
        <f t="shared" si="73"/>
        <v>12</v>
      </c>
      <c r="J633" s="2">
        <f t="shared" si="74"/>
        <v>31</v>
      </c>
      <c r="K633" s="2">
        <f t="shared" si="75"/>
        <v>2</v>
      </c>
      <c r="L633" s="2">
        <f t="shared" si="76"/>
        <v>13</v>
      </c>
      <c r="M633" s="3">
        <f t="shared" si="77"/>
        <v>33.220001000000003</v>
      </c>
      <c r="N633" s="1">
        <f t="shared" ca="1" si="78"/>
        <v>33.220001000000003</v>
      </c>
      <c r="O633" s="5">
        <f t="shared" si="79"/>
        <v>1.956646539535023E-2</v>
      </c>
    </row>
    <row r="634" spans="1:15" s="2" customFormat="1" x14ac:dyDescent="0.5">
      <c r="A634" s="6">
        <v>41276</v>
      </c>
      <c r="B634" s="1">
        <v>35</v>
      </c>
      <c r="C634" s="1">
        <v>35.450001</v>
      </c>
      <c r="D634" s="1">
        <v>34.709999000000003</v>
      </c>
      <c r="E634" s="1">
        <v>35.360000999999997</v>
      </c>
      <c r="F634" s="1">
        <v>35.360000999999997</v>
      </c>
      <c r="G634" s="2">
        <v>1194800</v>
      </c>
      <c r="H634" s="2">
        <f t="shared" si="72"/>
        <v>2013</v>
      </c>
      <c r="I634" s="2">
        <f t="shared" si="73"/>
        <v>1</v>
      </c>
      <c r="J634" s="2">
        <f t="shared" si="74"/>
        <v>2</v>
      </c>
      <c r="K634" s="2">
        <f t="shared" si="75"/>
        <v>4</v>
      </c>
      <c r="L634" s="2">
        <f t="shared" si="76"/>
        <v>2</v>
      </c>
      <c r="M634" s="3">
        <f t="shared" si="77"/>
        <v>33.869999</v>
      </c>
      <c r="N634" s="1">
        <f t="shared" ca="1" si="78"/>
        <v>33.869999</v>
      </c>
      <c r="O634" s="5">
        <f t="shared" si="79"/>
        <v>4.3991793445284699E-2</v>
      </c>
    </row>
    <row r="635" spans="1:15" s="2" customFormat="1" x14ac:dyDescent="0.5">
      <c r="A635" s="6">
        <v>41277</v>
      </c>
      <c r="B635" s="1">
        <v>35.18</v>
      </c>
      <c r="C635" s="1">
        <v>35.450001</v>
      </c>
      <c r="D635" s="1">
        <v>34.75</v>
      </c>
      <c r="E635" s="1">
        <v>34.770000000000003</v>
      </c>
      <c r="F635" s="1">
        <v>34.770000000000003</v>
      </c>
      <c r="G635" s="2">
        <v>742000</v>
      </c>
      <c r="H635" s="2">
        <f t="shared" si="72"/>
        <v>2013</v>
      </c>
      <c r="I635" s="2">
        <f t="shared" si="73"/>
        <v>1</v>
      </c>
      <c r="J635" s="2">
        <f t="shared" si="74"/>
        <v>3</v>
      </c>
      <c r="K635" s="2">
        <f t="shared" si="75"/>
        <v>5</v>
      </c>
      <c r="L635" s="2">
        <f t="shared" si="76"/>
        <v>2</v>
      </c>
      <c r="M635" s="3">
        <f t="shared" si="77"/>
        <v>35.360000999999997</v>
      </c>
      <c r="N635" s="1">
        <f t="shared" ca="1" si="78"/>
        <v>35.360000999999997</v>
      </c>
      <c r="O635" s="5">
        <f t="shared" si="79"/>
        <v>-1.6685548170657372E-2</v>
      </c>
    </row>
    <row r="636" spans="1:15" s="2" customFormat="1" x14ac:dyDescent="0.5">
      <c r="A636" s="6">
        <v>41278</v>
      </c>
      <c r="B636" s="1">
        <v>34.799999</v>
      </c>
      <c r="C636" s="1">
        <v>34.799999</v>
      </c>
      <c r="D636" s="1">
        <v>33.919998</v>
      </c>
      <c r="E636" s="1">
        <v>34.400002000000001</v>
      </c>
      <c r="F636" s="1">
        <v>34.400002000000001</v>
      </c>
      <c r="G636" s="2">
        <v>674000</v>
      </c>
      <c r="H636" s="2">
        <f t="shared" si="72"/>
        <v>2013</v>
      </c>
      <c r="I636" s="2">
        <f t="shared" si="73"/>
        <v>1</v>
      </c>
      <c r="J636" s="2">
        <f t="shared" si="74"/>
        <v>4</v>
      </c>
      <c r="K636" s="2">
        <f t="shared" si="75"/>
        <v>6</v>
      </c>
      <c r="L636" s="2">
        <f t="shared" si="76"/>
        <v>2</v>
      </c>
      <c r="M636" s="3">
        <f t="shared" si="77"/>
        <v>34.770000000000003</v>
      </c>
      <c r="N636" s="1">
        <f t="shared" ca="1" si="78"/>
        <v>34.770000000000003</v>
      </c>
      <c r="O636" s="5">
        <f t="shared" si="79"/>
        <v>-1.0641299971239637E-2</v>
      </c>
    </row>
    <row r="637" spans="1:15" s="2" customFormat="1" x14ac:dyDescent="0.5">
      <c r="A637" s="6">
        <v>41281</v>
      </c>
      <c r="B637" s="1">
        <v>34.799999</v>
      </c>
      <c r="C637" s="1">
        <v>34.799999</v>
      </c>
      <c r="D637" s="1">
        <v>33.900002000000001</v>
      </c>
      <c r="E637" s="1">
        <v>34.340000000000003</v>
      </c>
      <c r="F637" s="1">
        <v>34.340000000000003</v>
      </c>
      <c r="G637" s="2">
        <v>442000</v>
      </c>
      <c r="H637" s="2">
        <f t="shared" si="72"/>
        <v>2013</v>
      </c>
      <c r="I637" s="2">
        <f t="shared" si="73"/>
        <v>1</v>
      </c>
      <c r="J637" s="2">
        <f t="shared" si="74"/>
        <v>7</v>
      </c>
      <c r="K637" s="2">
        <f t="shared" si="75"/>
        <v>2</v>
      </c>
      <c r="L637" s="2">
        <f t="shared" si="76"/>
        <v>2</v>
      </c>
      <c r="M637" s="3">
        <f t="shared" si="77"/>
        <v>34.400002000000001</v>
      </c>
      <c r="N637" s="1">
        <f t="shared" ca="1" si="78"/>
        <v>34.400002000000001</v>
      </c>
      <c r="O637" s="5">
        <f t="shared" si="79"/>
        <v>-1.7442440846369145E-3</v>
      </c>
    </row>
    <row r="638" spans="1:15" s="2" customFormat="1" x14ac:dyDescent="0.5">
      <c r="A638" s="6">
        <v>41282</v>
      </c>
      <c r="B638" s="1">
        <v>34.5</v>
      </c>
      <c r="C638" s="1">
        <v>34.5</v>
      </c>
      <c r="D638" s="1">
        <v>33.110000999999997</v>
      </c>
      <c r="E638" s="1">
        <v>33.68</v>
      </c>
      <c r="F638" s="1">
        <v>33.68</v>
      </c>
      <c r="G638" s="2">
        <v>1284000</v>
      </c>
      <c r="H638" s="2">
        <f t="shared" si="72"/>
        <v>2013</v>
      </c>
      <c r="I638" s="2">
        <f t="shared" si="73"/>
        <v>1</v>
      </c>
      <c r="J638" s="2">
        <f t="shared" si="74"/>
        <v>8</v>
      </c>
      <c r="K638" s="2">
        <f t="shared" si="75"/>
        <v>3</v>
      </c>
      <c r="L638" s="2">
        <f t="shared" si="76"/>
        <v>2</v>
      </c>
      <c r="M638" s="3">
        <f t="shared" si="77"/>
        <v>34.340000000000003</v>
      </c>
      <c r="N638" s="1">
        <f t="shared" ca="1" si="78"/>
        <v>34.340000000000003</v>
      </c>
      <c r="O638" s="5">
        <f t="shared" si="79"/>
        <v>-1.9219569015725191E-2</v>
      </c>
    </row>
    <row r="639" spans="1:15" s="2" customFormat="1" x14ac:dyDescent="0.5">
      <c r="A639" s="6">
        <v>41283</v>
      </c>
      <c r="B639" s="1">
        <v>34.009998000000003</v>
      </c>
      <c r="C639" s="1">
        <v>34.189999</v>
      </c>
      <c r="D639" s="1">
        <v>33.400002000000001</v>
      </c>
      <c r="E639" s="1">
        <v>33.639999000000003</v>
      </c>
      <c r="F639" s="1">
        <v>33.639999000000003</v>
      </c>
      <c r="G639" s="2">
        <v>698000</v>
      </c>
      <c r="H639" s="2">
        <f t="shared" si="72"/>
        <v>2013</v>
      </c>
      <c r="I639" s="2">
        <f t="shared" si="73"/>
        <v>1</v>
      </c>
      <c r="J639" s="2">
        <f t="shared" si="74"/>
        <v>9</v>
      </c>
      <c r="K639" s="2">
        <f t="shared" si="75"/>
        <v>4</v>
      </c>
      <c r="L639" s="2">
        <f t="shared" si="76"/>
        <v>2</v>
      </c>
      <c r="M639" s="3">
        <f t="shared" si="77"/>
        <v>33.68</v>
      </c>
      <c r="N639" s="1">
        <f t="shared" ca="1" si="78"/>
        <v>33.68</v>
      </c>
      <c r="O639" s="5">
        <f t="shared" si="79"/>
        <v>-1.1876781472682785E-3</v>
      </c>
    </row>
    <row r="640" spans="1:15" s="2" customFormat="1" x14ac:dyDescent="0.5">
      <c r="A640" s="6">
        <v>41284</v>
      </c>
      <c r="B640" s="1">
        <v>33.869999</v>
      </c>
      <c r="C640" s="1">
        <v>33.990001999999997</v>
      </c>
      <c r="D640" s="1">
        <v>33.380001</v>
      </c>
      <c r="E640" s="1">
        <v>33.529998999999997</v>
      </c>
      <c r="F640" s="1">
        <v>33.529998999999997</v>
      </c>
      <c r="G640" s="2">
        <v>922500</v>
      </c>
      <c r="H640" s="2">
        <f t="shared" si="72"/>
        <v>2013</v>
      </c>
      <c r="I640" s="2">
        <f t="shared" si="73"/>
        <v>1</v>
      </c>
      <c r="J640" s="2">
        <f t="shared" si="74"/>
        <v>10</v>
      </c>
      <c r="K640" s="2">
        <f t="shared" si="75"/>
        <v>5</v>
      </c>
      <c r="L640" s="2">
        <f t="shared" si="76"/>
        <v>2</v>
      </c>
      <c r="M640" s="3">
        <f t="shared" si="77"/>
        <v>33.639999000000003</v>
      </c>
      <c r="N640" s="1">
        <f t="shared" ca="1" si="78"/>
        <v>33.639999000000003</v>
      </c>
      <c r="O640" s="5">
        <f t="shared" si="79"/>
        <v>-3.2699168629585218E-3</v>
      </c>
    </row>
    <row r="641" spans="1:15" s="2" customFormat="1" x14ac:dyDescent="0.5">
      <c r="A641" s="6">
        <v>41285</v>
      </c>
      <c r="B641" s="1">
        <v>34.040000999999997</v>
      </c>
      <c r="C641" s="1">
        <v>34.040000999999997</v>
      </c>
      <c r="D641" s="1">
        <v>32.110000999999997</v>
      </c>
      <c r="E641" s="1">
        <v>32.909999999999997</v>
      </c>
      <c r="F641" s="1">
        <v>32.909999999999997</v>
      </c>
      <c r="G641" s="2">
        <v>1563200</v>
      </c>
      <c r="H641" s="2">
        <f t="shared" si="72"/>
        <v>2013</v>
      </c>
      <c r="I641" s="2">
        <f t="shared" si="73"/>
        <v>1</v>
      </c>
      <c r="J641" s="2">
        <f t="shared" si="74"/>
        <v>11</v>
      </c>
      <c r="K641" s="2">
        <f t="shared" si="75"/>
        <v>6</v>
      </c>
      <c r="L641" s="2">
        <f t="shared" si="76"/>
        <v>2</v>
      </c>
      <c r="M641" s="3">
        <f t="shared" si="77"/>
        <v>33.529998999999997</v>
      </c>
      <c r="N641" s="1">
        <f t="shared" ca="1" si="78"/>
        <v>33.529998999999997</v>
      </c>
      <c r="O641" s="5">
        <f t="shared" si="79"/>
        <v>-1.8490874395791113E-2</v>
      </c>
    </row>
    <row r="642" spans="1:15" s="2" customFormat="1" x14ac:dyDescent="0.5">
      <c r="A642" s="6">
        <v>41288</v>
      </c>
      <c r="B642" s="1">
        <v>33.080002</v>
      </c>
      <c r="C642" s="1">
        <v>33.380001</v>
      </c>
      <c r="D642" s="1">
        <v>32.849997999999999</v>
      </c>
      <c r="E642" s="1">
        <v>33.259998000000003</v>
      </c>
      <c r="F642" s="1">
        <v>33.259998000000003</v>
      </c>
      <c r="G642" s="2">
        <v>925100</v>
      </c>
      <c r="H642" s="2">
        <f t="shared" ref="H642:H705" si="80">YEAR(A642)</f>
        <v>2013</v>
      </c>
      <c r="I642" s="2">
        <f t="shared" ref="I642:I705" si="81">MONTH(A642)</f>
        <v>1</v>
      </c>
      <c r="J642" s="2">
        <f t="shared" ref="J642:J705" si="82">DAY(A642)</f>
        <v>14</v>
      </c>
      <c r="K642" s="2">
        <f t="shared" ref="K642:K705" si="83">WEEKDAY(A642)</f>
        <v>2</v>
      </c>
      <c r="L642" s="2">
        <f t="shared" si="76"/>
        <v>2</v>
      </c>
      <c r="M642" s="3">
        <f t="shared" si="77"/>
        <v>32.909999999999997</v>
      </c>
      <c r="N642" s="1">
        <f t="shared" ca="1" si="78"/>
        <v>32.909999999999997</v>
      </c>
      <c r="O642" s="5">
        <f t="shared" si="79"/>
        <v>1.0635004557885352E-2</v>
      </c>
    </row>
    <row r="643" spans="1:15" s="2" customFormat="1" x14ac:dyDescent="0.5">
      <c r="A643" s="6">
        <v>41289</v>
      </c>
      <c r="B643" s="1">
        <v>33.110000999999997</v>
      </c>
      <c r="C643" s="1">
        <v>34.25</v>
      </c>
      <c r="D643" s="1">
        <v>33.080002</v>
      </c>
      <c r="E643" s="1">
        <v>33.900002000000001</v>
      </c>
      <c r="F643" s="1">
        <v>33.900002000000001</v>
      </c>
      <c r="G643" s="2">
        <v>1624200</v>
      </c>
      <c r="H643" s="2">
        <f t="shared" si="80"/>
        <v>2013</v>
      </c>
      <c r="I643" s="2">
        <f t="shared" si="81"/>
        <v>1</v>
      </c>
      <c r="J643" s="2">
        <f t="shared" si="82"/>
        <v>15</v>
      </c>
      <c r="K643" s="2">
        <f t="shared" si="83"/>
        <v>3</v>
      </c>
      <c r="L643" s="2">
        <f t="shared" ref="L643:L706" si="84">I643+1</f>
        <v>2</v>
      </c>
      <c r="M643" s="3">
        <f t="shared" ref="M643:M706" si="85">F642</f>
        <v>33.259998000000003</v>
      </c>
      <c r="N643" s="1">
        <f t="shared" ref="N643:N706" ca="1" si="86">OFFSET(F643, -1, 0)</f>
        <v>33.259998000000003</v>
      </c>
      <c r="O643" s="5">
        <f t="shared" ref="O643:O706" si="87">(F643/M643)-1</f>
        <v>1.9242454554567301E-2</v>
      </c>
    </row>
    <row r="644" spans="1:15" s="2" customFormat="1" x14ac:dyDescent="0.5">
      <c r="A644" s="6">
        <v>41290</v>
      </c>
      <c r="B644" s="1">
        <v>33.849997999999999</v>
      </c>
      <c r="C644" s="1">
        <v>34.229999999999997</v>
      </c>
      <c r="D644" s="1">
        <v>33.729999999999997</v>
      </c>
      <c r="E644" s="1">
        <v>34.099997999999999</v>
      </c>
      <c r="F644" s="1">
        <v>34.099997999999999</v>
      </c>
      <c r="G644" s="2">
        <v>1378200</v>
      </c>
      <c r="H644" s="2">
        <f t="shared" si="80"/>
        <v>2013</v>
      </c>
      <c r="I644" s="2">
        <f t="shared" si="81"/>
        <v>1</v>
      </c>
      <c r="J644" s="2">
        <f t="shared" si="82"/>
        <v>16</v>
      </c>
      <c r="K644" s="2">
        <f t="shared" si="83"/>
        <v>4</v>
      </c>
      <c r="L644" s="2">
        <f t="shared" si="84"/>
        <v>2</v>
      </c>
      <c r="M644" s="3">
        <f t="shared" si="85"/>
        <v>33.900002000000001</v>
      </c>
      <c r="N644" s="1">
        <f t="shared" ca="1" si="86"/>
        <v>33.900002000000001</v>
      </c>
      <c r="O644" s="5">
        <f t="shared" si="87"/>
        <v>5.8995866725908286E-3</v>
      </c>
    </row>
    <row r="645" spans="1:15" s="2" customFormat="1" x14ac:dyDescent="0.5">
      <c r="A645" s="6">
        <v>41291</v>
      </c>
      <c r="B645" s="1">
        <v>34.159999999999997</v>
      </c>
      <c r="C645" s="1">
        <v>34.849997999999999</v>
      </c>
      <c r="D645" s="1">
        <v>33.919998</v>
      </c>
      <c r="E645" s="1">
        <v>34.380001</v>
      </c>
      <c r="F645" s="1">
        <v>34.380001</v>
      </c>
      <c r="G645" s="2">
        <v>1436700</v>
      </c>
      <c r="H645" s="2">
        <f t="shared" si="80"/>
        <v>2013</v>
      </c>
      <c r="I645" s="2">
        <f t="shared" si="81"/>
        <v>1</v>
      </c>
      <c r="J645" s="2">
        <f t="shared" si="82"/>
        <v>17</v>
      </c>
      <c r="K645" s="2">
        <f t="shared" si="83"/>
        <v>5</v>
      </c>
      <c r="L645" s="2">
        <f t="shared" si="84"/>
        <v>2</v>
      </c>
      <c r="M645" s="3">
        <f t="shared" si="85"/>
        <v>34.099997999999999</v>
      </c>
      <c r="N645" s="1">
        <f t="shared" ca="1" si="86"/>
        <v>34.099997999999999</v>
      </c>
      <c r="O645" s="5">
        <f t="shared" si="87"/>
        <v>8.2112321531515597E-3</v>
      </c>
    </row>
    <row r="646" spans="1:15" s="2" customFormat="1" x14ac:dyDescent="0.5">
      <c r="A646" s="6">
        <v>41292</v>
      </c>
      <c r="B646" s="1">
        <v>34.740001999999997</v>
      </c>
      <c r="C646" s="1">
        <v>34.779998999999997</v>
      </c>
      <c r="D646" s="1">
        <v>33.82</v>
      </c>
      <c r="E646" s="1">
        <v>34.520000000000003</v>
      </c>
      <c r="F646" s="1">
        <v>34.520000000000003</v>
      </c>
      <c r="G646" s="2">
        <v>3555100</v>
      </c>
      <c r="H646" s="2">
        <f t="shared" si="80"/>
        <v>2013</v>
      </c>
      <c r="I646" s="2">
        <f t="shared" si="81"/>
        <v>1</v>
      </c>
      <c r="J646" s="2">
        <f t="shared" si="82"/>
        <v>18</v>
      </c>
      <c r="K646" s="2">
        <f t="shared" si="83"/>
        <v>6</v>
      </c>
      <c r="L646" s="2">
        <f t="shared" si="84"/>
        <v>2</v>
      </c>
      <c r="M646" s="3">
        <f t="shared" si="85"/>
        <v>34.380001</v>
      </c>
      <c r="N646" s="1">
        <f t="shared" ca="1" si="86"/>
        <v>34.380001</v>
      </c>
      <c r="O646" s="5">
        <f t="shared" si="87"/>
        <v>4.0721057570651809E-3</v>
      </c>
    </row>
    <row r="647" spans="1:15" s="2" customFormat="1" x14ac:dyDescent="0.5">
      <c r="A647" s="6">
        <v>41296</v>
      </c>
      <c r="B647" s="1">
        <v>34.560001</v>
      </c>
      <c r="C647" s="1">
        <v>35.549999</v>
      </c>
      <c r="D647" s="1">
        <v>34.259998000000003</v>
      </c>
      <c r="E647" s="1">
        <v>35.189999</v>
      </c>
      <c r="F647" s="1">
        <v>35.189999</v>
      </c>
      <c r="G647" s="2">
        <v>1920200</v>
      </c>
      <c r="H647" s="2">
        <f t="shared" si="80"/>
        <v>2013</v>
      </c>
      <c r="I647" s="2">
        <f t="shared" si="81"/>
        <v>1</v>
      </c>
      <c r="J647" s="2">
        <f t="shared" si="82"/>
        <v>22</v>
      </c>
      <c r="K647" s="2">
        <f t="shared" si="83"/>
        <v>3</v>
      </c>
      <c r="L647" s="2">
        <f t="shared" si="84"/>
        <v>2</v>
      </c>
      <c r="M647" s="3">
        <f t="shared" si="85"/>
        <v>34.520000000000003</v>
      </c>
      <c r="N647" s="1">
        <f t="shared" ca="1" si="86"/>
        <v>34.520000000000003</v>
      </c>
      <c r="O647" s="5">
        <f t="shared" si="87"/>
        <v>1.9409009269988342E-2</v>
      </c>
    </row>
    <row r="648" spans="1:15" s="2" customFormat="1" x14ac:dyDescent="0.5">
      <c r="A648" s="6">
        <v>41297</v>
      </c>
      <c r="B648" s="1">
        <v>35.020000000000003</v>
      </c>
      <c r="C648" s="1">
        <v>36.240001999999997</v>
      </c>
      <c r="D648" s="1">
        <v>34.959999000000003</v>
      </c>
      <c r="E648" s="1">
        <v>36</v>
      </c>
      <c r="F648" s="1">
        <v>36</v>
      </c>
      <c r="G648" s="2">
        <v>1564300</v>
      </c>
      <c r="H648" s="2">
        <f t="shared" si="80"/>
        <v>2013</v>
      </c>
      <c r="I648" s="2">
        <f t="shared" si="81"/>
        <v>1</v>
      </c>
      <c r="J648" s="2">
        <f t="shared" si="82"/>
        <v>23</v>
      </c>
      <c r="K648" s="2">
        <f t="shared" si="83"/>
        <v>4</v>
      </c>
      <c r="L648" s="2">
        <f t="shared" si="84"/>
        <v>2</v>
      </c>
      <c r="M648" s="3">
        <f t="shared" si="85"/>
        <v>35.189999</v>
      </c>
      <c r="N648" s="1">
        <f t="shared" ca="1" si="86"/>
        <v>35.189999</v>
      </c>
      <c r="O648" s="5">
        <f t="shared" si="87"/>
        <v>2.3017931884567577E-2</v>
      </c>
    </row>
    <row r="649" spans="1:15" s="2" customFormat="1" x14ac:dyDescent="0.5">
      <c r="A649" s="6">
        <v>41298</v>
      </c>
      <c r="B649" s="1">
        <v>36</v>
      </c>
      <c r="C649" s="1">
        <v>37.720001000000003</v>
      </c>
      <c r="D649" s="1">
        <v>35.840000000000003</v>
      </c>
      <c r="E649" s="1">
        <v>36.990001999999997</v>
      </c>
      <c r="F649" s="1">
        <v>36.990001999999997</v>
      </c>
      <c r="G649" s="2">
        <v>1970400</v>
      </c>
      <c r="H649" s="2">
        <f t="shared" si="80"/>
        <v>2013</v>
      </c>
      <c r="I649" s="2">
        <f t="shared" si="81"/>
        <v>1</v>
      </c>
      <c r="J649" s="2">
        <f t="shared" si="82"/>
        <v>24</v>
      </c>
      <c r="K649" s="2">
        <f t="shared" si="83"/>
        <v>5</v>
      </c>
      <c r="L649" s="2">
        <f t="shared" si="84"/>
        <v>2</v>
      </c>
      <c r="M649" s="3">
        <f t="shared" si="85"/>
        <v>36</v>
      </c>
      <c r="N649" s="1">
        <f t="shared" ca="1" si="86"/>
        <v>36</v>
      </c>
      <c r="O649" s="5">
        <f t="shared" si="87"/>
        <v>2.7500055555555569E-2</v>
      </c>
    </row>
    <row r="650" spans="1:15" s="2" customFormat="1" x14ac:dyDescent="0.5">
      <c r="A650" s="6">
        <v>41299</v>
      </c>
      <c r="B650" s="1">
        <v>37</v>
      </c>
      <c r="C650" s="1">
        <v>37.540000999999997</v>
      </c>
      <c r="D650" s="1">
        <v>36.799999</v>
      </c>
      <c r="E650" s="1">
        <v>36.979999999999997</v>
      </c>
      <c r="F650" s="1">
        <v>36.979999999999997</v>
      </c>
      <c r="G650" s="2">
        <v>1287800</v>
      </c>
      <c r="H650" s="2">
        <f t="shared" si="80"/>
        <v>2013</v>
      </c>
      <c r="I650" s="2">
        <f t="shared" si="81"/>
        <v>1</v>
      </c>
      <c r="J650" s="2">
        <f t="shared" si="82"/>
        <v>25</v>
      </c>
      <c r="K650" s="2">
        <f t="shared" si="83"/>
        <v>6</v>
      </c>
      <c r="L650" s="2">
        <f t="shared" si="84"/>
        <v>2</v>
      </c>
      <c r="M650" s="3">
        <f t="shared" si="85"/>
        <v>36.990001999999997</v>
      </c>
      <c r="N650" s="1">
        <f t="shared" ca="1" si="86"/>
        <v>36.990001999999997</v>
      </c>
      <c r="O650" s="5">
        <f t="shared" si="87"/>
        <v>-2.7039739008394292E-4</v>
      </c>
    </row>
    <row r="651" spans="1:15" s="2" customFormat="1" x14ac:dyDescent="0.5">
      <c r="A651" s="6">
        <v>41302</v>
      </c>
      <c r="B651" s="1">
        <v>36.860000999999997</v>
      </c>
      <c r="C651" s="1">
        <v>38.709999000000003</v>
      </c>
      <c r="D651" s="1">
        <v>36.860000999999997</v>
      </c>
      <c r="E651" s="1">
        <v>38.029998999999997</v>
      </c>
      <c r="F651" s="1">
        <v>38.029998999999997</v>
      </c>
      <c r="G651" s="2">
        <v>1986000</v>
      </c>
      <c r="H651" s="2">
        <f t="shared" si="80"/>
        <v>2013</v>
      </c>
      <c r="I651" s="2">
        <f t="shared" si="81"/>
        <v>1</v>
      </c>
      <c r="J651" s="2">
        <f t="shared" si="82"/>
        <v>28</v>
      </c>
      <c r="K651" s="2">
        <f t="shared" si="83"/>
        <v>2</v>
      </c>
      <c r="L651" s="2">
        <f t="shared" si="84"/>
        <v>2</v>
      </c>
      <c r="M651" s="3">
        <f t="shared" si="85"/>
        <v>36.979999999999997</v>
      </c>
      <c r="N651" s="1">
        <f t="shared" ca="1" si="86"/>
        <v>36.979999999999997</v>
      </c>
      <c r="O651" s="5">
        <f t="shared" si="87"/>
        <v>2.8393699296917152E-2</v>
      </c>
    </row>
    <row r="652" spans="1:15" s="2" customFormat="1" x14ac:dyDescent="0.5">
      <c r="A652" s="6">
        <v>41303</v>
      </c>
      <c r="B652" s="1">
        <v>38.099997999999999</v>
      </c>
      <c r="C652" s="1">
        <v>38.439999</v>
      </c>
      <c r="D652" s="1">
        <v>37.130001</v>
      </c>
      <c r="E652" s="1">
        <v>37.950001</v>
      </c>
      <c r="F652" s="1">
        <v>37.950001</v>
      </c>
      <c r="G652" s="2">
        <v>1426600</v>
      </c>
      <c r="H652" s="2">
        <f t="shared" si="80"/>
        <v>2013</v>
      </c>
      <c r="I652" s="2">
        <f t="shared" si="81"/>
        <v>1</v>
      </c>
      <c r="J652" s="2">
        <f t="shared" si="82"/>
        <v>29</v>
      </c>
      <c r="K652" s="2">
        <f t="shared" si="83"/>
        <v>3</v>
      </c>
      <c r="L652" s="2">
        <f t="shared" si="84"/>
        <v>2</v>
      </c>
      <c r="M652" s="3">
        <f t="shared" si="85"/>
        <v>38.029998999999997</v>
      </c>
      <c r="N652" s="1">
        <f t="shared" ca="1" si="86"/>
        <v>38.029998999999997</v>
      </c>
      <c r="O652" s="5">
        <f t="shared" si="87"/>
        <v>-2.103549884395095E-3</v>
      </c>
    </row>
    <row r="653" spans="1:15" s="2" customFormat="1" x14ac:dyDescent="0.5">
      <c r="A653" s="6">
        <v>41304</v>
      </c>
      <c r="B653" s="1">
        <v>37.849997999999999</v>
      </c>
      <c r="C653" s="1">
        <v>38</v>
      </c>
      <c r="D653" s="1">
        <v>37.43</v>
      </c>
      <c r="E653" s="1">
        <v>37.520000000000003</v>
      </c>
      <c r="F653" s="1">
        <v>37.520000000000003</v>
      </c>
      <c r="G653" s="2">
        <v>968100</v>
      </c>
      <c r="H653" s="2">
        <f t="shared" si="80"/>
        <v>2013</v>
      </c>
      <c r="I653" s="2">
        <f t="shared" si="81"/>
        <v>1</v>
      </c>
      <c r="J653" s="2">
        <f t="shared" si="82"/>
        <v>30</v>
      </c>
      <c r="K653" s="2">
        <f t="shared" si="83"/>
        <v>4</v>
      </c>
      <c r="L653" s="2">
        <f t="shared" si="84"/>
        <v>2</v>
      </c>
      <c r="M653" s="3">
        <f t="shared" si="85"/>
        <v>37.950001</v>
      </c>
      <c r="N653" s="1">
        <f t="shared" ca="1" si="86"/>
        <v>37.950001</v>
      </c>
      <c r="O653" s="5">
        <f t="shared" si="87"/>
        <v>-1.1330724339111309E-2</v>
      </c>
    </row>
    <row r="654" spans="1:15" s="2" customFormat="1" x14ac:dyDescent="0.5">
      <c r="A654" s="6">
        <v>41305</v>
      </c>
      <c r="B654" s="1">
        <v>37.869999</v>
      </c>
      <c r="C654" s="1">
        <v>37.869999</v>
      </c>
      <c r="D654" s="1">
        <v>36.93</v>
      </c>
      <c r="E654" s="1">
        <v>37.509998000000003</v>
      </c>
      <c r="F654" s="1">
        <v>37.509998000000003</v>
      </c>
      <c r="G654" s="2">
        <v>901400</v>
      </c>
      <c r="H654" s="2">
        <f t="shared" si="80"/>
        <v>2013</v>
      </c>
      <c r="I654" s="2">
        <f t="shared" si="81"/>
        <v>1</v>
      </c>
      <c r="J654" s="2">
        <f t="shared" si="82"/>
        <v>31</v>
      </c>
      <c r="K654" s="2">
        <f t="shared" si="83"/>
        <v>5</v>
      </c>
      <c r="L654" s="2">
        <f t="shared" si="84"/>
        <v>2</v>
      </c>
      <c r="M654" s="3">
        <f t="shared" si="85"/>
        <v>37.520000000000003</v>
      </c>
      <c r="N654" s="1">
        <f t="shared" ca="1" si="86"/>
        <v>37.520000000000003</v>
      </c>
      <c r="O654" s="5">
        <f t="shared" si="87"/>
        <v>-2.6657782515993045E-4</v>
      </c>
    </row>
    <row r="655" spans="1:15" s="2" customFormat="1" x14ac:dyDescent="0.5">
      <c r="A655" s="6">
        <v>41306</v>
      </c>
      <c r="B655" s="1">
        <v>38.169998</v>
      </c>
      <c r="C655" s="1">
        <v>38.5</v>
      </c>
      <c r="D655" s="1">
        <v>37.619999</v>
      </c>
      <c r="E655" s="1">
        <v>38.299999</v>
      </c>
      <c r="F655" s="1">
        <v>38.299999</v>
      </c>
      <c r="G655" s="2">
        <v>1100600</v>
      </c>
      <c r="H655" s="2">
        <f t="shared" si="80"/>
        <v>2013</v>
      </c>
      <c r="I655" s="2">
        <f t="shared" si="81"/>
        <v>2</v>
      </c>
      <c r="J655" s="2">
        <f t="shared" si="82"/>
        <v>1</v>
      </c>
      <c r="K655" s="2">
        <f t="shared" si="83"/>
        <v>6</v>
      </c>
      <c r="L655" s="2">
        <f t="shared" si="84"/>
        <v>3</v>
      </c>
      <c r="M655" s="3">
        <f t="shared" si="85"/>
        <v>37.509998000000003</v>
      </c>
      <c r="N655" s="1">
        <f t="shared" ca="1" si="86"/>
        <v>37.509998000000003</v>
      </c>
      <c r="O655" s="5">
        <f t="shared" si="87"/>
        <v>2.1061078169078984E-2</v>
      </c>
    </row>
    <row r="656" spans="1:15" s="2" customFormat="1" x14ac:dyDescent="0.5">
      <c r="A656" s="6">
        <v>41309</v>
      </c>
      <c r="B656" s="1">
        <v>38.400002000000001</v>
      </c>
      <c r="C656" s="1">
        <v>38.419998</v>
      </c>
      <c r="D656" s="1">
        <v>37.590000000000003</v>
      </c>
      <c r="E656" s="1">
        <v>37.740001999999997</v>
      </c>
      <c r="F656" s="1">
        <v>37.740001999999997</v>
      </c>
      <c r="G656" s="2">
        <v>1128000</v>
      </c>
      <c r="H656" s="2">
        <f t="shared" si="80"/>
        <v>2013</v>
      </c>
      <c r="I656" s="2">
        <f t="shared" si="81"/>
        <v>2</v>
      </c>
      <c r="J656" s="2">
        <f t="shared" si="82"/>
        <v>4</v>
      </c>
      <c r="K656" s="2">
        <f t="shared" si="83"/>
        <v>2</v>
      </c>
      <c r="L656" s="2">
        <f t="shared" si="84"/>
        <v>3</v>
      </c>
      <c r="M656" s="3">
        <f t="shared" si="85"/>
        <v>38.299999</v>
      </c>
      <c r="N656" s="1">
        <f t="shared" ca="1" si="86"/>
        <v>38.299999</v>
      </c>
      <c r="O656" s="5">
        <f t="shared" si="87"/>
        <v>-1.4621331974447371E-2</v>
      </c>
    </row>
    <row r="657" spans="1:15" s="2" customFormat="1" x14ac:dyDescent="0.5">
      <c r="A657" s="6">
        <v>41310</v>
      </c>
      <c r="B657" s="1">
        <v>38</v>
      </c>
      <c r="C657" s="1">
        <v>38.650002000000001</v>
      </c>
      <c r="D657" s="1">
        <v>37.68</v>
      </c>
      <c r="E657" s="1">
        <v>38.130001</v>
      </c>
      <c r="F657" s="1">
        <v>38.130001</v>
      </c>
      <c r="G657" s="2">
        <v>1310200</v>
      </c>
      <c r="H657" s="2">
        <f t="shared" si="80"/>
        <v>2013</v>
      </c>
      <c r="I657" s="2">
        <f t="shared" si="81"/>
        <v>2</v>
      </c>
      <c r="J657" s="2">
        <f t="shared" si="82"/>
        <v>5</v>
      </c>
      <c r="K657" s="2">
        <f t="shared" si="83"/>
        <v>3</v>
      </c>
      <c r="L657" s="2">
        <f t="shared" si="84"/>
        <v>3</v>
      </c>
      <c r="M657" s="3">
        <f t="shared" si="85"/>
        <v>37.740001999999997</v>
      </c>
      <c r="N657" s="1">
        <f t="shared" ca="1" si="86"/>
        <v>37.740001999999997</v>
      </c>
      <c r="O657" s="5">
        <f t="shared" si="87"/>
        <v>1.0333836230321358E-2</v>
      </c>
    </row>
    <row r="658" spans="1:15" s="2" customFormat="1" x14ac:dyDescent="0.5">
      <c r="A658" s="6">
        <v>41311</v>
      </c>
      <c r="B658" s="1">
        <v>38.18</v>
      </c>
      <c r="C658" s="1">
        <v>39.389999000000003</v>
      </c>
      <c r="D658" s="1">
        <v>37.900002000000001</v>
      </c>
      <c r="E658" s="1">
        <v>39.169998</v>
      </c>
      <c r="F658" s="1">
        <v>39.169998</v>
      </c>
      <c r="G658" s="2">
        <v>1893200</v>
      </c>
      <c r="H658" s="2">
        <f t="shared" si="80"/>
        <v>2013</v>
      </c>
      <c r="I658" s="2">
        <f t="shared" si="81"/>
        <v>2</v>
      </c>
      <c r="J658" s="2">
        <f t="shared" si="82"/>
        <v>6</v>
      </c>
      <c r="K658" s="2">
        <f t="shared" si="83"/>
        <v>4</v>
      </c>
      <c r="L658" s="2">
        <f t="shared" si="84"/>
        <v>3</v>
      </c>
      <c r="M658" s="3">
        <f t="shared" si="85"/>
        <v>38.130001</v>
      </c>
      <c r="N658" s="1">
        <f t="shared" ca="1" si="86"/>
        <v>38.130001</v>
      </c>
      <c r="O658" s="5">
        <f t="shared" si="87"/>
        <v>2.7275032067269001E-2</v>
      </c>
    </row>
    <row r="659" spans="1:15" s="2" customFormat="1" x14ac:dyDescent="0.5">
      <c r="A659" s="6">
        <v>41312</v>
      </c>
      <c r="B659" s="1">
        <v>39.189999</v>
      </c>
      <c r="C659" s="1">
        <v>39.68</v>
      </c>
      <c r="D659" s="1">
        <v>38.950001</v>
      </c>
      <c r="E659" s="1">
        <v>39.479999999999997</v>
      </c>
      <c r="F659" s="1">
        <v>39.479999999999997</v>
      </c>
      <c r="G659" s="2">
        <v>1196600</v>
      </c>
      <c r="H659" s="2">
        <f t="shared" si="80"/>
        <v>2013</v>
      </c>
      <c r="I659" s="2">
        <f t="shared" si="81"/>
        <v>2</v>
      </c>
      <c r="J659" s="2">
        <f t="shared" si="82"/>
        <v>7</v>
      </c>
      <c r="K659" s="2">
        <f t="shared" si="83"/>
        <v>5</v>
      </c>
      <c r="L659" s="2">
        <f t="shared" si="84"/>
        <v>3</v>
      </c>
      <c r="M659" s="3">
        <f t="shared" si="85"/>
        <v>39.169998</v>
      </c>
      <c r="N659" s="1">
        <f t="shared" ca="1" si="86"/>
        <v>39.169998</v>
      </c>
      <c r="O659" s="5">
        <f t="shared" si="87"/>
        <v>7.9142715299602706E-3</v>
      </c>
    </row>
    <row r="660" spans="1:15" s="2" customFormat="1" x14ac:dyDescent="0.5">
      <c r="A660" s="6">
        <v>41313</v>
      </c>
      <c r="B660" s="1">
        <v>39.450001</v>
      </c>
      <c r="C660" s="1">
        <v>40</v>
      </c>
      <c r="D660" s="1">
        <v>39.139999000000003</v>
      </c>
      <c r="E660" s="1">
        <v>39.240001999999997</v>
      </c>
      <c r="F660" s="1">
        <v>39.240001999999997</v>
      </c>
      <c r="G660" s="2">
        <v>1139800</v>
      </c>
      <c r="H660" s="2">
        <f t="shared" si="80"/>
        <v>2013</v>
      </c>
      <c r="I660" s="2">
        <f t="shared" si="81"/>
        <v>2</v>
      </c>
      <c r="J660" s="2">
        <f t="shared" si="82"/>
        <v>8</v>
      </c>
      <c r="K660" s="2">
        <f t="shared" si="83"/>
        <v>6</v>
      </c>
      <c r="L660" s="2">
        <f t="shared" si="84"/>
        <v>3</v>
      </c>
      <c r="M660" s="3">
        <f t="shared" si="85"/>
        <v>39.479999999999997</v>
      </c>
      <c r="N660" s="1">
        <f t="shared" ca="1" si="86"/>
        <v>39.479999999999997</v>
      </c>
      <c r="O660" s="5">
        <f t="shared" si="87"/>
        <v>-6.0789766970618109E-3</v>
      </c>
    </row>
    <row r="661" spans="1:15" s="2" customFormat="1" x14ac:dyDescent="0.5">
      <c r="A661" s="6">
        <v>41316</v>
      </c>
      <c r="B661" s="1">
        <v>37.979999999999997</v>
      </c>
      <c r="C661" s="1">
        <v>39.150002000000001</v>
      </c>
      <c r="D661" s="1">
        <v>37.5</v>
      </c>
      <c r="E661" s="1">
        <v>38.419998</v>
      </c>
      <c r="F661" s="1">
        <v>38.419998</v>
      </c>
      <c r="G661" s="2">
        <v>3266300</v>
      </c>
      <c r="H661" s="2">
        <f t="shared" si="80"/>
        <v>2013</v>
      </c>
      <c r="I661" s="2">
        <f t="shared" si="81"/>
        <v>2</v>
      </c>
      <c r="J661" s="2">
        <f t="shared" si="82"/>
        <v>11</v>
      </c>
      <c r="K661" s="2">
        <f t="shared" si="83"/>
        <v>2</v>
      </c>
      <c r="L661" s="2">
        <f t="shared" si="84"/>
        <v>3</v>
      </c>
      <c r="M661" s="3">
        <f t="shared" si="85"/>
        <v>39.240001999999997</v>
      </c>
      <c r="N661" s="1">
        <f t="shared" ca="1" si="86"/>
        <v>39.240001999999997</v>
      </c>
      <c r="O661" s="5">
        <f t="shared" si="87"/>
        <v>-2.0897144704528747E-2</v>
      </c>
    </row>
    <row r="662" spans="1:15" s="2" customFormat="1" x14ac:dyDescent="0.5">
      <c r="A662" s="6">
        <v>41317</v>
      </c>
      <c r="B662" s="1">
        <v>38.450001</v>
      </c>
      <c r="C662" s="1">
        <v>38.869999</v>
      </c>
      <c r="D662" s="1">
        <v>37.290000999999997</v>
      </c>
      <c r="E662" s="1">
        <v>37.889999000000003</v>
      </c>
      <c r="F662" s="1">
        <v>37.889999000000003</v>
      </c>
      <c r="G662" s="2">
        <v>2261300</v>
      </c>
      <c r="H662" s="2">
        <f t="shared" si="80"/>
        <v>2013</v>
      </c>
      <c r="I662" s="2">
        <f t="shared" si="81"/>
        <v>2</v>
      </c>
      <c r="J662" s="2">
        <f t="shared" si="82"/>
        <v>12</v>
      </c>
      <c r="K662" s="2">
        <f t="shared" si="83"/>
        <v>3</v>
      </c>
      <c r="L662" s="2">
        <f t="shared" si="84"/>
        <v>3</v>
      </c>
      <c r="M662" s="3">
        <f t="shared" si="85"/>
        <v>38.419998</v>
      </c>
      <c r="N662" s="1">
        <f t="shared" ca="1" si="86"/>
        <v>38.419998</v>
      </c>
      <c r="O662" s="5">
        <f t="shared" si="87"/>
        <v>-1.3794873180368095E-2</v>
      </c>
    </row>
    <row r="663" spans="1:15" s="2" customFormat="1" x14ac:dyDescent="0.5">
      <c r="A663" s="6">
        <v>41318</v>
      </c>
      <c r="B663" s="1">
        <v>38.299999</v>
      </c>
      <c r="C663" s="1">
        <v>39</v>
      </c>
      <c r="D663" s="1">
        <v>38.049999</v>
      </c>
      <c r="E663" s="1">
        <v>38.450001</v>
      </c>
      <c r="F663" s="1">
        <v>38.450001</v>
      </c>
      <c r="G663" s="2">
        <v>966800</v>
      </c>
      <c r="H663" s="2">
        <f t="shared" si="80"/>
        <v>2013</v>
      </c>
      <c r="I663" s="2">
        <f t="shared" si="81"/>
        <v>2</v>
      </c>
      <c r="J663" s="2">
        <f t="shared" si="82"/>
        <v>13</v>
      </c>
      <c r="K663" s="2">
        <f t="shared" si="83"/>
        <v>4</v>
      </c>
      <c r="L663" s="2">
        <f t="shared" si="84"/>
        <v>3</v>
      </c>
      <c r="M663" s="3">
        <f t="shared" si="85"/>
        <v>37.889999000000003</v>
      </c>
      <c r="N663" s="1">
        <f t="shared" ca="1" si="86"/>
        <v>37.889999000000003</v>
      </c>
      <c r="O663" s="5">
        <f t="shared" si="87"/>
        <v>1.4779678405375529E-2</v>
      </c>
    </row>
    <row r="664" spans="1:15" s="2" customFormat="1" x14ac:dyDescent="0.5">
      <c r="A664" s="6">
        <v>41319</v>
      </c>
      <c r="B664" s="1">
        <v>38.639999000000003</v>
      </c>
      <c r="C664" s="1">
        <v>38.75</v>
      </c>
      <c r="D664" s="1">
        <v>38.209999000000003</v>
      </c>
      <c r="E664" s="1">
        <v>38.270000000000003</v>
      </c>
      <c r="F664" s="1">
        <v>38.270000000000003</v>
      </c>
      <c r="G664" s="2">
        <v>990700</v>
      </c>
      <c r="H664" s="2">
        <f t="shared" si="80"/>
        <v>2013</v>
      </c>
      <c r="I664" s="2">
        <f t="shared" si="81"/>
        <v>2</v>
      </c>
      <c r="J664" s="2">
        <f t="shared" si="82"/>
        <v>14</v>
      </c>
      <c r="K664" s="2">
        <f t="shared" si="83"/>
        <v>5</v>
      </c>
      <c r="L664" s="2">
        <f t="shared" si="84"/>
        <v>3</v>
      </c>
      <c r="M664" s="3">
        <f t="shared" si="85"/>
        <v>38.450001</v>
      </c>
      <c r="N664" s="1">
        <f t="shared" ca="1" si="86"/>
        <v>38.450001</v>
      </c>
      <c r="O664" s="5">
        <f t="shared" si="87"/>
        <v>-4.6814303073750008E-3</v>
      </c>
    </row>
    <row r="665" spans="1:15" s="2" customFormat="1" x14ac:dyDescent="0.5">
      <c r="A665" s="6">
        <v>41320</v>
      </c>
      <c r="B665" s="1">
        <v>38.5</v>
      </c>
      <c r="C665" s="1">
        <v>38.509998000000003</v>
      </c>
      <c r="D665" s="1">
        <v>36.950001</v>
      </c>
      <c r="E665" s="1">
        <v>37.040000999999997</v>
      </c>
      <c r="F665" s="1">
        <v>37.040000999999997</v>
      </c>
      <c r="G665" s="2">
        <v>2017600</v>
      </c>
      <c r="H665" s="2">
        <f t="shared" si="80"/>
        <v>2013</v>
      </c>
      <c r="I665" s="2">
        <f t="shared" si="81"/>
        <v>2</v>
      </c>
      <c r="J665" s="2">
        <f t="shared" si="82"/>
        <v>15</v>
      </c>
      <c r="K665" s="2">
        <f t="shared" si="83"/>
        <v>6</v>
      </c>
      <c r="L665" s="2">
        <f t="shared" si="84"/>
        <v>3</v>
      </c>
      <c r="M665" s="3">
        <f t="shared" si="85"/>
        <v>38.270000000000003</v>
      </c>
      <c r="N665" s="1">
        <f t="shared" ca="1" si="86"/>
        <v>38.270000000000003</v>
      </c>
      <c r="O665" s="5">
        <f t="shared" si="87"/>
        <v>-3.2140031356153842E-2</v>
      </c>
    </row>
    <row r="666" spans="1:15" s="2" customFormat="1" x14ac:dyDescent="0.5">
      <c r="A666" s="6">
        <v>41324</v>
      </c>
      <c r="B666" s="1">
        <v>37.360000999999997</v>
      </c>
      <c r="C666" s="1">
        <v>39.290000999999997</v>
      </c>
      <c r="D666" s="1">
        <v>37.310001</v>
      </c>
      <c r="E666" s="1">
        <v>39.279998999999997</v>
      </c>
      <c r="F666" s="1">
        <v>39.279998999999997</v>
      </c>
      <c r="G666" s="2">
        <v>2701400</v>
      </c>
      <c r="H666" s="2">
        <f t="shared" si="80"/>
        <v>2013</v>
      </c>
      <c r="I666" s="2">
        <f t="shared" si="81"/>
        <v>2</v>
      </c>
      <c r="J666" s="2">
        <f t="shared" si="82"/>
        <v>19</v>
      </c>
      <c r="K666" s="2">
        <f t="shared" si="83"/>
        <v>3</v>
      </c>
      <c r="L666" s="2">
        <f t="shared" si="84"/>
        <v>3</v>
      </c>
      <c r="M666" s="3">
        <f t="shared" si="85"/>
        <v>37.040000999999997</v>
      </c>
      <c r="N666" s="1">
        <f t="shared" ca="1" si="86"/>
        <v>37.040000999999997</v>
      </c>
      <c r="O666" s="5">
        <f t="shared" si="87"/>
        <v>6.0475106358663488E-2</v>
      </c>
    </row>
    <row r="667" spans="1:15" s="2" customFormat="1" x14ac:dyDescent="0.5">
      <c r="A667" s="6">
        <v>41325</v>
      </c>
      <c r="B667" s="1">
        <v>39.299999</v>
      </c>
      <c r="C667" s="1">
        <v>39.650002000000001</v>
      </c>
      <c r="D667" s="1">
        <v>38.459999000000003</v>
      </c>
      <c r="E667" s="1">
        <v>38.540000999999997</v>
      </c>
      <c r="F667" s="1">
        <v>38.540000999999997</v>
      </c>
      <c r="G667" s="2">
        <v>3122000</v>
      </c>
      <c r="H667" s="2">
        <f t="shared" si="80"/>
        <v>2013</v>
      </c>
      <c r="I667" s="2">
        <f t="shared" si="81"/>
        <v>2</v>
      </c>
      <c r="J667" s="2">
        <f t="shared" si="82"/>
        <v>20</v>
      </c>
      <c r="K667" s="2">
        <f t="shared" si="83"/>
        <v>4</v>
      </c>
      <c r="L667" s="2">
        <f t="shared" si="84"/>
        <v>3</v>
      </c>
      <c r="M667" s="3">
        <f t="shared" si="85"/>
        <v>39.279998999999997</v>
      </c>
      <c r="N667" s="1">
        <f t="shared" ca="1" si="86"/>
        <v>39.279998999999997</v>
      </c>
      <c r="O667" s="5">
        <f t="shared" si="87"/>
        <v>-1.8839053432766151E-2</v>
      </c>
    </row>
    <row r="668" spans="1:15" s="2" customFormat="1" x14ac:dyDescent="0.5">
      <c r="A668" s="6">
        <v>41326</v>
      </c>
      <c r="B668" s="1">
        <v>36.490001999999997</v>
      </c>
      <c r="C668" s="1">
        <v>37.389999000000003</v>
      </c>
      <c r="D668" s="1">
        <v>34.540000999999997</v>
      </c>
      <c r="E668" s="1">
        <v>35.159999999999997</v>
      </c>
      <c r="F668" s="1">
        <v>35.159999999999997</v>
      </c>
      <c r="G668" s="2">
        <v>9037800</v>
      </c>
      <c r="H668" s="2">
        <f t="shared" si="80"/>
        <v>2013</v>
      </c>
      <c r="I668" s="2">
        <f t="shared" si="81"/>
        <v>2</v>
      </c>
      <c r="J668" s="2">
        <f t="shared" si="82"/>
        <v>21</v>
      </c>
      <c r="K668" s="2">
        <f t="shared" si="83"/>
        <v>5</v>
      </c>
      <c r="L668" s="2">
        <f t="shared" si="84"/>
        <v>3</v>
      </c>
      <c r="M668" s="3">
        <f t="shared" si="85"/>
        <v>38.540000999999997</v>
      </c>
      <c r="N668" s="1">
        <f t="shared" ca="1" si="86"/>
        <v>38.540000999999997</v>
      </c>
      <c r="O668" s="5">
        <f t="shared" si="87"/>
        <v>-8.7701113448336421E-2</v>
      </c>
    </row>
    <row r="669" spans="1:15" s="2" customFormat="1" x14ac:dyDescent="0.5">
      <c r="A669" s="6">
        <v>41327</v>
      </c>
      <c r="B669" s="1">
        <v>35.720001000000003</v>
      </c>
      <c r="C669" s="1">
        <v>36.389999000000003</v>
      </c>
      <c r="D669" s="1">
        <v>35.599997999999999</v>
      </c>
      <c r="E669" s="1">
        <v>36.110000999999997</v>
      </c>
      <c r="F669" s="1">
        <v>36.110000999999997</v>
      </c>
      <c r="G669" s="2">
        <v>2547300</v>
      </c>
      <c r="H669" s="2">
        <f t="shared" si="80"/>
        <v>2013</v>
      </c>
      <c r="I669" s="2">
        <f t="shared" si="81"/>
        <v>2</v>
      </c>
      <c r="J669" s="2">
        <f t="shared" si="82"/>
        <v>22</v>
      </c>
      <c r="K669" s="2">
        <f t="shared" si="83"/>
        <v>6</v>
      </c>
      <c r="L669" s="2">
        <f t="shared" si="84"/>
        <v>3</v>
      </c>
      <c r="M669" s="3">
        <f t="shared" si="85"/>
        <v>35.159999999999997</v>
      </c>
      <c r="N669" s="1">
        <f t="shared" ca="1" si="86"/>
        <v>35.159999999999997</v>
      </c>
      <c r="O669" s="5">
        <f t="shared" si="87"/>
        <v>2.7019368600682547E-2</v>
      </c>
    </row>
    <row r="670" spans="1:15" s="2" customFormat="1" x14ac:dyDescent="0.5">
      <c r="A670" s="6">
        <v>41330</v>
      </c>
      <c r="B670" s="1">
        <v>36.150002000000001</v>
      </c>
      <c r="C670" s="1">
        <v>36.75</v>
      </c>
      <c r="D670" s="1">
        <v>34.340000000000003</v>
      </c>
      <c r="E670" s="1">
        <v>34.380001</v>
      </c>
      <c r="F670" s="1">
        <v>34.380001</v>
      </c>
      <c r="G670" s="2">
        <v>2889400</v>
      </c>
      <c r="H670" s="2">
        <f t="shared" si="80"/>
        <v>2013</v>
      </c>
      <c r="I670" s="2">
        <f t="shared" si="81"/>
        <v>2</v>
      </c>
      <c r="J670" s="2">
        <f t="shared" si="82"/>
        <v>25</v>
      </c>
      <c r="K670" s="2">
        <f t="shared" si="83"/>
        <v>2</v>
      </c>
      <c r="L670" s="2">
        <f t="shared" si="84"/>
        <v>3</v>
      </c>
      <c r="M670" s="3">
        <f t="shared" si="85"/>
        <v>36.110000999999997</v>
      </c>
      <c r="N670" s="1">
        <f t="shared" ca="1" si="86"/>
        <v>36.110000999999997</v>
      </c>
      <c r="O670" s="5">
        <f t="shared" si="87"/>
        <v>-4.7909165109134122E-2</v>
      </c>
    </row>
    <row r="671" spans="1:15" s="2" customFormat="1" x14ac:dyDescent="0.5">
      <c r="A671" s="6">
        <v>41331</v>
      </c>
      <c r="B671" s="1">
        <v>34.459999000000003</v>
      </c>
      <c r="C671" s="1">
        <v>34.959999000000003</v>
      </c>
      <c r="D671" s="1">
        <v>33.799999</v>
      </c>
      <c r="E671" s="1">
        <v>34.43</v>
      </c>
      <c r="F671" s="1">
        <v>34.43</v>
      </c>
      <c r="G671" s="2">
        <v>2762900</v>
      </c>
      <c r="H671" s="2">
        <f t="shared" si="80"/>
        <v>2013</v>
      </c>
      <c r="I671" s="2">
        <f t="shared" si="81"/>
        <v>2</v>
      </c>
      <c r="J671" s="2">
        <f t="shared" si="82"/>
        <v>26</v>
      </c>
      <c r="K671" s="2">
        <f t="shared" si="83"/>
        <v>3</v>
      </c>
      <c r="L671" s="2">
        <f t="shared" si="84"/>
        <v>3</v>
      </c>
      <c r="M671" s="3">
        <f t="shared" si="85"/>
        <v>34.380001</v>
      </c>
      <c r="N671" s="1">
        <f t="shared" ca="1" si="86"/>
        <v>34.380001</v>
      </c>
      <c r="O671" s="5">
        <f t="shared" si="87"/>
        <v>1.4543047860877678E-3</v>
      </c>
    </row>
    <row r="672" spans="1:15" s="2" customFormat="1" x14ac:dyDescent="0.5">
      <c r="A672" s="6">
        <v>41332</v>
      </c>
      <c r="B672" s="1">
        <v>34.409999999999997</v>
      </c>
      <c r="C672" s="1">
        <v>35.409999999999997</v>
      </c>
      <c r="D672" s="1">
        <v>34.400002000000001</v>
      </c>
      <c r="E672" s="1">
        <v>35.099997999999999</v>
      </c>
      <c r="F672" s="1">
        <v>35.099997999999999</v>
      </c>
      <c r="G672" s="2">
        <v>1959200</v>
      </c>
      <c r="H672" s="2">
        <f t="shared" si="80"/>
        <v>2013</v>
      </c>
      <c r="I672" s="2">
        <f t="shared" si="81"/>
        <v>2</v>
      </c>
      <c r="J672" s="2">
        <f t="shared" si="82"/>
        <v>27</v>
      </c>
      <c r="K672" s="2">
        <f t="shared" si="83"/>
        <v>4</v>
      </c>
      <c r="L672" s="2">
        <f t="shared" si="84"/>
        <v>3</v>
      </c>
      <c r="M672" s="3">
        <f t="shared" si="85"/>
        <v>34.43</v>
      </c>
      <c r="N672" s="1">
        <f t="shared" ca="1" si="86"/>
        <v>34.43</v>
      </c>
      <c r="O672" s="5">
        <f t="shared" si="87"/>
        <v>1.9459715364507746E-2</v>
      </c>
    </row>
    <row r="673" spans="1:15" s="2" customFormat="1" x14ac:dyDescent="0.5">
      <c r="A673" s="6">
        <v>41333</v>
      </c>
      <c r="B673" s="1">
        <v>35.889999000000003</v>
      </c>
      <c r="C673" s="1">
        <v>36.099997999999999</v>
      </c>
      <c r="D673" s="1">
        <v>34.369999</v>
      </c>
      <c r="E673" s="1">
        <v>34.830002</v>
      </c>
      <c r="F673" s="1">
        <v>34.830002</v>
      </c>
      <c r="G673" s="2">
        <v>1964900</v>
      </c>
      <c r="H673" s="2">
        <f t="shared" si="80"/>
        <v>2013</v>
      </c>
      <c r="I673" s="2">
        <f t="shared" si="81"/>
        <v>2</v>
      </c>
      <c r="J673" s="2">
        <f t="shared" si="82"/>
        <v>28</v>
      </c>
      <c r="K673" s="2">
        <f t="shared" si="83"/>
        <v>5</v>
      </c>
      <c r="L673" s="2">
        <f t="shared" si="84"/>
        <v>3</v>
      </c>
      <c r="M673" s="3">
        <f t="shared" si="85"/>
        <v>35.099997999999999</v>
      </c>
      <c r="N673" s="1">
        <f t="shared" ca="1" si="86"/>
        <v>35.099997999999999</v>
      </c>
      <c r="O673" s="5">
        <f t="shared" si="87"/>
        <v>-7.6921941704953811E-3</v>
      </c>
    </row>
    <row r="674" spans="1:15" s="2" customFormat="1" x14ac:dyDescent="0.5">
      <c r="A674" s="6">
        <v>41334</v>
      </c>
      <c r="B674" s="1">
        <v>35</v>
      </c>
      <c r="C674" s="1">
        <v>35.080002</v>
      </c>
      <c r="D674" s="1">
        <v>34.25</v>
      </c>
      <c r="E674" s="1">
        <v>34.650002000000001</v>
      </c>
      <c r="F674" s="1">
        <v>34.650002000000001</v>
      </c>
      <c r="G674" s="2">
        <v>1546600</v>
      </c>
      <c r="H674" s="2">
        <f t="shared" si="80"/>
        <v>2013</v>
      </c>
      <c r="I674" s="2">
        <f t="shared" si="81"/>
        <v>3</v>
      </c>
      <c r="J674" s="2">
        <f t="shared" si="82"/>
        <v>1</v>
      </c>
      <c r="K674" s="2">
        <f t="shared" si="83"/>
        <v>6</v>
      </c>
      <c r="L674" s="2">
        <f t="shared" si="84"/>
        <v>4</v>
      </c>
      <c r="M674" s="3">
        <f t="shared" si="85"/>
        <v>34.830002</v>
      </c>
      <c r="N674" s="1">
        <f t="shared" ca="1" si="86"/>
        <v>34.830002</v>
      </c>
      <c r="O674" s="5">
        <f t="shared" si="87"/>
        <v>-5.1679583595775069E-3</v>
      </c>
    </row>
    <row r="675" spans="1:15" s="2" customFormat="1" x14ac:dyDescent="0.5">
      <c r="A675" s="6">
        <v>41337</v>
      </c>
      <c r="B675" s="1">
        <v>34.770000000000003</v>
      </c>
      <c r="C675" s="1">
        <v>35.830002</v>
      </c>
      <c r="D675" s="1">
        <v>34.700001</v>
      </c>
      <c r="E675" s="1">
        <v>35.580002</v>
      </c>
      <c r="F675" s="1">
        <v>35.580002</v>
      </c>
      <c r="G675" s="2">
        <v>1757700</v>
      </c>
      <c r="H675" s="2">
        <f t="shared" si="80"/>
        <v>2013</v>
      </c>
      <c r="I675" s="2">
        <f t="shared" si="81"/>
        <v>3</v>
      </c>
      <c r="J675" s="2">
        <f t="shared" si="82"/>
        <v>4</v>
      </c>
      <c r="K675" s="2">
        <f t="shared" si="83"/>
        <v>2</v>
      </c>
      <c r="L675" s="2">
        <f t="shared" si="84"/>
        <v>4</v>
      </c>
      <c r="M675" s="3">
        <f t="shared" si="85"/>
        <v>34.650002000000001</v>
      </c>
      <c r="N675" s="1">
        <f t="shared" ca="1" si="86"/>
        <v>34.650002000000001</v>
      </c>
      <c r="O675" s="5">
        <f t="shared" si="87"/>
        <v>2.6839825290630559E-2</v>
      </c>
    </row>
    <row r="676" spans="1:15" s="2" customFormat="1" x14ac:dyDescent="0.5">
      <c r="A676" s="6">
        <v>41338</v>
      </c>
      <c r="B676" s="1">
        <v>36</v>
      </c>
      <c r="C676" s="1">
        <v>36.919998</v>
      </c>
      <c r="D676" s="1">
        <v>35.790000999999997</v>
      </c>
      <c r="E676" s="1">
        <v>36.650002000000001</v>
      </c>
      <c r="F676" s="1">
        <v>36.650002000000001</v>
      </c>
      <c r="G676" s="2">
        <v>2087000</v>
      </c>
      <c r="H676" s="2">
        <f t="shared" si="80"/>
        <v>2013</v>
      </c>
      <c r="I676" s="2">
        <f t="shared" si="81"/>
        <v>3</v>
      </c>
      <c r="J676" s="2">
        <f t="shared" si="82"/>
        <v>5</v>
      </c>
      <c r="K676" s="2">
        <f t="shared" si="83"/>
        <v>3</v>
      </c>
      <c r="L676" s="2">
        <f t="shared" si="84"/>
        <v>4</v>
      </c>
      <c r="M676" s="3">
        <f t="shared" si="85"/>
        <v>35.580002</v>
      </c>
      <c r="N676" s="1">
        <f t="shared" ca="1" si="86"/>
        <v>35.580002</v>
      </c>
      <c r="O676" s="5">
        <f t="shared" si="87"/>
        <v>3.0073073070653544E-2</v>
      </c>
    </row>
    <row r="677" spans="1:15" s="2" customFormat="1" x14ac:dyDescent="0.5">
      <c r="A677" s="6">
        <v>41339</v>
      </c>
      <c r="B677" s="1">
        <v>37.009998000000003</v>
      </c>
      <c r="C677" s="1">
        <v>37.880001</v>
      </c>
      <c r="D677" s="1">
        <v>36.970001000000003</v>
      </c>
      <c r="E677" s="1">
        <v>37.689999</v>
      </c>
      <c r="F677" s="1">
        <v>37.689999</v>
      </c>
      <c r="G677" s="2">
        <v>1150000</v>
      </c>
      <c r="H677" s="2">
        <f t="shared" si="80"/>
        <v>2013</v>
      </c>
      <c r="I677" s="2">
        <f t="shared" si="81"/>
        <v>3</v>
      </c>
      <c r="J677" s="2">
        <f t="shared" si="82"/>
        <v>6</v>
      </c>
      <c r="K677" s="2">
        <f t="shared" si="83"/>
        <v>4</v>
      </c>
      <c r="L677" s="2">
        <f t="shared" si="84"/>
        <v>4</v>
      </c>
      <c r="M677" s="3">
        <f t="shared" si="85"/>
        <v>36.650002000000001</v>
      </c>
      <c r="N677" s="1">
        <f t="shared" ca="1" si="86"/>
        <v>36.650002000000001</v>
      </c>
      <c r="O677" s="5">
        <f t="shared" si="87"/>
        <v>2.8376451384641177E-2</v>
      </c>
    </row>
    <row r="678" spans="1:15" s="2" customFormat="1" x14ac:dyDescent="0.5">
      <c r="A678" s="6">
        <v>41340</v>
      </c>
      <c r="B678" s="1">
        <v>37.729999999999997</v>
      </c>
      <c r="C678" s="1">
        <v>38.650002000000001</v>
      </c>
      <c r="D678" s="1">
        <v>36.880001</v>
      </c>
      <c r="E678" s="1">
        <v>38.229999999999997</v>
      </c>
      <c r="F678" s="1">
        <v>38.229999999999997</v>
      </c>
      <c r="G678" s="2">
        <v>1158300</v>
      </c>
      <c r="H678" s="2">
        <f t="shared" si="80"/>
        <v>2013</v>
      </c>
      <c r="I678" s="2">
        <f t="shared" si="81"/>
        <v>3</v>
      </c>
      <c r="J678" s="2">
        <f t="shared" si="82"/>
        <v>7</v>
      </c>
      <c r="K678" s="2">
        <f t="shared" si="83"/>
        <v>5</v>
      </c>
      <c r="L678" s="2">
        <f t="shared" si="84"/>
        <v>4</v>
      </c>
      <c r="M678" s="3">
        <f t="shared" si="85"/>
        <v>37.689999</v>
      </c>
      <c r="N678" s="1">
        <f t="shared" ca="1" si="86"/>
        <v>37.689999</v>
      </c>
      <c r="O678" s="5">
        <f t="shared" si="87"/>
        <v>1.4327434712853027E-2</v>
      </c>
    </row>
    <row r="679" spans="1:15" s="2" customFormat="1" x14ac:dyDescent="0.5">
      <c r="A679" s="6">
        <v>41341</v>
      </c>
      <c r="B679" s="1">
        <v>38.060001</v>
      </c>
      <c r="C679" s="1">
        <v>39.439999</v>
      </c>
      <c r="D679" s="1">
        <v>37.360000999999997</v>
      </c>
      <c r="E679" s="1">
        <v>38.470001000000003</v>
      </c>
      <c r="F679" s="1">
        <v>38.470001000000003</v>
      </c>
      <c r="G679" s="2">
        <v>912100</v>
      </c>
      <c r="H679" s="2">
        <f t="shared" si="80"/>
        <v>2013</v>
      </c>
      <c r="I679" s="2">
        <f t="shared" si="81"/>
        <v>3</v>
      </c>
      <c r="J679" s="2">
        <f t="shared" si="82"/>
        <v>8</v>
      </c>
      <c r="K679" s="2">
        <f t="shared" si="83"/>
        <v>6</v>
      </c>
      <c r="L679" s="2">
        <f t="shared" si="84"/>
        <v>4</v>
      </c>
      <c r="M679" s="3">
        <f t="shared" si="85"/>
        <v>38.229999999999997</v>
      </c>
      <c r="N679" s="1">
        <f t="shared" ca="1" si="86"/>
        <v>38.229999999999997</v>
      </c>
      <c r="O679" s="5">
        <f t="shared" si="87"/>
        <v>6.277818467172569E-3</v>
      </c>
    </row>
    <row r="680" spans="1:15" s="2" customFormat="1" x14ac:dyDescent="0.5">
      <c r="A680" s="6">
        <v>41344</v>
      </c>
      <c r="B680" s="1">
        <v>38.869999</v>
      </c>
      <c r="C680" s="1">
        <v>39.439999</v>
      </c>
      <c r="D680" s="1">
        <v>38.650002000000001</v>
      </c>
      <c r="E680" s="1">
        <v>39.099997999999999</v>
      </c>
      <c r="F680" s="1">
        <v>39.099997999999999</v>
      </c>
      <c r="G680" s="2">
        <v>1579500</v>
      </c>
      <c r="H680" s="2">
        <f t="shared" si="80"/>
        <v>2013</v>
      </c>
      <c r="I680" s="2">
        <f t="shared" si="81"/>
        <v>3</v>
      </c>
      <c r="J680" s="2">
        <f t="shared" si="82"/>
        <v>11</v>
      </c>
      <c r="K680" s="2">
        <f t="shared" si="83"/>
        <v>2</v>
      </c>
      <c r="L680" s="2">
        <f t="shared" si="84"/>
        <v>4</v>
      </c>
      <c r="M680" s="3">
        <f t="shared" si="85"/>
        <v>38.470001000000003</v>
      </c>
      <c r="N680" s="1">
        <f t="shared" ca="1" si="86"/>
        <v>38.470001000000003</v>
      </c>
      <c r="O680" s="5">
        <f t="shared" si="87"/>
        <v>1.6376318784083077E-2</v>
      </c>
    </row>
    <row r="681" spans="1:15" s="2" customFormat="1" x14ac:dyDescent="0.5">
      <c r="A681" s="6">
        <v>41345</v>
      </c>
      <c r="B681" s="1">
        <v>38.900002000000001</v>
      </c>
      <c r="C681" s="1">
        <v>39.380001</v>
      </c>
      <c r="D681" s="1">
        <v>38.849997999999999</v>
      </c>
      <c r="E681" s="1">
        <v>39.119999</v>
      </c>
      <c r="F681" s="1">
        <v>39.119999</v>
      </c>
      <c r="G681" s="2">
        <v>1275100</v>
      </c>
      <c r="H681" s="2">
        <f t="shared" si="80"/>
        <v>2013</v>
      </c>
      <c r="I681" s="2">
        <f t="shared" si="81"/>
        <v>3</v>
      </c>
      <c r="J681" s="2">
        <f t="shared" si="82"/>
        <v>12</v>
      </c>
      <c r="K681" s="2">
        <f t="shared" si="83"/>
        <v>3</v>
      </c>
      <c r="L681" s="2">
        <f t="shared" si="84"/>
        <v>4</v>
      </c>
      <c r="M681" s="3">
        <f t="shared" si="85"/>
        <v>39.099997999999999</v>
      </c>
      <c r="N681" s="1">
        <f t="shared" ca="1" si="86"/>
        <v>39.099997999999999</v>
      </c>
      <c r="O681" s="5">
        <f t="shared" si="87"/>
        <v>5.1153455301977679E-4</v>
      </c>
    </row>
    <row r="682" spans="1:15" s="2" customFormat="1" x14ac:dyDescent="0.5">
      <c r="A682" s="6">
        <v>41346</v>
      </c>
      <c r="B682" s="1">
        <v>39</v>
      </c>
      <c r="C682" s="1">
        <v>39.490001999999997</v>
      </c>
      <c r="D682" s="1">
        <v>38.810001</v>
      </c>
      <c r="E682" s="1">
        <v>38.979999999999997</v>
      </c>
      <c r="F682" s="1">
        <v>38.979999999999997</v>
      </c>
      <c r="G682" s="2">
        <v>822000</v>
      </c>
      <c r="H682" s="2">
        <f t="shared" si="80"/>
        <v>2013</v>
      </c>
      <c r="I682" s="2">
        <f t="shared" si="81"/>
        <v>3</v>
      </c>
      <c r="J682" s="2">
        <f t="shared" si="82"/>
        <v>13</v>
      </c>
      <c r="K682" s="2">
        <f t="shared" si="83"/>
        <v>4</v>
      </c>
      <c r="L682" s="2">
        <f t="shared" si="84"/>
        <v>4</v>
      </c>
      <c r="M682" s="3">
        <f t="shared" si="85"/>
        <v>39.119999</v>
      </c>
      <c r="N682" s="1">
        <f t="shared" ca="1" si="86"/>
        <v>39.119999</v>
      </c>
      <c r="O682" s="5">
        <f t="shared" si="87"/>
        <v>-3.5787066354475705E-3</v>
      </c>
    </row>
    <row r="683" spans="1:15" s="2" customFormat="1" x14ac:dyDescent="0.5">
      <c r="A683" s="6">
        <v>41347</v>
      </c>
      <c r="B683" s="1">
        <v>38.900002000000001</v>
      </c>
      <c r="C683" s="1">
        <v>38.909999999999997</v>
      </c>
      <c r="D683" s="1">
        <v>36.770000000000003</v>
      </c>
      <c r="E683" s="1">
        <v>36.849997999999999</v>
      </c>
      <c r="F683" s="1">
        <v>36.849997999999999</v>
      </c>
      <c r="G683" s="2">
        <v>2021000</v>
      </c>
      <c r="H683" s="2">
        <f t="shared" si="80"/>
        <v>2013</v>
      </c>
      <c r="I683" s="2">
        <f t="shared" si="81"/>
        <v>3</v>
      </c>
      <c r="J683" s="2">
        <f t="shared" si="82"/>
        <v>14</v>
      </c>
      <c r="K683" s="2">
        <f t="shared" si="83"/>
        <v>5</v>
      </c>
      <c r="L683" s="2">
        <f t="shared" si="84"/>
        <v>4</v>
      </c>
      <c r="M683" s="3">
        <f t="shared" si="85"/>
        <v>38.979999999999997</v>
      </c>
      <c r="N683" s="1">
        <f t="shared" ca="1" si="86"/>
        <v>38.979999999999997</v>
      </c>
      <c r="O683" s="5">
        <f t="shared" si="87"/>
        <v>-5.464345818368388E-2</v>
      </c>
    </row>
    <row r="684" spans="1:15" s="2" customFormat="1" x14ac:dyDescent="0.5">
      <c r="A684" s="6">
        <v>41348</v>
      </c>
      <c r="B684" s="1">
        <v>36.639999000000003</v>
      </c>
      <c r="C684" s="1">
        <v>36.650002000000001</v>
      </c>
      <c r="D684" s="1">
        <v>35.209999000000003</v>
      </c>
      <c r="E684" s="1">
        <v>35.290000999999997</v>
      </c>
      <c r="F684" s="1">
        <v>35.290000999999997</v>
      </c>
      <c r="G684" s="2">
        <v>3279600</v>
      </c>
      <c r="H684" s="2">
        <f t="shared" si="80"/>
        <v>2013</v>
      </c>
      <c r="I684" s="2">
        <f t="shared" si="81"/>
        <v>3</v>
      </c>
      <c r="J684" s="2">
        <f t="shared" si="82"/>
        <v>15</v>
      </c>
      <c r="K684" s="2">
        <f t="shared" si="83"/>
        <v>6</v>
      </c>
      <c r="L684" s="2">
        <f t="shared" si="84"/>
        <v>4</v>
      </c>
      <c r="M684" s="3">
        <f t="shared" si="85"/>
        <v>36.849997999999999</v>
      </c>
      <c r="N684" s="1">
        <f t="shared" ca="1" si="86"/>
        <v>36.849997999999999</v>
      </c>
      <c r="O684" s="5">
        <f t="shared" si="87"/>
        <v>-4.2333706503864699E-2</v>
      </c>
    </row>
    <row r="685" spans="1:15" s="2" customFormat="1" x14ac:dyDescent="0.5">
      <c r="A685" s="6">
        <v>41351</v>
      </c>
      <c r="B685" s="1">
        <v>35.299999</v>
      </c>
      <c r="C685" s="1">
        <v>36.060001</v>
      </c>
      <c r="D685" s="1">
        <v>34.919998</v>
      </c>
      <c r="E685" s="1">
        <v>35.150002000000001</v>
      </c>
      <c r="F685" s="1">
        <v>35.150002000000001</v>
      </c>
      <c r="G685" s="2">
        <v>1316100</v>
      </c>
      <c r="H685" s="2">
        <f t="shared" si="80"/>
        <v>2013</v>
      </c>
      <c r="I685" s="2">
        <f t="shared" si="81"/>
        <v>3</v>
      </c>
      <c r="J685" s="2">
        <f t="shared" si="82"/>
        <v>18</v>
      </c>
      <c r="K685" s="2">
        <f t="shared" si="83"/>
        <v>2</v>
      </c>
      <c r="L685" s="2">
        <f t="shared" si="84"/>
        <v>4</v>
      </c>
      <c r="M685" s="3">
        <f t="shared" si="85"/>
        <v>35.290000999999997</v>
      </c>
      <c r="N685" s="1">
        <f t="shared" ca="1" si="86"/>
        <v>35.290000999999997</v>
      </c>
      <c r="O685" s="5">
        <f t="shared" si="87"/>
        <v>-3.9671010493878001E-3</v>
      </c>
    </row>
    <row r="686" spans="1:15" s="2" customFormat="1" x14ac:dyDescent="0.5">
      <c r="A686" s="6">
        <v>41352</v>
      </c>
      <c r="B686" s="1">
        <v>35.25</v>
      </c>
      <c r="C686" s="1">
        <v>35.599997999999999</v>
      </c>
      <c r="D686" s="1">
        <v>34.939999</v>
      </c>
      <c r="E686" s="1">
        <v>35.080002</v>
      </c>
      <c r="F686" s="1">
        <v>35.080002</v>
      </c>
      <c r="G686" s="2">
        <v>1098500</v>
      </c>
      <c r="H686" s="2">
        <f t="shared" si="80"/>
        <v>2013</v>
      </c>
      <c r="I686" s="2">
        <f t="shared" si="81"/>
        <v>3</v>
      </c>
      <c r="J686" s="2">
        <f t="shared" si="82"/>
        <v>19</v>
      </c>
      <c r="K686" s="2">
        <f t="shared" si="83"/>
        <v>3</v>
      </c>
      <c r="L686" s="2">
        <f t="shared" si="84"/>
        <v>4</v>
      </c>
      <c r="M686" s="3">
        <f t="shared" si="85"/>
        <v>35.150002000000001</v>
      </c>
      <c r="N686" s="1">
        <f t="shared" ca="1" si="86"/>
        <v>35.150002000000001</v>
      </c>
      <c r="O686" s="5">
        <f t="shared" si="87"/>
        <v>-1.9914650360475239E-3</v>
      </c>
    </row>
    <row r="687" spans="1:15" s="2" customFormat="1" x14ac:dyDescent="0.5">
      <c r="A687" s="6">
        <v>41353</v>
      </c>
      <c r="B687" s="1">
        <v>35.259998000000003</v>
      </c>
      <c r="C687" s="1">
        <v>36.07</v>
      </c>
      <c r="D687" s="1">
        <v>35.159999999999997</v>
      </c>
      <c r="E687" s="1">
        <v>35.950001</v>
      </c>
      <c r="F687" s="1">
        <v>35.950001</v>
      </c>
      <c r="G687" s="2">
        <v>1423000</v>
      </c>
      <c r="H687" s="2">
        <f t="shared" si="80"/>
        <v>2013</v>
      </c>
      <c r="I687" s="2">
        <f t="shared" si="81"/>
        <v>3</v>
      </c>
      <c r="J687" s="2">
        <f t="shared" si="82"/>
        <v>20</v>
      </c>
      <c r="K687" s="2">
        <f t="shared" si="83"/>
        <v>4</v>
      </c>
      <c r="L687" s="2">
        <f t="shared" si="84"/>
        <v>4</v>
      </c>
      <c r="M687" s="3">
        <f t="shared" si="85"/>
        <v>35.080002</v>
      </c>
      <c r="N687" s="1">
        <f t="shared" ca="1" si="86"/>
        <v>35.080002</v>
      </c>
      <c r="O687" s="5">
        <f t="shared" si="87"/>
        <v>2.4800426180135338E-2</v>
      </c>
    </row>
    <row r="688" spans="1:15" s="2" customFormat="1" x14ac:dyDescent="0.5">
      <c r="A688" s="6">
        <v>41354</v>
      </c>
      <c r="B688" s="1">
        <v>35.950001</v>
      </c>
      <c r="C688" s="1">
        <v>37.060001</v>
      </c>
      <c r="D688" s="1">
        <v>35.740001999999997</v>
      </c>
      <c r="E688" s="1">
        <v>36.009998000000003</v>
      </c>
      <c r="F688" s="1">
        <v>36.009998000000003</v>
      </c>
      <c r="G688" s="2">
        <v>1146300</v>
      </c>
      <c r="H688" s="2">
        <f t="shared" si="80"/>
        <v>2013</v>
      </c>
      <c r="I688" s="2">
        <f t="shared" si="81"/>
        <v>3</v>
      </c>
      <c r="J688" s="2">
        <f t="shared" si="82"/>
        <v>21</v>
      </c>
      <c r="K688" s="2">
        <f t="shared" si="83"/>
        <v>5</v>
      </c>
      <c r="L688" s="2">
        <f t="shared" si="84"/>
        <v>4</v>
      </c>
      <c r="M688" s="3">
        <f t="shared" si="85"/>
        <v>35.950001</v>
      </c>
      <c r="N688" s="1">
        <f t="shared" ca="1" si="86"/>
        <v>35.950001</v>
      </c>
      <c r="O688" s="5">
        <f t="shared" si="87"/>
        <v>1.6689012053157093E-3</v>
      </c>
    </row>
    <row r="689" spans="1:15" s="2" customFormat="1" x14ac:dyDescent="0.5">
      <c r="A689" s="6">
        <v>41355</v>
      </c>
      <c r="B689" s="1">
        <v>36.200001</v>
      </c>
      <c r="C689" s="1">
        <v>36.799999</v>
      </c>
      <c r="D689" s="1">
        <v>36.200001</v>
      </c>
      <c r="E689" s="1">
        <v>36.619999</v>
      </c>
      <c r="F689" s="1">
        <v>36.619999</v>
      </c>
      <c r="G689" s="2">
        <v>440200</v>
      </c>
      <c r="H689" s="2">
        <f t="shared" si="80"/>
        <v>2013</v>
      </c>
      <c r="I689" s="2">
        <f t="shared" si="81"/>
        <v>3</v>
      </c>
      <c r="J689" s="2">
        <f t="shared" si="82"/>
        <v>22</v>
      </c>
      <c r="K689" s="2">
        <f t="shared" si="83"/>
        <v>6</v>
      </c>
      <c r="L689" s="2">
        <f t="shared" si="84"/>
        <v>4</v>
      </c>
      <c r="M689" s="3">
        <f t="shared" si="85"/>
        <v>36.009998000000003</v>
      </c>
      <c r="N689" s="1">
        <f t="shared" ca="1" si="86"/>
        <v>36.009998000000003</v>
      </c>
      <c r="O689" s="5">
        <f t="shared" si="87"/>
        <v>1.693976767230021E-2</v>
      </c>
    </row>
    <row r="690" spans="1:15" s="2" customFormat="1" x14ac:dyDescent="0.5">
      <c r="A690" s="6">
        <v>41358</v>
      </c>
      <c r="B690" s="1">
        <v>37.099997999999999</v>
      </c>
      <c r="C690" s="1">
        <v>38.520000000000003</v>
      </c>
      <c r="D690" s="1">
        <v>36.770000000000003</v>
      </c>
      <c r="E690" s="1">
        <v>37.529998999999997</v>
      </c>
      <c r="F690" s="1">
        <v>37.529998999999997</v>
      </c>
      <c r="G690" s="2">
        <v>2378800</v>
      </c>
      <c r="H690" s="2">
        <f t="shared" si="80"/>
        <v>2013</v>
      </c>
      <c r="I690" s="2">
        <f t="shared" si="81"/>
        <v>3</v>
      </c>
      <c r="J690" s="2">
        <f t="shared" si="82"/>
        <v>25</v>
      </c>
      <c r="K690" s="2">
        <f t="shared" si="83"/>
        <v>2</v>
      </c>
      <c r="L690" s="2">
        <f t="shared" si="84"/>
        <v>4</v>
      </c>
      <c r="M690" s="3">
        <f t="shared" si="85"/>
        <v>36.619999</v>
      </c>
      <c r="N690" s="1">
        <f t="shared" ca="1" si="86"/>
        <v>36.619999</v>
      </c>
      <c r="O690" s="5">
        <f t="shared" si="87"/>
        <v>2.4849809526209965E-2</v>
      </c>
    </row>
    <row r="691" spans="1:15" s="2" customFormat="1" x14ac:dyDescent="0.5">
      <c r="A691" s="6">
        <v>41359</v>
      </c>
      <c r="B691" s="1">
        <v>37.979999999999997</v>
      </c>
      <c r="C691" s="1">
        <v>38.220001000000003</v>
      </c>
      <c r="D691" s="1">
        <v>37.659999999999997</v>
      </c>
      <c r="E691" s="1">
        <v>37.860000999999997</v>
      </c>
      <c r="F691" s="1">
        <v>37.860000999999997</v>
      </c>
      <c r="G691" s="2">
        <v>1808200</v>
      </c>
      <c r="H691" s="2">
        <f t="shared" si="80"/>
        <v>2013</v>
      </c>
      <c r="I691" s="2">
        <f t="shared" si="81"/>
        <v>3</v>
      </c>
      <c r="J691" s="2">
        <f t="shared" si="82"/>
        <v>26</v>
      </c>
      <c r="K691" s="2">
        <f t="shared" si="83"/>
        <v>3</v>
      </c>
      <c r="L691" s="2">
        <f t="shared" si="84"/>
        <v>4</v>
      </c>
      <c r="M691" s="3">
        <f t="shared" si="85"/>
        <v>37.529998999999997</v>
      </c>
      <c r="N691" s="1">
        <f t="shared" ca="1" si="86"/>
        <v>37.529998999999997</v>
      </c>
      <c r="O691" s="5">
        <f t="shared" si="87"/>
        <v>8.7930191524918655E-3</v>
      </c>
    </row>
    <row r="692" spans="1:15" s="2" customFormat="1" x14ac:dyDescent="0.5">
      <c r="A692" s="6">
        <v>41360</v>
      </c>
      <c r="B692" s="1">
        <v>37.939999</v>
      </c>
      <c r="C692" s="1">
        <v>38.380001</v>
      </c>
      <c r="D692" s="1">
        <v>37.310001</v>
      </c>
      <c r="E692" s="1">
        <v>38.159999999999997</v>
      </c>
      <c r="F692" s="1">
        <v>38.159999999999997</v>
      </c>
      <c r="G692" s="2">
        <v>1296300</v>
      </c>
      <c r="H692" s="2">
        <f t="shared" si="80"/>
        <v>2013</v>
      </c>
      <c r="I692" s="2">
        <f t="shared" si="81"/>
        <v>3</v>
      </c>
      <c r="J692" s="2">
        <f t="shared" si="82"/>
        <v>27</v>
      </c>
      <c r="K692" s="2">
        <f t="shared" si="83"/>
        <v>4</v>
      </c>
      <c r="L692" s="2">
        <f t="shared" si="84"/>
        <v>4</v>
      </c>
      <c r="M692" s="3">
        <f t="shared" si="85"/>
        <v>37.860000999999997</v>
      </c>
      <c r="N692" s="1">
        <f t="shared" ca="1" si="86"/>
        <v>37.860000999999997</v>
      </c>
      <c r="O692" s="5">
        <f t="shared" si="87"/>
        <v>7.9239036470177826E-3</v>
      </c>
    </row>
    <row r="693" spans="1:15" s="2" customFormat="1" x14ac:dyDescent="0.5">
      <c r="A693" s="6">
        <v>41361</v>
      </c>
      <c r="B693" s="1">
        <v>38.229999999999997</v>
      </c>
      <c r="C693" s="1">
        <v>38.240001999999997</v>
      </c>
      <c r="D693" s="1">
        <v>37.75</v>
      </c>
      <c r="E693" s="1">
        <v>37.889999000000003</v>
      </c>
      <c r="F693" s="1">
        <v>37.889999000000003</v>
      </c>
      <c r="G693" s="2">
        <v>1158700</v>
      </c>
      <c r="H693" s="2">
        <f t="shared" si="80"/>
        <v>2013</v>
      </c>
      <c r="I693" s="2">
        <f t="shared" si="81"/>
        <v>3</v>
      </c>
      <c r="J693" s="2">
        <f t="shared" si="82"/>
        <v>28</v>
      </c>
      <c r="K693" s="2">
        <f t="shared" si="83"/>
        <v>5</v>
      </c>
      <c r="L693" s="2">
        <f t="shared" si="84"/>
        <v>4</v>
      </c>
      <c r="M693" s="3">
        <f t="shared" si="85"/>
        <v>38.159999999999997</v>
      </c>
      <c r="N693" s="1">
        <f t="shared" ca="1" si="86"/>
        <v>38.159999999999997</v>
      </c>
      <c r="O693" s="5">
        <f t="shared" si="87"/>
        <v>-7.0754979035637655E-3</v>
      </c>
    </row>
    <row r="694" spans="1:15" s="2" customFormat="1" x14ac:dyDescent="0.5">
      <c r="A694" s="6">
        <v>41365</v>
      </c>
      <c r="B694" s="1">
        <v>42.360000999999997</v>
      </c>
      <c r="C694" s="1">
        <v>46.68</v>
      </c>
      <c r="D694" s="1">
        <v>41.700001</v>
      </c>
      <c r="E694" s="1">
        <v>43.93</v>
      </c>
      <c r="F694" s="1">
        <v>43.93</v>
      </c>
      <c r="G694" s="2">
        <v>14098500</v>
      </c>
      <c r="H694" s="2">
        <f t="shared" si="80"/>
        <v>2013</v>
      </c>
      <c r="I694" s="2">
        <f t="shared" si="81"/>
        <v>4</v>
      </c>
      <c r="J694" s="2">
        <f t="shared" si="82"/>
        <v>1</v>
      </c>
      <c r="K694" s="2">
        <f t="shared" si="83"/>
        <v>2</v>
      </c>
      <c r="L694" s="2">
        <f t="shared" si="84"/>
        <v>5</v>
      </c>
      <c r="M694" s="3">
        <f t="shared" si="85"/>
        <v>37.889999000000003</v>
      </c>
      <c r="N694" s="1">
        <f t="shared" ca="1" si="86"/>
        <v>37.889999000000003</v>
      </c>
      <c r="O694" s="5">
        <f t="shared" si="87"/>
        <v>0.15940884559009882</v>
      </c>
    </row>
    <row r="695" spans="1:15" s="2" customFormat="1" x14ac:dyDescent="0.5">
      <c r="A695" s="6">
        <v>41366</v>
      </c>
      <c r="B695" s="1">
        <v>43.599997999999999</v>
      </c>
      <c r="C695" s="1">
        <v>45.5</v>
      </c>
      <c r="D695" s="1">
        <v>43.509998000000003</v>
      </c>
      <c r="E695" s="1">
        <v>44.34</v>
      </c>
      <c r="F695" s="1">
        <v>44.34</v>
      </c>
      <c r="G695" s="2">
        <v>6652400</v>
      </c>
      <c r="H695" s="2">
        <f t="shared" si="80"/>
        <v>2013</v>
      </c>
      <c r="I695" s="2">
        <f t="shared" si="81"/>
        <v>4</v>
      </c>
      <c r="J695" s="2">
        <f t="shared" si="82"/>
        <v>2</v>
      </c>
      <c r="K695" s="2">
        <f t="shared" si="83"/>
        <v>3</v>
      </c>
      <c r="L695" s="2">
        <f t="shared" si="84"/>
        <v>5</v>
      </c>
      <c r="M695" s="3">
        <f t="shared" si="85"/>
        <v>43.93</v>
      </c>
      <c r="N695" s="1">
        <f t="shared" ca="1" si="86"/>
        <v>43.93</v>
      </c>
      <c r="O695" s="5">
        <f t="shared" si="87"/>
        <v>9.3330298201685924E-3</v>
      </c>
    </row>
    <row r="696" spans="1:15" s="2" customFormat="1" x14ac:dyDescent="0.5">
      <c r="A696" s="6">
        <v>41367</v>
      </c>
      <c r="B696" s="1">
        <v>43.099997999999999</v>
      </c>
      <c r="C696" s="1">
        <v>43.470001000000003</v>
      </c>
      <c r="D696" s="1">
        <v>40.209999000000003</v>
      </c>
      <c r="E696" s="1">
        <v>41.099997999999999</v>
      </c>
      <c r="F696" s="1">
        <v>41.099997999999999</v>
      </c>
      <c r="G696" s="2">
        <v>5643600</v>
      </c>
      <c r="H696" s="2">
        <f t="shared" si="80"/>
        <v>2013</v>
      </c>
      <c r="I696" s="2">
        <f t="shared" si="81"/>
        <v>4</v>
      </c>
      <c r="J696" s="2">
        <f t="shared" si="82"/>
        <v>3</v>
      </c>
      <c r="K696" s="2">
        <f t="shared" si="83"/>
        <v>4</v>
      </c>
      <c r="L696" s="2">
        <f t="shared" si="84"/>
        <v>5</v>
      </c>
      <c r="M696" s="3">
        <f t="shared" si="85"/>
        <v>44.34</v>
      </c>
      <c r="N696" s="1">
        <f t="shared" ca="1" si="86"/>
        <v>44.34</v>
      </c>
      <c r="O696" s="5">
        <f t="shared" si="87"/>
        <v>-7.3071763644564802E-2</v>
      </c>
    </row>
    <row r="697" spans="1:15" s="2" customFormat="1" x14ac:dyDescent="0.5">
      <c r="A697" s="6">
        <v>41368</v>
      </c>
      <c r="B697" s="1">
        <v>41.110000999999997</v>
      </c>
      <c r="C697" s="1">
        <v>42.25</v>
      </c>
      <c r="D697" s="1">
        <v>40.810001</v>
      </c>
      <c r="E697" s="1">
        <v>42.009998000000003</v>
      </c>
      <c r="F697" s="1">
        <v>42.009998000000003</v>
      </c>
      <c r="G697" s="2">
        <v>2264800</v>
      </c>
      <c r="H697" s="2">
        <f t="shared" si="80"/>
        <v>2013</v>
      </c>
      <c r="I697" s="2">
        <f t="shared" si="81"/>
        <v>4</v>
      </c>
      <c r="J697" s="2">
        <f t="shared" si="82"/>
        <v>4</v>
      </c>
      <c r="K697" s="2">
        <f t="shared" si="83"/>
        <v>5</v>
      </c>
      <c r="L697" s="2">
        <f t="shared" si="84"/>
        <v>5</v>
      </c>
      <c r="M697" s="3">
        <f t="shared" si="85"/>
        <v>41.099997999999999</v>
      </c>
      <c r="N697" s="1">
        <f t="shared" ca="1" si="86"/>
        <v>41.099997999999999</v>
      </c>
      <c r="O697" s="5">
        <f t="shared" si="87"/>
        <v>2.2141120298837969E-2</v>
      </c>
    </row>
    <row r="698" spans="1:15" s="2" customFormat="1" x14ac:dyDescent="0.5">
      <c r="A698" s="6">
        <v>41369</v>
      </c>
      <c r="B698" s="1">
        <v>42</v>
      </c>
      <c r="C698" s="1">
        <v>42</v>
      </c>
      <c r="D698" s="1">
        <v>40.5</v>
      </c>
      <c r="E698" s="1">
        <v>41.369999</v>
      </c>
      <c r="F698" s="1">
        <v>41.369999</v>
      </c>
      <c r="G698" s="2">
        <v>1552400</v>
      </c>
      <c r="H698" s="2">
        <f t="shared" si="80"/>
        <v>2013</v>
      </c>
      <c r="I698" s="2">
        <f t="shared" si="81"/>
        <v>4</v>
      </c>
      <c r="J698" s="2">
        <f t="shared" si="82"/>
        <v>5</v>
      </c>
      <c r="K698" s="2">
        <f t="shared" si="83"/>
        <v>6</v>
      </c>
      <c r="L698" s="2">
        <f t="shared" si="84"/>
        <v>5</v>
      </c>
      <c r="M698" s="3">
        <f t="shared" si="85"/>
        <v>42.009998000000003</v>
      </c>
      <c r="N698" s="1">
        <f t="shared" ca="1" si="86"/>
        <v>42.009998000000003</v>
      </c>
      <c r="O698" s="5">
        <f t="shared" si="87"/>
        <v>-1.523444490523429E-2</v>
      </c>
    </row>
    <row r="699" spans="1:15" s="2" customFormat="1" x14ac:dyDescent="0.5">
      <c r="A699" s="6">
        <v>41372</v>
      </c>
      <c r="B699" s="1">
        <v>41.970001000000003</v>
      </c>
      <c r="C699" s="1">
        <v>42.549999</v>
      </c>
      <c r="D699" s="1">
        <v>41.509998000000003</v>
      </c>
      <c r="E699" s="1">
        <v>41.830002</v>
      </c>
      <c r="F699" s="1">
        <v>41.830002</v>
      </c>
      <c r="G699" s="2">
        <v>1679000</v>
      </c>
      <c r="H699" s="2">
        <f t="shared" si="80"/>
        <v>2013</v>
      </c>
      <c r="I699" s="2">
        <f t="shared" si="81"/>
        <v>4</v>
      </c>
      <c r="J699" s="2">
        <f t="shared" si="82"/>
        <v>8</v>
      </c>
      <c r="K699" s="2">
        <f t="shared" si="83"/>
        <v>2</v>
      </c>
      <c r="L699" s="2">
        <f t="shared" si="84"/>
        <v>5</v>
      </c>
      <c r="M699" s="3">
        <f t="shared" si="85"/>
        <v>41.369999</v>
      </c>
      <c r="N699" s="1">
        <f t="shared" ca="1" si="86"/>
        <v>41.369999</v>
      </c>
      <c r="O699" s="5">
        <f t="shared" si="87"/>
        <v>1.1119241264666124E-2</v>
      </c>
    </row>
    <row r="700" spans="1:15" s="2" customFormat="1" x14ac:dyDescent="0.5">
      <c r="A700" s="6">
        <v>41373</v>
      </c>
      <c r="B700" s="1">
        <v>41.799999</v>
      </c>
      <c r="C700" s="1">
        <v>41.830002</v>
      </c>
      <c r="D700" s="1">
        <v>40.330002</v>
      </c>
      <c r="E700" s="1">
        <v>40.5</v>
      </c>
      <c r="F700" s="1">
        <v>40.5</v>
      </c>
      <c r="G700" s="2">
        <v>1696100</v>
      </c>
      <c r="H700" s="2">
        <f t="shared" si="80"/>
        <v>2013</v>
      </c>
      <c r="I700" s="2">
        <f t="shared" si="81"/>
        <v>4</v>
      </c>
      <c r="J700" s="2">
        <f t="shared" si="82"/>
        <v>9</v>
      </c>
      <c r="K700" s="2">
        <f t="shared" si="83"/>
        <v>3</v>
      </c>
      <c r="L700" s="2">
        <f t="shared" si="84"/>
        <v>5</v>
      </c>
      <c r="M700" s="3">
        <f t="shared" si="85"/>
        <v>41.830002</v>
      </c>
      <c r="N700" s="1">
        <f t="shared" ca="1" si="86"/>
        <v>41.830002</v>
      </c>
      <c r="O700" s="5">
        <f t="shared" si="87"/>
        <v>-3.1795408472607756E-2</v>
      </c>
    </row>
    <row r="701" spans="1:15" s="2" customFormat="1" x14ac:dyDescent="0.5">
      <c r="A701" s="6">
        <v>41374</v>
      </c>
      <c r="B701" s="1">
        <v>40.700001</v>
      </c>
      <c r="C701" s="1">
        <v>42.009998000000003</v>
      </c>
      <c r="D701" s="1">
        <v>40.610000999999997</v>
      </c>
      <c r="E701" s="1">
        <v>41.860000999999997</v>
      </c>
      <c r="F701" s="1">
        <v>41.860000999999997</v>
      </c>
      <c r="G701" s="2">
        <v>2121100</v>
      </c>
      <c r="H701" s="2">
        <f t="shared" si="80"/>
        <v>2013</v>
      </c>
      <c r="I701" s="2">
        <f t="shared" si="81"/>
        <v>4</v>
      </c>
      <c r="J701" s="2">
        <f t="shared" si="82"/>
        <v>10</v>
      </c>
      <c r="K701" s="2">
        <f t="shared" si="83"/>
        <v>4</v>
      </c>
      <c r="L701" s="2">
        <f t="shared" si="84"/>
        <v>5</v>
      </c>
      <c r="M701" s="3">
        <f t="shared" si="85"/>
        <v>40.5</v>
      </c>
      <c r="N701" s="1">
        <f t="shared" ca="1" si="86"/>
        <v>40.5</v>
      </c>
      <c r="O701" s="5">
        <f t="shared" si="87"/>
        <v>3.3580271604938261E-2</v>
      </c>
    </row>
    <row r="702" spans="1:15" s="2" customFormat="1" x14ac:dyDescent="0.5">
      <c r="A702" s="6">
        <v>41375</v>
      </c>
      <c r="B702" s="1">
        <v>42.060001</v>
      </c>
      <c r="C702" s="1">
        <v>44.549999</v>
      </c>
      <c r="D702" s="1">
        <v>41.75</v>
      </c>
      <c r="E702" s="1">
        <v>43.59</v>
      </c>
      <c r="F702" s="1">
        <v>43.59</v>
      </c>
      <c r="G702" s="2">
        <v>3447400</v>
      </c>
      <c r="H702" s="2">
        <f t="shared" si="80"/>
        <v>2013</v>
      </c>
      <c r="I702" s="2">
        <f t="shared" si="81"/>
        <v>4</v>
      </c>
      <c r="J702" s="2">
        <f t="shared" si="82"/>
        <v>11</v>
      </c>
      <c r="K702" s="2">
        <f t="shared" si="83"/>
        <v>5</v>
      </c>
      <c r="L702" s="2">
        <f t="shared" si="84"/>
        <v>5</v>
      </c>
      <c r="M702" s="3">
        <f t="shared" si="85"/>
        <v>41.860000999999997</v>
      </c>
      <c r="N702" s="1">
        <f t="shared" ca="1" si="86"/>
        <v>41.860000999999997</v>
      </c>
      <c r="O702" s="5">
        <f t="shared" si="87"/>
        <v>4.1328212103960649E-2</v>
      </c>
    </row>
    <row r="703" spans="1:15" s="2" customFormat="1" x14ac:dyDescent="0.5">
      <c r="A703" s="6">
        <v>41376</v>
      </c>
      <c r="B703" s="1">
        <v>43.25</v>
      </c>
      <c r="C703" s="1">
        <v>45.139999000000003</v>
      </c>
      <c r="D703" s="1">
        <v>43.049999</v>
      </c>
      <c r="E703" s="1">
        <v>43.75</v>
      </c>
      <c r="F703" s="1">
        <v>43.75</v>
      </c>
      <c r="G703" s="2">
        <v>3149400</v>
      </c>
      <c r="H703" s="2">
        <f t="shared" si="80"/>
        <v>2013</v>
      </c>
      <c r="I703" s="2">
        <f t="shared" si="81"/>
        <v>4</v>
      </c>
      <c r="J703" s="2">
        <f t="shared" si="82"/>
        <v>12</v>
      </c>
      <c r="K703" s="2">
        <f t="shared" si="83"/>
        <v>6</v>
      </c>
      <c r="L703" s="2">
        <f t="shared" si="84"/>
        <v>5</v>
      </c>
      <c r="M703" s="3">
        <f t="shared" si="85"/>
        <v>43.59</v>
      </c>
      <c r="N703" s="1">
        <f t="shared" ca="1" si="86"/>
        <v>43.59</v>
      </c>
      <c r="O703" s="5">
        <f t="shared" si="87"/>
        <v>3.6705666437255591E-3</v>
      </c>
    </row>
    <row r="704" spans="1:15" s="2" customFormat="1" x14ac:dyDescent="0.5">
      <c r="A704" s="6">
        <v>41379</v>
      </c>
      <c r="B704" s="1">
        <v>43.5</v>
      </c>
      <c r="C704" s="1">
        <v>43.799999</v>
      </c>
      <c r="D704" s="1">
        <v>42.509998000000003</v>
      </c>
      <c r="E704" s="1">
        <v>43.299999</v>
      </c>
      <c r="F704" s="1">
        <v>43.299999</v>
      </c>
      <c r="G704" s="2">
        <v>1681400</v>
      </c>
      <c r="H704" s="2">
        <f t="shared" si="80"/>
        <v>2013</v>
      </c>
      <c r="I704" s="2">
        <f t="shared" si="81"/>
        <v>4</v>
      </c>
      <c r="J704" s="2">
        <f t="shared" si="82"/>
        <v>15</v>
      </c>
      <c r="K704" s="2">
        <f t="shared" si="83"/>
        <v>2</v>
      </c>
      <c r="L704" s="2">
        <f t="shared" si="84"/>
        <v>5</v>
      </c>
      <c r="M704" s="3">
        <f t="shared" si="85"/>
        <v>43.75</v>
      </c>
      <c r="N704" s="1">
        <f t="shared" ca="1" si="86"/>
        <v>43.75</v>
      </c>
      <c r="O704" s="5">
        <f t="shared" si="87"/>
        <v>-1.0285737142857188E-2</v>
      </c>
    </row>
    <row r="705" spans="1:15" s="2" customFormat="1" x14ac:dyDescent="0.5">
      <c r="A705" s="6">
        <v>41380</v>
      </c>
      <c r="B705" s="1">
        <v>44.189999</v>
      </c>
      <c r="C705" s="1">
        <v>46.139999000000003</v>
      </c>
      <c r="D705" s="1">
        <v>43.91</v>
      </c>
      <c r="E705" s="1">
        <v>45.59</v>
      </c>
      <c r="F705" s="1">
        <v>45.59</v>
      </c>
      <c r="G705" s="2">
        <v>3180400</v>
      </c>
      <c r="H705" s="2">
        <f t="shared" si="80"/>
        <v>2013</v>
      </c>
      <c r="I705" s="2">
        <f t="shared" si="81"/>
        <v>4</v>
      </c>
      <c r="J705" s="2">
        <f t="shared" si="82"/>
        <v>16</v>
      </c>
      <c r="K705" s="2">
        <f t="shared" si="83"/>
        <v>3</v>
      </c>
      <c r="L705" s="2">
        <f t="shared" si="84"/>
        <v>5</v>
      </c>
      <c r="M705" s="3">
        <f t="shared" si="85"/>
        <v>43.299999</v>
      </c>
      <c r="N705" s="1">
        <f t="shared" ca="1" si="86"/>
        <v>43.299999</v>
      </c>
      <c r="O705" s="5">
        <f t="shared" si="87"/>
        <v>5.2886860343807518E-2</v>
      </c>
    </row>
    <row r="706" spans="1:15" s="2" customFormat="1" x14ac:dyDescent="0.5">
      <c r="A706" s="6">
        <v>41381</v>
      </c>
      <c r="B706" s="1">
        <v>45.5</v>
      </c>
      <c r="C706" s="1">
        <v>45.950001</v>
      </c>
      <c r="D706" s="1">
        <v>44.540000999999997</v>
      </c>
      <c r="E706" s="1">
        <v>45.450001</v>
      </c>
      <c r="F706" s="1">
        <v>45.450001</v>
      </c>
      <c r="G706" s="2">
        <v>2118500</v>
      </c>
      <c r="H706" s="2">
        <f t="shared" ref="H706:H769" si="88">YEAR(A706)</f>
        <v>2013</v>
      </c>
      <c r="I706" s="2">
        <f t="shared" ref="I706:I769" si="89">MONTH(A706)</f>
        <v>4</v>
      </c>
      <c r="J706" s="2">
        <f t="shared" ref="J706:J769" si="90">DAY(A706)</f>
        <v>17</v>
      </c>
      <c r="K706" s="2">
        <f t="shared" ref="K706:K769" si="91">WEEKDAY(A706)</f>
        <v>4</v>
      </c>
      <c r="L706" s="2">
        <f t="shared" si="84"/>
        <v>5</v>
      </c>
      <c r="M706" s="3">
        <f t="shared" si="85"/>
        <v>45.59</v>
      </c>
      <c r="N706" s="1">
        <f t="shared" ca="1" si="86"/>
        <v>45.59</v>
      </c>
      <c r="O706" s="5">
        <f t="shared" si="87"/>
        <v>-3.0708269357315743E-3</v>
      </c>
    </row>
    <row r="707" spans="1:15" s="2" customFormat="1" x14ac:dyDescent="0.5">
      <c r="A707" s="6">
        <v>41382</v>
      </c>
      <c r="B707" s="1">
        <v>45.98</v>
      </c>
      <c r="C707" s="1">
        <v>47.599997999999999</v>
      </c>
      <c r="D707" s="1">
        <v>45.389999000000003</v>
      </c>
      <c r="E707" s="1">
        <v>46.970001000000003</v>
      </c>
      <c r="F707" s="1">
        <v>46.970001000000003</v>
      </c>
      <c r="G707" s="2">
        <v>3367900</v>
      </c>
      <c r="H707" s="2">
        <f t="shared" si="88"/>
        <v>2013</v>
      </c>
      <c r="I707" s="2">
        <f t="shared" si="89"/>
        <v>4</v>
      </c>
      <c r="J707" s="2">
        <f t="shared" si="90"/>
        <v>18</v>
      </c>
      <c r="K707" s="2">
        <f t="shared" si="91"/>
        <v>5</v>
      </c>
      <c r="L707" s="2">
        <f t="shared" ref="L707:L770" si="92">I707+1</f>
        <v>5</v>
      </c>
      <c r="M707" s="3">
        <f t="shared" ref="M707:M770" si="93">F706</f>
        <v>45.450001</v>
      </c>
      <c r="N707" s="1">
        <f t="shared" ref="N707:N770" ca="1" si="94">OFFSET(F707, -1, 0)</f>
        <v>45.450001</v>
      </c>
      <c r="O707" s="5">
        <f t="shared" ref="O707:O770" si="95">(F707/M707)-1</f>
        <v>3.3443343598606345E-2</v>
      </c>
    </row>
    <row r="708" spans="1:15" s="2" customFormat="1" x14ac:dyDescent="0.5">
      <c r="A708" s="6">
        <v>41383</v>
      </c>
      <c r="B708" s="1">
        <v>47.459999000000003</v>
      </c>
      <c r="C708" s="1">
        <v>49.880001</v>
      </c>
      <c r="D708" s="1">
        <v>47.07</v>
      </c>
      <c r="E708" s="1">
        <v>47.830002</v>
      </c>
      <c r="F708" s="1">
        <v>47.830002</v>
      </c>
      <c r="G708" s="2">
        <v>3011700</v>
      </c>
      <c r="H708" s="2">
        <f t="shared" si="88"/>
        <v>2013</v>
      </c>
      <c r="I708" s="2">
        <f t="shared" si="89"/>
        <v>4</v>
      </c>
      <c r="J708" s="2">
        <f t="shared" si="90"/>
        <v>19</v>
      </c>
      <c r="K708" s="2">
        <f t="shared" si="91"/>
        <v>6</v>
      </c>
      <c r="L708" s="2">
        <f t="shared" si="92"/>
        <v>5</v>
      </c>
      <c r="M708" s="3">
        <f t="shared" si="93"/>
        <v>46.970001000000003</v>
      </c>
      <c r="N708" s="1">
        <f t="shared" ca="1" si="94"/>
        <v>46.970001000000003</v>
      </c>
      <c r="O708" s="5">
        <f t="shared" si="95"/>
        <v>1.8309580193536679E-2</v>
      </c>
    </row>
    <row r="709" spans="1:15" s="2" customFormat="1" x14ac:dyDescent="0.5">
      <c r="A709" s="6">
        <v>41386</v>
      </c>
      <c r="B709" s="1">
        <v>48.599997999999999</v>
      </c>
      <c r="C709" s="1">
        <v>50.200001</v>
      </c>
      <c r="D709" s="1">
        <v>47.75</v>
      </c>
      <c r="E709" s="1">
        <v>50.189999</v>
      </c>
      <c r="F709" s="1">
        <v>50.189999</v>
      </c>
      <c r="G709" s="2">
        <v>3939400</v>
      </c>
      <c r="H709" s="2">
        <f t="shared" si="88"/>
        <v>2013</v>
      </c>
      <c r="I709" s="2">
        <f t="shared" si="89"/>
        <v>4</v>
      </c>
      <c r="J709" s="2">
        <f t="shared" si="90"/>
        <v>22</v>
      </c>
      <c r="K709" s="2">
        <f t="shared" si="91"/>
        <v>2</v>
      </c>
      <c r="L709" s="2">
        <f t="shared" si="92"/>
        <v>5</v>
      </c>
      <c r="M709" s="3">
        <f t="shared" si="93"/>
        <v>47.830002</v>
      </c>
      <c r="N709" s="1">
        <f t="shared" ca="1" si="94"/>
        <v>47.830002</v>
      </c>
      <c r="O709" s="5">
        <f t="shared" si="95"/>
        <v>4.9341352735047028E-2</v>
      </c>
    </row>
    <row r="710" spans="1:15" s="2" customFormat="1" x14ac:dyDescent="0.5">
      <c r="A710" s="6">
        <v>41387</v>
      </c>
      <c r="B710" s="1">
        <v>51</v>
      </c>
      <c r="C710" s="1">
        <v>52.919998</v>
      </c>
      <c r="D710" s="1">
        <v>50.66</v>
      </c>
      <c r="E710" s="1">
        <v>51.009998000000003</v>
      </c>
      <c r="F710" s="1">
        <v>51.009998000000003</v>
      </c>
      <c r="G710" s="2">
        <v>3733800</v>
      </c>
      <c r="H710" s="2">
        <f t="shared" si="88"/>
        <v>2013</v>
      </c>
      <c r="I710" s="2">
        <f t="shared" si="89"/>
        <v>4</v>
      </c>
      <c r="J710" s="2">
        <f t="shared" si="90"/>
        <v>23</v>
      </c>
      <c r="K710" s="2">
        <f t="shared" si="91"/>
        <v>3</v>
      </c>
      <c r="L710" s="2">
        <f t="shared" si="92"/>
        <v>5</v>
      </c>
      <c r="M710" s="3">
        <f t="shared" si="93"/>
        <v>50.189999</v>
      </c>
      <c r="N710" s="1">
        <f t="shared" ca="1" si="94"/>
        <v>50.189999</v>
      </c>
      <c r="O710" s="5">
        <f t="shared" si="95"/>
        <v>1.6337896320739231E-2</v>
      </c>
    </row>
    <row r="711" spans="1:15" s="2" customFormat="1" x14ac:dyDescent="0.5">
      <c r="A711" s="6">
        <v>41388</v>
      </c>
      <c r="B711" s="1">
        <v>50.900002000000001</v>
      </c>
      <c r="C711" s="1">
        <v>51.049999</v>
      </c>
      <c r="D711" s="1">
        <v>48.98</v>
      </c>
      <c r="E711" s="1">
        <v>50.43</v>
      </c>
      <c r="F711" s="1">
        <v>50.43</v>
      </c>
      <c r="G711" s="2">
        <v>2630000</v>
      </c>
      <c r="H711" s="2">
        <f t="shared" si="88"/>
        <v>2013</v>
      </c>
      <c r="I711" s="2">
        <f t="shared" si="89"/>
        <v>4</v>
      </c>
      <c r="J711" s="2">
        <f t="shared" si="90"/>
        <v>24</v>
      </c>
      <c r="K711" s="2">
        <f t="shared" si="91"/>
        <v>4</v>
      </c>
      <c r="L711" s="2">
        <f t="shared" si="92"/>
        <v>5</v>
      </c>
      <c r="M711" s="3">
        <f t="shared" si="93"/>
        <v>51.009998000000003</v>
      </c>
      <c r="N711" s="1">
        <f t="shared" ca="1" si="94"/>
        <v>51.009998000000003</v>
      </c>
      <c r="O711" s="5">
        <f t="shared" si="95"/>
        <v>-1.1370280782994846E-2</v>
      </c>
    </row>
    <row r="712" spans="1:15" s="2" customFormat="1" x14ac:dyDescent="0.5">
      <c r="A712" s="6">
        <v>41389</v>
      </c>
      <c r="B712" s="1">
        <v>50.5</v>
      </c>
      <c r="C712" s="1">
        <v>52.400002000000001</v>
      </c>
      <c r="D712" s="1">
        <v>50.5</v>
      </c>
      <c r="E712" s="1">
        <v>52</v>
      </c>
      <c r="F712" s="1">
        <v>52</v>
      </c>
      <c r="G712" s="2">
        <v>2795900</v>
      </c>
      <c r="H712" s="2">
        <f t="shared" si="88"/>
        <v>2013</v>
      </c>
      <c r="I712" s="2">
        <f t="shared" si="89"/>
        <v>4</v>
      </c>
      <c r="J712" s="2">
        <f t="shared" si="90"/>
        <v>25</v>
      </c>
      <c r="K712" s="2">
        <f t="shared" si="91"/>
        <v>5</v>
      </c>
      <c r="L712" s="2">
        <f t="shared" si="92"/>
        <v>5</v>
      </c>
      <c r="M712" s="3">
        <f t="shared" si="93"/>
        <v>50.43</v>
      </c>
      <c r="N712" s="1">
        <f t="shared" ca="1" si="94"/>
        <v>50.43</v>
      </c>
      <c r="O712" s="5">
        <f t="shared" si="95"/>
        <v>3.1132262542137523E-2</v>
      </c>
    </row>
    <row r="713" spans="1:15" s="2" customFormat="1" x14ac:dyDescent="0.5">
      <c r="A713" s="6">
        <v>41390</v>
      </c>
      <c r="B713" s="1">
        <v>53.130001</v>
      </c>
      <c r="C713" s="1">
        <v>53.740001999999997</v>
      </c>
      <c r="D713" s="1">
        <v>50.619999</v>
      </c>
      <c r="E713" s="1">
        <v>51.200001</v>
      </c>
      <c r="F713" s="1">
        <v>51.200001</v>
      </c>
      <c r="G713" s="2">
        <v>3622100</v>
      </c>
      <c r="H713" s="2">
        <f t="shared" si="88"/>
        <v>2013</v>
      </c>
      <c r="I713" s="2">
        <f t="shared" si="89"/>
        <v>4</v>
      </c>
      <c r="J713" s="2">
        <f t="shared" si="90"/>
        <v>26</v>
      </c>
      <c r="K713" s="2">
        <f t="shared" si="91"/>
        <v>6</v>
      </c>
      <c r="L713" s="2">
        <f t="shared" si="92"/>
        <v>5</v>
      </c>
      <c r="M713" s="3">
        <f t="shared" si="93"/>
        <v>52</v>
      </c>
      <c r="N713" s="1">
        <f t="shared" ca="1" si="94"/>
        <v>52</v>
      </c>
      <c r="O713" s="5">
        <f t="shared" si="95"/>
        <v>-1.5384596153846131E-2</v>
      </c>
    </row>
    <row r="714" spans="1:15" s="2" customFormat="1" x14ac:dyDescent="0.5">
      <c r="A714" s="6">
        <v>41393</v>
      </c>
      <c r="B714" s="1">
        <v>51.759998000000003</v>
      </c>
      <c r="C714" s="1">
        <v>54.990001999999997</v>
      </c>
      <c r="D714" s="1">
        <v>51.200001</v>
      </c>
      <c r="E714" s="1">
        <v>54.939999</v>
      </c>
      <c r="F714" s="1">
        <v>54.939999</v>
      </c>
      <c r="G714" s="2">
        <v>3639700</v>
      </c>
      <c r="H714" s="2">
        <f t="shared" si="88"/>
        <v>2013</v>
      </c>
      <c r="I714" s="2">
        <f t="shared" si="89"/>
        <v>4</v>
      </c>
      <c r="J714" s="2">
        <f t="shared" si="90"/>
        <v>29</v>
      </c>
      <c r="K714" s="2">
        <f t="shared" si="91"/>
        <v>2</v>
      </c>
      <c r="L714" s="2">
        <f t="shared" si="92"/>
        <v>5</v>
      </c>
      <c r="M714" s="3">
        <f t="shared" si="93"/>
        <v>51.200001</v>
      </c>
      <c r="N714" s="1">
        <f t="shared" ca="1" si="94"/>
        <v>51.200001</v>
      </c>
      <c r="O714" s="5">
        <f t="shared" si="95"/>
        <v>7.304683451080396E-2</v>
      </c>
    </row>
    <row r="715" spans="1:15" s="2" customFormat="1" x14ac:dyDescent="0.5">
      <c r="A715" s="6">
        <v>41394</v>
      </c>
      <c r="B715" s="1">
        <v>56</v>
      </c>
      <c r="C715" s="1">
        <v>58.18</v>
      </c>
      <c r="D715" s="1">
        <v>53.759998000000003</v>
      </c>
      <c r="E715" s="1">
        <v>53.990001999999997</v>
      </c>
      <c r="F715" s="1">
        <v>53.990001999999997</v>
      </c>
      <c r="G715" s="2">
        <v>5522600</v>
      </c>
      <c r="H715" s="2">
        <f t="shared" si="88"/>
        <v>2013</v>
      </c>
      <c r="I715" s="2">
        <f t="shared" si="89"/>
        <v>4</v>
      </c>
      <c r="J715" s="2">
        <f t="shared" si="90"/>
        <v>30</v>
      </c>
      <c r="K715" s="2">
        <f t="shared" si="91"/>
        <v>3</v>
      </c>
      <c r="L715" s="2">
        <f t="shared" si="92"/>
        <v>5</v>
      </c>
      <c r="M715" s="3">
        <f t="shared" si="93"/>
        <v>54.939999</v>
      </c>
      <c r="N715" s="1">
        <f t="shared" ca="1" si="94"/>
        <v>54.939999</v>
      </c>
      <c r="O715" s="5">
        <f t="shared" si="95"/>
        <v>-1.7291536536067298E-2</v>
      </c>
    </row>
    <row r="716" spans="1:15" s="2" customFormat="1" x14ac:dyDescent="0.5">
      <c r="A716" s="6">
        <v>41395</v>
      </c>
      <c r="B716" s="1">
        <v>55.990001999999997</v>
      </c>
      <c r="C716" s="1">
        <v>55.990001999999997</v>
      </c>
      <c r="D716" s="1">
        <v>53</v>
      </c>
      <c r="E716" s="1">
        <v>53.279998999999997</v>
      </c>
      <c r="F716" s="1">
        <v>53.279998999999997</v>
      </c>
      <c r="G716" s="2">
        <v>2742800</v>
      </c>
      <c r="H716" s="2">
        <f t="shared" si="88"/>
        <v>2013</v>
      </c>
      <c r="I716" s="2">
        <f t="shared" si="89"/>
        <v>5</v>
      </c>
      <c r="J716" s="2">
        <f t="shared" si="90"/>
        <v>1</v>
      </c>
      <c r="K716" s="2">
        <f t="shared" si="91"/>
        <v>4</v>
      </c>
      <c r="L716" s="2">
        <f t="shared" si="92"/>
        <v>6</v>
      </c>
      <c r="M716" s="3">
        <f t="shared" si="93"/>
        <v>53.990001999999997</v>
      </c>
      <c r="N716" s="1">
        <f t="shared" ca="1" si="94"/>
        <v>53.990001999999997</v>
      </c>
      <c r="O716" s="5">
        <f t="shared" si="95"/>
        <v>-1.3150638520072699E-2</v>
      </c>
    </row>
    <row r="717" spans="1:15" s="2" customFormat="1" x14ac:dyDescent="0.5">
      <c r="A717" s="6">
        <v>41396</v>
      </c>
      <c r="B717" s="1">
        <v>53.849997999999999</v>
      </c>
      <c r="C717" s="1">
        <v>55.27</v>
      </c>
      <c r="D717" s="1">
        <v>53.700001</v>
      </c>
      <c r="E717" s="1">
        <v>54.110000999999997</v>
      </c>
      <c r="F717" s="1">
        <v>54.110000999999997</v>
      </c>
      <c r="G717" s="2">
        <v>3050400</v>
      </c>
      <c r="H717" s="2">
        <f t="shared" si="88"/>
        <v>2013</v>
      </c>
      <c r="I717" s="2">
        <f t="shared" si="89"/>
        <v>5</v>
      </c>
      <c r="J717" s="2">
        <f t="shared" si="90"/>
        <v>2</v>
      </c>
      <c r="K717" s="2">
        <f t="shared" si="91"/>
        <v>5</v>
      </c>
      <c r="L717" s="2">
        <f t="shared" si="92"/>
        <v>6</v>
      </c>
      <c r="M717" s="3">
        <f t="shared" si="93"/>
        <v>53.279998999999997</v>
      </c>
      <c r="N717" s="1">
        <f t="shared" ca="1" si="94"/>
        <v>53.279998999999997</v>
      </c>
      <c r="O717" s="5">
        <f t="shared" si="95"/>
        <v>1.5578115907997736E-2</v>
      </c>
    </row>
    <row r="718" spans="1:15" s="2" customFormat="1" x14ac:dyDescent="0.5">
      <c r="A718" s="6">
        <v>41397</v>
      </c>
      <c r="B718" s="1">
        <v>56.470001000000003</v>
      </c>
      <c r="C718" s="1">
        <v>56.470001000000003</v>
      </c>
      <c r="D718" s="1">
        <v>54.5</v>
      </c>
      <c r="E718" s="1">
        <v>54.549999</v>
      </c>
      <c r="F718" s="1">
        <v>54.549999</v>
      </c>
      <c r="G718" s="2">
        <v>3378700</v>
      </c>
      <c r="H718" s="2">
        <f t="shared" si="88"/>
        <v>2013</v>
      </c>
      <c r="I718" s="2">
        <f t="shared" si="89"/>
        <v>5</v>
      </c>
      <c r="J718" s="2">
        <f t="shared" si="90"/>
        <v>3</v>
      </c>
      <c r="K718" s="2">
        <f t="shared" si="91"/>
        <v>6</v>
      </c>
      <c r="L718" s="2">
        <f t="shared" si="92"/>
        <v>6</v>
      </c>
      <c r="M718" s="3">
        <f t="shared" si="93"/>
        <v>54.110000999999997</v>
      </c>
      <c r="N718" s="1">
        <f t="shared" ca="1" si="94"/>
        <v>54.110000999999997</v>
      </c>
      <c r="O718" s="5">
        <f t="shared" si="95"/>
        <v>8.131546698733283E-3</v>
      </c>
    </row>
    <row r="719" spans="1:15" s="2" customFormat="1" x14ac:dyDescent="0.5">
      <c r="A719" s="6">
        <v>41400</v>
      </c>
      <c r="B719" s="1">
        <v>56.389999000000003</v>
      </c>
      <c r="C719" s="1">
        <v>59.66</v>
      </c>
      <c r="D719" s="1">
        <v>55.5</v>
      </c>
      <c r="E719" s="1">
        <v>59.5</v>
      </c>
      <c r="F719" s="1">
        <v>59.5</v>
      </c>
      <c r="G719" s="2">
        <v>4366700</v>
      </c>
      <c r="H719" s="2">
        <f t="shared" si="88"/>
        <v>2013</v>
      </c>
      <c r="I719" s="2">
        <f t="shared" si="89"/>
        <v>5</v>
      </c>
      <c r="J719" s="2">
        <f t="shared" si="90"/>
        <v>6</v>
      </c>
      <c r="K719" s="2">
        <f t="shared" si="91"/>
        <v>2</v>
      </c>
      <c r="L719" s="2">
        <f t="shared" si="92"/>
        <v>6</v>
      </c>
      <c r="M719" s="3">
        <f t="shared" si="93"/>
        <v>54.549999</v>
      </c>
      <c r="N719" s="1">
        <f t="shared" ca="1" si="94"/>
        <v>54.549999</v>
      </c>
      <c r="O719" s="5">
        <f t="shared" si="95"/>
        <v>9.0742458125434577E-2</v>
      </c>
    </row>
    <row r="720" spans="1:15" s="2" customFormat="1" x14ac:dyDescent="0.5">
      <c r="A720" s="6">
        <v>41401</v>
      </c>
      <c r="B720" s="1">
        <v>62</v>
      </c>
      <c r="C720" s="1">
        <v>62.369999</v>
      </c>
      <c r="D720" s="1">
        <v>55.119999</v>
      </c>
      <c r="E720" s="1">
        <v>55.509998000000003</v>
      </c>
      <c r="F720" s="1">
        <v>55.509998000000003</v>
      </c>
      <c r="G720" s="2">
        <v>9991000</v>
      </c>
      <c r="H720" s="2">
        <f t="shared" si="88"/>
        <v>2013</v>
      </c>
      <c r="I720" s="2">
        <f t="shared" si="89"/>
        <v>5</v>
      </c>
      <c r="J720" s="2">
        <f t="shared" si="90"/>
        <v>7</v>
      </c>
      <c r="K720" s="2">
        <f t="shared" si="91"/>
        <v>3</v>
      </c>
      <c r="L720" s="2">
        <f t="shared" si="92"/>
        <v>6</v>
      </c>
      <c r="M720" s="3">
        <f t="shared" si="93"/>
        <v>59.5</v>
      </c>
      <c r="N720" s="1">
        <f t="shared" ca="1" si="94"/>
        <v>59.5</v>
      </c>
      <c r="O720" s="5">
        <f t="shared" si="95"/>
        <v>-6.7058857142857087E-2</v>
      </c>
    </row>
    <row r="721" spans="1:15" s="2" customFormat="1" x14ac:dyDescent="0.5">
      <c r="A721" s="6">
        <v>41402</v>
      </c>
      <c r="B721" s="1">
        <v>57.5</v>
      </c>
      <c r="C721" s="1">
        <v>58.200001</v>
      </c>
      <c r="D721" s="1">
        <v>55.709999000000003</v>
      </c>
      <c r="E721" s="1">
        <v>55.790000999999997</v>
      </c>
      <c r="F721" s="1">
        <v>55.790000999999997</v>
      </c>
      <c r="G721" s="2">
        <v>6769900</v>
      </c>
      <c r="H721" s="2">
        <f t="shared" si="88"/>
        <v>2013</v>
      </c>
      <c r="I721" s="2">
        <f t="shared" si="89"/>
        <v>5</v>
      </c>
      <c r="J721" s="2">
        <f t="shared" si="90"/>
        <v>8</v>
      </c>
      <c r="K721" s="2">
        <f t="shared" si="91"/>
        <v>4</v>
      </c>
      <c r="L721" s="2">
        <f t="shared" si="92"/>
        <v>6</v>
      </c>
      <c r="M721" s="3">
        <f t="shared" si="93"/>
        <v>55.509998000000003</v>
      </c>
      <c r="N721" s="1">
        <f t="shared" ca="1" si="94"/>
        <v>55.509998000000003</v>
      </c>
      <c r="O721" s="5">
        <f t="shared" si="95"/>
        <v>5.0441904177331853E-3</v>
      </c>
    </row>
    <row r="722" spans="1:15" s="2" customFormat="1" x14ac:dyDescent="0.5">
      <c r="A722" s="6">
        <v>41403</v>
      </c>
      <c r="B722" s="1">
        <v>70.120002999999997</v>
      </c>
      <c r="C722" s="1">
        <v>75.769997000000004</v>
      </c>
      <c r="D722" s="1">
        <v>63.689999</v>
      </c>
      <c r="E722" s="1">
        <v>69.400002000000001</v>
      </c>
      <c r="F722" s="1">
        <v>69.400002000000001</v>
      </c>
      <c r="G722" s="2">
        <v>28605000</v>
      </c>
      <c r="H722" s="2">
        <f t="shared" si="88"/>
        <v>2013</v>
      </c>
      <c r="I722" s="2">
        <f t="shared" si="89"/>
        <v>5</v>
      </c>
      <c r="J722" s="2">
        <f t="shared" si="90"/>
        <v>9</v>
      </c>
      <c r="K722" s="2">
        <f t="shared" si="91"/>
        <v>5</v>
      </c>
      <c r="L722" s="2">
        <f t="shared" si="92"/>
        <v>6</v>
      </c>
      <c r="M722" s="3">
        <f t="shared" si="93"/>
        <v>55.790000999999997</v>
      </c>
      <c r="N722" s="1">
        <f t="shared" ca="1" si="94"/>
        <v>55.790000999999997</v>
      </c>
      <c r="O722" s="5">
        <f t="shared" si="95"/>
        <v>0.24395054232029856</v>
      </c>
    </row>
    <row r="723" spans="1:15" s="2" customFormat="1" x14ac:dyDescent="0.5">
      <c r="A723" s="6">
        <v>41404</v>
      </c>
      <c r="B723" s="1">
        <v>69.650002000000001</v>
      </c>
      <c r="C723" s="1">
        <v>81</v>
      </c>
      <c r="D723" s="1">
        <v>69.25</v>
      </c>
      <c r="E723" s="1">
        <v>76.760002</v>
      </c>
      <c r="F723" s="1">
        <v>76.760002</v>
      </c>
      <c r="G723" s="2">
        <v>25082600</v>
      </c>
      <c r="H723" s="2">
        <f t="shared" si="88"/>
        <v>2013</v>
      </c>
      <c r="I723" s="2">
        <f t="shared" si="89"/>
        <v>5</v>
      </c>
      <c r="J723" s="2">
        <f t="shared" si="90"/>
        <v>10</v>
      </c>
      <c r="K723" s="2">
        <f t="shared" si="91"/>
        <v>6</v>
      </c>
      <c r="L723" s="2">
        <f t="shared" si="92"/>
        <v>6</v>
      </c>
      <c r="M723" s="3">
        <f t="shared" si="93"/>
        <v>69.400002000000001</v>
      </c>
      <c r="N723" s="1">
        <f t="shared" ca="1" si="94"/>
        <v>69.400002000000001</v>
      </c>
      <c r="O723" s="5">
        <f t="shared" si="95"/>
        <v>0.10605187014259743</v>
      </c>
    </row>
    <row r="724" spans="1:15" s="2" customFormat="1" x14ac:dyDescent="0.5">
      <c r="A724" s="6">
        <v>41407</v>
      </c>
      <c r="B724" s="1">
        <v>80.989998</v>
      </c>
      <c r="C724" s="1">
        <v>88</v>
      </c>
      <c r="D724" s="1">
        <v>79.150002000000001</v>
      </c>
      <c r="E724" s="1">
        <v>87.800003000000004</v>
      </c>
      <c r="F724" s="1">
        <v>87.800003000000004</v>
      </c>
      <c r="G724" s="2">
        <v>22416900</v>
      </c>
      <c r="H724" s="2">
        <f t="shared" si="88"/>
        <v>2013</v>
      </c>
      <c r="I724" s="2">
        <f t="shared" si="89"/>
        <v>5</v>
      </c>
      <c r="J724" s="2">
        <f t="shared" si="90"/>
        <v>13</v>
      </c>
      <c r="K724" s="2">
        <f t="shared" si="91"/>
        <v>2</v>
      </c>
      <c r="L724" s="2">
        <f t="shared" si="92"/>
        <v>6</v>
      </c>
      <c r="M724" s="3">
        <f t="shared" si="93"/>
        <v>76.760002</v>
      </c>
      <c r="N724" s="1">
        <f t="shared" ca="1" si="94"/>
        <v>76.760002</v>
      </c>
      <c r="O724" s="5">
        <f t="shared" si="95"/>
        <v>0.14382491808689646</v>
      </c>
    </row>
    <row r="725" spans="1:15" s="2" customFormat="1" x14ac:dyDescent="0.5">
      <c r="A725" s="6">
        <v>41408</v>
      </c>
      <c r="B725" s="1">
        <v>94.220000999999996</v>
      </c>
      <c r="C725" s="1">
        <v>97.120002999999997</v>
      </c>
      <c r="D725" s="1">
        <v>81.150002000000001</v>
      </c>
      <c r="E725" s="1">
        <v>83.239998</v>
      </c>
      <c r="F725" s="1">
        <v>83.239998</v>
      </c>
      <c r="G725" s="2">
        <v>37163900</v>
      </c>
      <c r="H725" s="2">
        <f t="shared" si="88"/>
        <v>2013</v>
      </c>
      <c r="I725" s="2">
        <f t="shared" si="89"/>
        <v>5</v>
      </c>
      <c r="J725" s="2">
        <f t="shared" si="90"/>
        <v>14</v>
      </c>
      <c r="K725" s="2">
        <f t="shared" si="91"/>
        <v>3</v>
      </c>
      <c r="L725" s="2">
        <f t="shared" si="92"/>
        <v>6</v>
      </c>
      <c r="M725" s="3">
        <f t="shared" si="93"/>
        <v>87.800003000000004</v>
      </c>
      <c r="N725" s="1">
        <f t="shared" ca="1" si="94"/>
        <v>87.800003000000004</v>
      </c>
      <c r="O725" s="5">
        <f t="shared" si="95"/>
        <v>-5.1936273851835746E-2</v>
      </c>
    </row>
    <row r="726" spans="1:15" s="2" customFormat="1" x14ac:dyDescent="0.5">
      <c r="A726" s="6">
        <v>41409</v>
      </c>
      <c r="B726" s="1">
        <v>81.800003000000004</v>
      </c>
      <c r="C726" s="1">
        <v>86.879997000000003</v>
      </c>
      <c r="D726" s="1">
        <v>78.110000999999997</v>
      </c>
      <c r="E726" s="1">
        <v>84.839995999999999</v>
      </c>
      <c r="F726" s="1">
        <v>84.839995999999999</v>
      </c>
      <c r="G726" s="2">
        <v>16878700</v>
      </c>
      <c r="H726" s="2">
        <f t="shared" si="88"/>
        <v>2013</v>
      </c>
      <c r="I726" s="2">
        <f t="shared" si="89"/>
        <v>5</v>
      </c>
      <c r="J726" s="2">
        <f t="shared" si="90"/>
        <v>15</v>
      </c>
      <c r="K726" s="2">
        <f t="shared" si="91"/>
        <v>4</v>
      </c>
      <c r="L726" s="2">
        <f t="shared" si="92"/>
        <v>6</v>
      </c>
      <c r="M726" s="3">
        <f t="shared" si="93"/>
        <v>83.239998</v>
      </c>
      <c r="N726" s="1">
        <f t="shared" ca="1" si="94"/>
        <v>83.239998</v>
      </c>
      <c r="O726" s="5">
        <f t="shared" si="95"/>
        <v>1.9221504546408141E-2</v>
      </c>
    </row>
    <row r="727" spans="1:15" s="2" customFormat="1" x14ac:dyDescent="0.5">
      <c r="A727" s="6">
        <v>41410</v>
      </c>
      <c r="B727" s="1">
        <v>94.699996999999996</v>
      </c>
      <c r="C727" s="1">
        <v>95</v>
      </c>
      <c r="D727" s="1">
        <v>88.660004000000001</v>
      </c>
      <c r="E727" s="1">
        <v>92.25</v>
      </c>
      <c r="F727" s="1">
        <v>92.25</v>
      </c>
      <c r="G727" s="2">
        <v>21614000</v>
      </c>
      <c r="H727" s="2">
        <f t="shared" si="88"/>
        <v>2013</v>
      </c>
      <c r="I727" s="2">
        <f t="shared" si="89"/>
        <v>5</v>
      </c>
      <c r="J727" s="2">
        <f t="shared" si="90"/>
        <v>16</v>
      </c>
      <c r="K727" s="2">
        <f t="shared" si="91"/>
        <v>5</v>
      </c>
      <c r="L727" s="2">
        <f t="shared" si="92"/>
        <v>6</v>
      </c>
      <c r="M727" s="3">
        <f t="shared" si="93"/>
        <v>84.839995999999999</v>
      </c>
      <c r="N727" s="1">
        <f t="shared" ca="1" si="94"/>
        <v>84.839995999999999</v>
      </c>
      <c r="O727" s="5">
        <f t="shared" si="95"/>
        <v>8.7340928210321911E-2</v>
      </c>
    </row>
    <row r="728" spans="1:15" s="2" customFormat="1" x14ac:dyDescent="0.5">
      <c r="A728" s="6">
        <v>41411</v>
      </c>
      <c r="B728" s="1">
        <v>92.5</v>
      </c>
      <c r="C728" s="1">
        <v>94.440002000000007</v>
      </c>
      <c r="D728" s="1">
        <v>87.5</v>
      </c>
      <c r="E728" s="1">
        <v>91.5</v>
      </c>
      <c r="F728" s="1">
        <v>91.5</v>
      </c>
      <c r="G728" s="2">
        <v>19002200</v>
      </c>
      <c r="H728" s="2">
        <f t="shared" si="88"/>
        <v>2013</v>
      </c>
      <c r="I728" s="2">
        <f t="shared" si="89"/>
        <v>5</v>
      </c>
      <c r="J728" s="2">
        <f t="shared" si="90"/>
        <v>17</v>
      </c>
      <c r="K728" s="2">
        <f t="shared" si="91"/>
        <v>6</v>
      </c>
      <c r="L728" s="2">
        <f t="shared" si="92"/>
        <v>6</v>
      </c>
      <c r="M728" s="3">
        <f t="shared" si="93"/>
        <v>92.25</v>
      </c>
      <c r="N728" s="1">
        <f t="shared" ca="1" si="94"/>
        <v>92.25</v>
      </c>
      <c r="O728" s="5">
        <f t="shared" si="95"/>
        <v>-8.1300813008130524E-3</v>
      </c>
    </row>
    <row r="729" spans="1:15" s="2" customFormat="1" x14ac:dyDescent="0.5">
      <c r="A729" s="6">
        <v>41414</v>
      </c>
      <c r="B729" s="1">
        <v>91.120002999999997</v>
      </c>
      <c r="C729" s="1">
        <v>92.5</v>
      </c>
      <c r="D729" s="1">
        <v>88.629997000000003</v>
      </c>
      <c r="E729" s="1">
        <v>89.940002000000007</v>
      </c>
      <c r="F729" s="1">
        <v>89.940002000000007</v>
      </c>
      <c r="G729" s="2">
        <v>8348400</v>
      </c>
      <c r="H729" s="2">
        <f t="shared" si="88"/>
        <v>2013</v>
      </c>
      <c r="I729" s="2">
        <f t="shared" si="89"/>
        <v>5</v>
      </c>
      <c r="J729" s="2">
        <f t="shared" si="90"/>
        <v>20</v>
      </c>
      <c r="K729" s="2">
        <f t="shared" si="91"/>
        <v>2</v>
      </c>
      <c r="L729" s="2">
        <f t="shared" si="92"/>
        <v>6</v>
      </c>
      <c r="M729" s="3">
        <f t="shared" si="93"/>
        <v>91.5</v>
      </c>
      <c r="N729" s="1">
        <f t="shared" ca="1" si="94"/>
        <v>91.5</v>
      </c>
      <c r="O729" s="5">
        <f t="shared" si="95"/>
        <v>-1.7049158469945258E-2</v>
      </c>
    </row>
    <row r="730" spans="1:15" s="2" customFormat="1" x14ac:dyDescent="0.5">
      <c r="A730" s="6">
        <v>41415</v>
      </c>
      <c r="B730" s="1">
        <v>88.5</v>
      </c>
      <c r="C730" s="1">
        <v>89.989998</v>
      </c>
      <c r="D730" s="1">
        <v>85.279999000000004</v>
      </c>
      <c r="E730" s="1">
        <v>87.589995999999999</v>
      </c>
      <c r="F730" s="1">
        <v>87.589995999999999</v>
      </c>
      <c r="G730" s="2">
        <v>8998200</v>
      </c>
      <c r="H730" s="2">
        <f t="shared" si="88"/>
        <v>2013</v>
      </c>
      <c r="I730" s="2">
        <f t="shared" si="89"/>
        <v>5</v>
      </c>
      <c r="J730" s="2">
        <f t="shared" si="90"/>
        <v>21</v>
      </c>
      <c r="K730" s="2">
        <f t="shared" si="91"/>
        <v>3</v>
      </c>
      <c r="L730" s="2">
        <f t="shared" si="92"/>
        <v>6</v>
      </c>
      <c r="M730" s="3">
        <f t="shared" si="93"/>
        <v>89.940002000000007</v>
      </c>
      <c r="N730" s="1">
        <f t="shared" ca="1" si="94"/>
        <v>89.940002000000007</v>
      </c>
      <c r="O730" s="5">
        <f t="shared" si="95"/>
        <v>-2.6128596261316583E-2</v>
      </c>
    </row>
    <row r="731" spans="1:15" s="2" customFormat="1" x14ac:dyDescent="0.5">
      <c r="A731" s="6">
        <v>41416</v>
      </c>
      <c r="B731" s="1">
        <v>86.370002999999997</v>
      </c>
      <c r="C731" s="1">
        <v>90.959998999999996</v>
      </c>
      <c r="D731" s="1">
        <v>85.5</v>
      </c>
      <c r="E731" s="1">
        <v>87.239998</v>
      </c>
      <c r="F731" s="1">
        <v>87.239998</v>
      </c>
      <c r="G731" s="2">
        <v>8568000</v>
      </c>
      <c r="H731" s="2">
        <f t="shared" si="88"/>
        <v>2013</v>
      </c>
      <c r="I731" s="2">
        <f t="shared" si="89"/>
        <v>5</v>
      </c>
      <c r="J731" s="2">
        <f t="shared" si="90"/>
        <v>22</v>
      </c>
      <c r="K731" s="2">
        <f t="shared" si="91"/>
        <v>4</v>
      </c>
      <c r="L731" s="2">
        <f t="shared" si="92"/>
        <v>6</v>
      </c>
      <c r="M731" s="3">
        <f t="shared" si="93"/>
        <v>87.589995999999999</v>
      </c>
      <c r="N731" s="1">
        <f t="shared" ca="1" si="94"/>
        <v>87.589995999999999</v>
      </c>
      <c r="O731" s="5">
        <f t="shared" si="95"/>
        <v>-3.9958672905978654E-3</v>
      </c>
    </row>
    <row r="732" spans="1:15" s="2" customFormat="1" x14ac:dyDescent="0.5">
      <c r="A732" s="6">
        <v>41417</v>
      </c>
      <c r="B732" s="1">
        <v>84.809997999999993</v>
      </c>
      <c r="C732" s="1">
        <v>93.010002</v>
      </c>
      <c r="D732" s="1">
        <v>83.050003000000004</v>
      </c>
      <c r="E732" s="1">
        <v>92.730002999999996</v>
      </c>
      <c r="F732" s="1">
        <v>92.730002999999996</v>
      </c>
      <c r="G732" s="2">
        <v>12022200</v>
      </c>
      <c r="H732" s="2">
        <f t="shared" si="88"/>
        <v>2013</v>
      </c>
      <c r="I732" s="2">
        <f t="shared" si="89"/>
        <v>5</v>
      </c>
      <c r="J732" s="2">
        <f t="shared" si="90"/>
        <v>23</v>
      </c>
      <c r="K732" s="2">
        <f t="shared" si="91"/>
        <v>5</v>
      </c>
      <c r="L732" s="2">
        <f t="shared" si="92"/>
        <v>6</v>
      </c>
      <c r="M732" s="3">
        <f t="shared" si="93"/>
        <v>87.239998</v>
      </c>
      <c r="N732" s="1">
        <f t="shared" ca="1" si="94"/>
        <v>87.239998</v>
      </c>
      <c r="O732" s="5">
        <f t="shared" si="95"/>
        <v>6.292990744910365E-2</v>
      </c>
    </row>
    <row r="733" spans="1:15" s="2" customFormat="1" x14ac:dyDescent="0.5">
      <c r="A733" s="6">
        <v>41418</v>
      </c>
      <c r="B733" s="1">
        <v>92.599997999999999</v>
      </c>
      <c r="C733" s="1">
        <v>97.949996999999996</v>
      </c>
      <c r="D733" s="1">
        <v>92</v>
      </c>
      <c r="E733" s="1">
        <v>97.080001999999993</v>
      </c>
      <c r="F733" s="1">
        <v>97.080001999999993</v>
      </c>
      <c r="G733" s="2">
        <v>16124200</v>
      </c>
      <c r="H733" s="2">
        <f t="shared" si="88"/>
        <v>2013</v>
      </c>
      <c r="I733" s="2">
        <f t="shared" si="89"/>
        <v>5</v>
      </c>
      <c r="J733" s="2">
        <f t="shared" si="90"/>
        <v>24</v>
      </c>
      <c r="K733" s="2">
        <f t="shared" si="91"/>
        <v>6</v>
      </c>
      <c r="L733" s="2">
        <f t="shared" si="92"/>
        <v>6</v>
      </c>
      <c r="M733" s="3">
        <f t="shared" si="93"/>
        <v>92.730002999999996</v>
      </c>
      <c r="N733" s="1">
        <f t="shared" ca="1" si="94"/>
        <v>92.730002999999996</v>
      </c>
      <c r="O733" s="5">
        <f t="shared" si="95"/>
        <v>4.691037268703635E-2</v>
      </c>
    </row>
    <row r="734" spans="1:15" s="2" customFormat="1" x14ac:dyDescent="0.5">
      <c r="A734" s="6">
        <v>41422</v>
      </c>
      <c r="B734" s="1">
        <v>101.550003</v>
      </c>
      <c r="C734" s="1">
        <v>110.75</v>
      </c>
      <c r="D734" s="1">
        <v>100.300003</v>
      </c>
      <c r="E734" s="1">
        <v>110.33000199999999</v>
      </c>
      <c r="F734" s="1">
        <v>110.33000199999999</v>
      </c>
      <c r="G734" s="2">
        <v>19691900</v>
      </c>
      <c r="H734" s="2">
        <f t="shared" si="88"/>
        <v>2013</v>
      </c>
      <c r="I734" s="2">
        <f t="shared" si="89"/>
        <v>5</v>
      </c>
      <c r="J734" s="2">
        <f t="shared" si="90"/>
        <v>28</v>
      </c>
      <c r="K734" s="2">
        <f t="shared" si="91"/>
        <v>3</v>
      </c>
      <c r="L734" s="2">
        <f t="shared" si="92"/>
        <v>6</v>
      </c>
      <c r="M734" s="3">
        <f t="shared" si="93"/>
        <v>97.080001999999993</v>
      </c>
      <c r="N734" s="1">
        <f t="shared" ca="1" si="94"/>
        <v>97.080001999999993</v>
      </c>
      <c r="O734" s="5">
        <f t="shared" si="95"/>
        <v>0.13648537007652717</v>
      </c>
    </row>
    <row r="735" spans="1:15" s="2" customFormat="1" x14ac:dyDescent="0.5">
      <c r="A735" s="6">
        <v>41423</v>
      </c>
      <c r="B735" s="1">
        <v>113.550003</v>
      </c>
      <c r="C735" s="1">
        <v>114.900002</v>
      </c>
      <c r="D735" s="1">
        <v>99</v>
      </c>
      <c r="E735" s="1">
        <v>104.629997</v>
      </c>
      <c r="F735" s="1">
        <v>104.629997</v>
      </c>
      <c r="G735" s="2">
        <v>25099500</v>
      </c>
      <c r="H735" s="2">
        <f t="shared" si="88"/>
        <v>2013</v>
      </c>
      <c r="I735" s="2">
        <f t="shared" si="89"/>
        <v>5</v>
      </c>
      <c r="J735" s="2">
        <f t="shared" si="90"/>
        <v>29</v>
      </c>
      <c r="K735" s="2">
        <f t="shared" si="91"/>
        <v>4</v>
      </c>
      <c r="L735" s="2">
        <f t="shared" si="92"/>
        <v>6</v>
      </c>
      <c r="M735" s="3">
        <f t="shared" si="93"/>
        <v>110.33000199999999</v>
      </c>
      <c r="N735" s="1">
        <f t="shared" ca="1" si="94"/>
        <v>110.33000199999999</v>
      </c>
      <c r="O735" s="5">
        <f t="shared" si="95"/>
        <v>-5.1663236623525011E-2</v>
      </c>
    </row>
    <row r="736" spans="1:15" s="2" customFormat="1" x14ac:dyDescent="0.5">
      <c r="A736" s="6">
        <v>41424</v>
      </c>
      <c r="B736" s="1">
        <v>102.459999</v>
      </c>
      <c r="C736" s="1">
        <v>109.540001</v>
      </c>
      <c r="D736" s="1">
        <v>101.199997</v>
      </c>
      <c r="E736" s="1">
        <v>104.949997</v>
      </c>
      <c r="F736" s="1">
        <v>104.949997</v>
      </c>
      <c r="G736" s="2">
        <v>16133700</v>
      </c>
      <c r="H736" s="2">
        <f t="shared" si="88"/>
        <v>2013</v>
      </c>
      <c r="I736" s="2">
        <f t="shared" si="89"/>
        <v>5</v>
      </c>
      <c r="J736" s="2">
        <f t="shared" si="90"/>
        <v>30</v>
      </c>
      <c r="K736" s="2">
        <f t="shared" si="91"/>
        <v>5</v>
      </c>
      <c r="L736" s="2">
        <f t="shared" si="92"/>
        <v>6</v>
      </c>
      <c r="M736" s="3">
        <f t="shared" si="93"/>
        <v>104.629997</v>
      </c>
      <c r="N736" s="1">
        <f t="shared" ca="1" si="94"/>
        <v>104.629997</v>
      </c>
      <c r="O736" s="5">
        <f t="shared" si="95"/>
        <v>3.0583963411563442E-3</v>
      </c>
    </row>
    <row r="737" spans="1:15" s="2" customFormat="1" x14ac:dyDescent="0.5">
      <c r="A737" s="6">
        <v>41425</v>
      </c>
      <c r="B737" s="1">
        <v>106.260002</v>
      </c>
      <c r="C737" s="1">
        <v>106.44000200000001</v>
      </c>
      <c r="D737" s="1">
        <v>97.730002999999996</v>
      </c>
      <c r="E737" s="1">
        <v>97.760002</v>
      </c>
      <c r="F737" s="1">
        <v>97.760002</v>
      </c>
      <c r="G737" s="2">
        <v>15172000</v>
      </c>
      <c r="H737" s="2">
        <f t="shared" si="88"/>
        <v>2013</v>
      </c>
      <c r="I737" s="2">
        <f t="shared" si="89"/>
        <v>5</v>
      </c>
      <c r="J737" s="2">
        <f t="shared" si="90"/>
        <v>31</v>
      </c>
      <c r="K737" s="2">
        <f t="shared" si="91"/>
        <v>6</v>
      </c>
      <c r="L737" s="2">
        <f t="shared" si="92"/>
        <v>6</v>
      </c>
      <c r="M737" s="3">
        <f t="shared" si="93"/>
        <v>104.949997</v>
      </c>
      <c r="N737" s="1">
        <f t="shared" ca="1" si="94"/>
        <v>104.949997</v>
      </c>
      <c r="O737" s="5">
        <f t="shared" si="95"/>
        <v>-6.8508768037411127E-2</v>
      </c>
    </row>
    <row r="738" spans="1:15" s="2" customFormat="1" x14ac:dyDescent="0.5">
      <c r="A738" s="6">
        <v>41428</v>
      </c>
      <c r="B738" s="1">
        <v>97.620002999999997</v>
      </c>
      <c r="C738" s="1">
        <v>97.620002999999997</v>
      </c>
      <c r="D738" s="1">
        <v>88.25</v>
      </c>
      <c r="E738" s="1">
        <v>92.589995999999999</v>
      </c>
      <c r="F738" s="1">
        <v>92.589995999999999</v>
      </c>
      <c r="G738" s="2">
        <v>19139600</v>
      </c>
      <c r="H738" s="2">
        <f t="shared" si="88"/>
        <v>2013</v>
      </c>
      <c r="I738" s="2">
        <f t="shared" si="89"/>
        <v>6</v>
      </c>
      <c r="J738" s="2">
        <f t="shared" si="90"/>
        <v>3</v>
      </c>
      <c r="K738" s="2">
        <f t="shared" si="91"/>
        <v>2</v>
      </c>
      <c r="L738" s="2">
        <f t="shared" si="92"/>
        <v>7</v>
      </c>
      <c r="M738" s="3">
        <f t="shared" si="93"/>
        <v>97.760002</v>
      </c>
      <c r="N738" s="1">
        <f t="shared" ca="1" si="94"/>
        <v>97.760002</v>
      </c>
      <c r="O738" s="5">
        <f t="shared" si="95"/>
        <v>-5.2884675677482118E-2</v>
      </c>
    </row>
    <row r="739" spans="1:15" s="2" customFormat="1" x14ac:dyDescent="0.5">
      <c r="A739" s="6">
        <v>41429</v>
      </c>
      <c r="B739" s="1">
        <v>92.75</v>
      </c>
      <c r="C739" s="1">
        <v>96.419998000000007</v>
      </c>
      <c r="D739" s="1">
        <v>92.400002000000001</v>
      </c>
      <c r="E739" s="1">
        <v>94.839995999999999</v>
      </c>
      <c r="F739" s="1">
        <v>94.839995999999999</v>
      </c>
      <c r="G739" s="2">
        <v>8856100</v>
      </c>
      <c r="H739" s="2">
        <f t="shared" si="88"/>
        <v>2013</v>
      </c>
      <c r="I739" s="2">
        <f t="shared" si="89"/>
        <v>6</v>
      </c>
      <c r="J739" s="2">
        <f t="shared" si="90"/>
        <v>4</v>
      </c>
      <c r="K739" s="2">
        <f t="shared" si="91"/>
        <v>3</v>
      </c>
      <c r="L739" s="2">
        <f t="shared" si="92"/>
        <v>7</v>
      </c>
      <c r="M739" s="3">
        <f t="shared" si="93"/>
        <v>92.589995999999999</v>
      </c>
      <c r="N739" s="1">
        <f t="shared" ca="1" si="94"/>
        <v>92.589995999999999</v>
      </c>
      <c r="O739" s="5">
        <f t="shared" si="95"/>
        <v>2.4300681468870655E-2</v>
      </c>
    </row>
    <row r="740" spans="1:15" s="2" customFormat="1" x14ac:dyDescent="0.5">
      <c r="A740" s="6">
        <v>41430</v>
      </c>
      <c r="B740" s="1">
        <v>93.660004000000001</v>
      </c>
      <c r="C740" s="1">
        <v>97.970000999999996</v>
      </c>
      <c r="D740" s="1">
        <v>89.110000999999997</v>
      </c>
      <c r="E740" s="1">
        <v>95.370002999999997</v>
      </c>
      <c r="F740" s="1">
        <v>95.370002999999997</v>
      </c>
      <c r="G740" s="2">
        <v>12224800</v>
      </c>
      <c r="H740" s="2">
        <f t="shared" si="88"/>
        <v>2013</v>
      </c>
      <c r="I740" s="2">
        <f t="shared" si="89"/>
        <v>6</v>
      </c>
      <c r="J740" s="2">
        <f t="shared" si="90"/>
        <v>5</v>
      </c>
      <c r="K740" s="2">
        <f t="shared" si="91"/>
        <v>4</v>
      </c>
      <c r="L740" s="2">
        <f t="shared" si="92"/>
        <v>7</v>
      </c>
      <c r="M740" s="3">
        <f t="shared" si="93"/>
        <v>94.839995999999999</v>
      </c>
      <c r="N740" s="1">
        <f t="shared" ca="1" si="94"/>
        <v>94.839995999999999</v>
      </c>
      <c r="O740" s="5">
        <f t="shared" si="95"/>
        <v>5.5884333862687985E-3</v>
      </c>
    </row>
    <row r="741" spans="1:15" s="2" customFormat="1" x14ac:dyDescent="0.5">
      <c r="A741" s="6">
        <v>41431</v>
      </c>
      <c r="B741" s="1">
        <v>95.25</v>
      </c>
      <c r="C741" s="1">
        <v>99.269997000000004</v>
      </c>
      <c r="D741" s="1">
        <v>95.110000999999997</v>
      </c>
      <c r="E741" s="1">
        <v>97.349997999999999</v>
      </c>
      <c r="F741" s="1">
        <v>97.349997999999999</v>
      </c>
      <c r="G741" s="2">
        <v>9510900</v>
      </c>
      <c r="H741" s="2">
        <f t="shared" si="88"/>
        <v>2013</v>
      </c>
      <c r="I741" s="2">
        <f t="shared" si="89"/>
        <v>6</v>
      </c>
      <c r="J741" s="2">
        <f t="shared" si="90"/>
        <v>6</v>
      </c>
      <c r="K741" s="2">
        <f t="shared" si="91"/>
        <v>5</v>
      </c>
      <c r="L741" s="2">
        <f t="shared" si="92"/>
        <v>7</v>
      </c>
      <c r="M741" s="3">
        <f t="shared" si="93"/>
        <v>95.370002999999997</v>
      </c>
      <c r="N741" s="1">
        <f t="shared" ca="1" si="94"/>
        <v>95.370002999999997</v>
      </c>
      <c r="O741" s="5">
        <f t="shared" si="95"/>
        <v>2.0761192594279443E-2</v>
      </c>
    </row>
    <row r="742" spans="1:15" s="2" customFormat="1" x14ac:dyDescent="0.5">
      <c r="A742" s="6">
        <v>41432</v>
      </c>
      <c r="B742" s="1">
        <v>98</v>
      </c>
      <c r="C742" s="1">
        <v>102.900002</v>
      </c>
      <c r="D742" s="1">
        <v>96.699996999999996</v>
      </c>
      <c r="E742" s="1">
        <v>102.040001</v>
      </c>
      <c r="F742" s="1">
        <v>102.040001</v>
      </c>
      <c r="G742" s="2">
        <v>10711600</v>
      </c>
      <c r="H742" s="2">
        <f t="shared" si="88"/>
        <v>2013</v>
      </c>
      <c r="I742" s="2">
        <f t="shared" si="89"/>
        <v>6</v>
      </c>
      <c r="J742" s="2">
        <f t="shared" si="90"/>
        <v>7</v>
      </c>
      <c r="K742" s="2">
        <f t="shared" si="91"/>
        <v>6</v>
      </c>
      <c r="L742" s="2">
        <f t="shared" si="92"/>
        <v>7</v>
      </c>
      <c r="M742" s="3">
        <f t="shared" si="93"/>
        <v>97.349997999999999</v>
      </c>
      <c r="N742" s="1">
        <f t="shared" ca="1" si="94"/>
        <v>97.349997999999999</v>
      </c>
      <c r="O742" s="5">
        <f t="shared" si="95"/>
        <v>4.8176713881391109E-2</v>
      </c>
    </row>
    <row r="743" spans="1:15" s="2" customFormat="1" x14ac:dyDescent="0.5">
      <c r="A743" s="6">
        <v>41435</v>
      </c>
      <c r="B743" s="1">
        <v>98.93</v>
      </c>
      <c r="C743" s="1">
        <v>102.519997</v>
      </c>
      <c r="D743" s="1">
        <v>98.57</v>
      </c>
      <c r="E743" s="1">
        <v>100.050003</v>
      </c>
      <c r="F743" s="1">
        <v>100.050003</v>
      </c>
      <c r="G743" s="2">
        <v>9228600</v>
      </c>
      <c r="H743" s="2">
        <f t="shared" si="88"/>
        <v>2013</v>
      </c>
      <c r="I743" s="2">
        <f t="shared" si="89"/>
        <v>6</v>
      </c>
      <c r="J743" s="2">
        <f t="shared" si="90"/>
        <v>10</v>
      </c>
      <c r="K743" s="2">
        <f t="shared" si="91"/>
        <v>2</v>
      </c>
      <c r="L743" s="2">
        <f t="shared" si="92"/>
        <v>7</v>
      </c>
      <c r="M743" s="3">
        <f t="shared" si="93"/>
        <v>102.040001</v>
      </c>
      <c r="N743" s="1">
        <f t="shared" ca="1" si="94"/>
        <v>102.040001</v>
      </c>
      <c r="O743" s="5">
        <f t="shared" si="95"/>
        <v>-1.9502136225968858E-2</v>
      </c>
    </row>
    <row r="744" spans="1:15" s="2" customFormat="1" x14ac:dyDescent="0.5">
      <c r="A744" s="6">
        <v>41436</v>
      </c>
      <c r="B744" s="1">
        <v>98.18</v>
      </c>
      <c r="C744" s="1">
        <v>98.68</v>
      </c>
      <c r="D744" s="1">
        <v>94.050003000000004</v>
      </c>
      <c r="E744" s="1">
        <v>94.470000999999996</v>
      </c>
      <c r="F744" s="1">
        <v>94.470000999999996</v>
      </c>
      <c r="G744" s="2">
        <v>7394000</v>
      </c>
      <c r="H744" s="2">
        <f t="shared" si="88"/>
        <v>2013</v>
      </c>
      <c r="I744" s="2">
        <f t="shared" si="89"/>
        <v>6</v>
      </c>
      <c r="J744" s="2">
        <f t="shared" si="90"/>
        <v>11</v>
      </c>
      <c r="K744" s="2">
        <f t="shared" si="91"/>
        <v>3</v>
      </c>
      <c r="L744" s="2">
        <f t="shared" si="92"/>
        <v>7</v>
      </c>
      <c r="M744" s="3">
        <f t="shared" si="93"/>
        <v>100.050003</v>
      </c>
      <c r="N744" s="1">
        <f t="shared" ca="1" si="94"/>
        <v>100.050003</v>
      </c>
      <c r="O744" s="5">
        <f t="shared" si="95"/>
        <v>-5.5772132260705765E-2</v>
      </c>
    </row>
    <row r="745" spans="1:15" s="2" customFormat="1" x14ac:dyDescent="0.5">
      <c r="A745" s="6">
        <v>41437</v>
      </c>
      <c r="B745" s="1">
        <v>96.800003000000004</v>
      </c>
      <c r="C745" s="1">
        <v>100.480003</v>
      </c>
      <c r="D745" s="1">
        <v>95.75</v>
      </c>
      <c r="E745" s="1">
        <v>97.730002999999996</v>
      </c>
      <c r="F745" s="1">
        <v>97.730002999999996</v>
      </c>
      <c r="G745" s="2">
        <v>9192700</v>
      </c>
      <c r="H745" s="2">
        <f t="shared" si="88"/>
        <v>2013</v>
      </c>
      <c r="I745" s="2">
        <f t="shared" si="89"/>
        <v>6</v>
      </c>
      <c r="J745" s="2">
        <f t="shared" si="90"/>
        <v>12</v>
      </c>
      <c r="K745" s="2">
        <f t="shared" si="91"/>
        <v>4</v>
      </c>
      <c r="L745" s="2">
        <f t="shared" si="92"/>
        <v>7</v>
      </c>
      <c r="M745" s="3">
        <f t="shared" si="93"/>
        <v>94.470000999999996</v>
      </c>
      <c r="N745" s="1">
        <f t="shared" ca="1" si="94"/>
        <v>94.470000999999996</v>
      </c>
      <c r="O745" s="5">
        <f t="shared" si="95"/>
        <v>3.4508330321707081E-2</v>
      </c>
    </row>
    <row r="746" spans="1:15" s="2" customFormat="1" x14ac:dyDescent="0.5">
      <c r="A746" s="6">
        <v>41438</v>
      </c>
      <c r="B746" s="1">
        <v>99</v>
      </c>
      <c r="C746" s="1">
        <v>99.279999000000004</v>
      </c>
      <c r="D746" s="1">
        <v>95.120002999999997</v>
      </c>
      <c r="E746" s="1">
        <v>98.18</v>
      </c>
      <c r="F746" s="1">
        <v>98.18</v>
      </c>
      <c r="G746" s="2">
        <v>5961600</v>
      </c>
      <c r="H746" s="2">
        <f t="shared" si="88"/>
        <v>2013</v>
      </c>
      <c r="I746" s="2">
        <f t="shared" si="89"/>
        <v>6</v>
      </c>
      <c r="J746" s="2">
        <f t="shared" si="90"/>
        <v>13</v>
      </c>
      <c r="K746" s="2">
        <f t="shared" si="91"/>
        <v>5</v>
      </c>
      <c r="L746" s="2">
        <f t="shared" si="92"/>
        <v>7</v>
      </c>
      <c r="M746" s="3">
        <f t="shared" si="93"/>
        <v>97.730002999999996</v>
      </c>
      <c r="N746" s="1">
        <f t="shared" ca="1" si="94"/>
        <v>97.730002999999996</v>
      </c>
      <c r="O746" s="5">
        <f t="shared" si="95"/>
        <v>4.6044918263228318E-3</v>
      </c>
    </row>
    <row r="747" spans="1:15" s="2" customFormat="1" x14ac:dyDescent="0.5">
      <c r="A747" s="6">
        <v>41439</v>
      </c>
      <c r="B747" s="1">
        <v>100</v>
      </c>
      <c r="C747" s="1">
        <v>102.519997</v>
      </c>
      <c r="D747" s="1">
        <v>99.330001999999993</v>
      </c>
      <c r="E747" s="1">
        <v>100.300003</v>
      </c>
      <c r="F747" s="1">
        <v>100.300003</v>
      </c>
      <c r="G747" s="2">
        <v>6564700</v>
      </c>
      <c r="H747" s="2">
        <f t="shared" si="88"/>
        <v>2013</v>
      </c>
      <c r="I747" s="2">
        <f t="shared" si="89"/>
        <v>6</v>
      </c>
      <c r="J747" s="2">
        <f t="shared" si="90"/>
        <v>14</v>
      </c>
      <c r="K747" s="2">
        <f t="shared" si="91"/>
        <v>6</v>
      </c>
      <c r="L747" s="2">
        <f t="shared" si="92"/>
        <v>7</v>
      </c>
      <c r="M747" s="3">
        <f t="shared" si="93"/>
        <v>98.18</v>
      </c>
      <c r="N747" s="1">
        <f t="shared" ca="1" si="94"/>
        <v>98.18</v>
      </c>
      <c r="O747" s="5">
        <f t="shared" si="95"/>
        <v>2.1593023018944724E-2</v>
      </c>
    </row>
    <row r="748" spans="1:15" s="2" customFormat="1" x14ac:dyDescent="0.5">
      <c r="A748" s="6">
        <v>41442</v>
      </c>
      <c r="B748" s="1">
        <v>103.599998</v>
      </c>
      <c r="C748" s="1">
        <v>104.75</v>
      </c>
      <c r="D748" s="1">
        <v>101.199997</v>
      </c>
      <c r="E748" s="1">
        <v>102.199997</v>
      </c>
      <c r="F748" s="1">
        <v>102.199997</v>
      </c>
      <c r="G748" s="2">
        <v>7066200</v>
      </c>
      <c r="H748" s="2">
        <f t="shared" si="88"/>
        <v>2013</v>
      </c>
      <c r="I748" s="2">
        <f t="shared" si="89"/>
        <v>6</v>
      </c>
      <c r="J748" s="2">
        <f t="shared" si="90"/>
        <v>17</v>
      </c>
      <c r="K748" s="2">
        <f t="shared" si="91"/>
        <v>2</v>
      </c>
      <c r="L748" s="2">
        <f t="shared" si="92"/>
        <v>7</v>
      </c>
      <c r="M748" s="3">
        <f t="shared" si="93"/>
        <v>100.300003</v>
      </c>
      <c r="N748" s="1">
        <f t="shared" ca="1" si="94"/>
        <v>100.300003</v>
      </c>
      <c r="O748" s="5">
        <f t="shared" si="95"/>
        <v>1.8943110101402372E-2</v>
      </c>
    </row>
    <row r="749" spans="1:15" s="2" customFormat="1" x14ac:dyDescent="0.5">
      <c r="A749" s="6">
        <v>41443</v>
      </c>
      <c r="B749" s="1">
        <v>101.75</v>
      </c>
      <c r="C749" s="1">
        <v>103.980003</v>
      </c>
      <c r="D749" s="1">
        <v>99.199996999999996</v>
      </c>
      <c r="E749" s="1">
        <v>103.389999</v>
      </c>
      <c r="F749" s="1">
        <v>103.389999</v>
      </c>
      <c r="G749" s="2">
        <v>8795300</v>
      </c>
      <c r="H749" s="2">
        <f t="shared" si="88"/>
        <v>2013</v>
      </c>
      <c r="I749" s="2">
        <f t="shared" si="89"/>
        <v>6</v>
      </c>
      <c r="J749" s="2">
        <f t="shared" si="90"/>
        <v>18</v>
      </c>
      <c r="K749" s="2">
        <f t="shared" si="91"/>
        <v>3</v>
      </c>
      <c r="L749" s="2">
        <f t="shared" si="92"/>
        <v>7</v>
      </c>
      <c r="M749" s="3">
        <f t="shared" si="93"/>
        <v>102.199997</v>
      </c>
      <c r="N749" s="1">
        <f t="shared" ca="1" si="94"/>
        <v>102.199997</v>
      </c>
      <c r="O749" s="5">
        <f t="shared" si="95"/>
        <v>1.1643855527706304E-2</v>
      </c>
    </row>
    <row r="750" spans="1:15" s="2" customFormat="1" x14ac:dyDescent="0.5">
      <c r="A750" s="6">
        <v>41444</v>
      </c>
      <c r="B750" s="1">
        <v>102.05999799999999</v>
      </c>
      <c r="C750" s="1">
        <v>106.66999800000001</v>
      </c>
      <c r="D750" s="1">
        <v>102.010002</v>
      </c>
      <c r="E750" s="1">
        <v>104.68</v>
      </c>
      <c r="F750" s="1">
        <v>104.68</v>
      </c>
      <c r="G750" s="2">
        <v>8578900</v>
      </c>
      <c r="H750" s="2">
        <f t="shared" si="88"/>
        <v>2013</v>
      </c>
      <c r="I750" s="2">
        <f t="shared" si="89"/>
        <v>6</v>
      </c>
      <c r="J750" s="2">
        <f t="shared" si="90"/>
        <v>19</v>
      </c>
      <c r="K750" s="2">
        <f t="shared" si="91"/>
        <v>4</v>
      </c>
      <c r="L750" s="2">
        <f t="shared" si="92"/>
        <v>7</v>
      </c>
      <c r="M750" s="3">
        <f t="shared" si="93"/>
        <v>103.389999</v>
      </c>
      <c r="N750" s="1">
        <f t="shared" ca="1" si="94"/>
        <v>103.389999</v>
      </c>
      <c r="O750" s="5">
        <f t="shared" si="95"/>
        <v>1.247703851897719E-2</v>
      </c>
    </row>
    <row r="751" spans="1:15" s="2" customFormat="1" x14ac:dyDescent="0.5">
      <c r="A751" s="6">
        <v>41445</v>
      </c>
      <c r="B751" s="1">
        <v>104.650002</v>
      </c>
      <c r="C751" s="1">
        <v>107.129997</v>
      </c>
      <c r="D751" s="1">
        <v>99.449996999999996</v>
      </c>
      <c r="E751" s="1">
        <v>100.650002</v>
      </c>
      <c r="F751" s="1">
        <v>100.650002</v>
      </c>
      <c r="G751" s="2">
        <v>10106500</v>
      </c>
      <c r="H751" s="2">
        <f t="shared" si="88"/>
        <v>2013</v>
      </c>
      <c r="I751" s="2">
        <f t="shared" si="89"/>
        <v>6</v>
      </c>
      <c r="J751" s="2">
        <f t="shared" si="90"/>
        <v>20</v>
      </c>
      <c r="K751" s="2">
        <f t="shared" si="91"/>
        <v>5</v>
      </c>
      <c r="L751" s="2">
        <f t="shared" si="92"/>
        <v>7</v>
      </c>
      <c r="M751" s="3">
        <f t="shared" si="93"/>
        <v>104.68</v>
      </c>
      <c r="N751" s="1">
        <f t="shared" ca="1" si="94"/>
        <v>104.68</v>
      </c>
      <c r="O751" s="5">
        <f t="shared" si="95"/>
        <v>-3.8498261367978626E-2</v>
      </c>
    </row>
    <row r="752" spans="1:15" s="2" customFormat="1" x14ac:dyDescent="0.5">
      <c r="A752" s="6">
        <v>41446</v>
      </c>
      <c r="B752" s="1">
        <v>103.699997</v>
      </c>
      <c r="C752" s="1">
        <v>103.699997</v>
      </c>
      <c r="D752" s="1">
        <v>97.5</v>
      </c>
      <c r="E752" s="1">
        <v>99.550003000000004</v>
      </c>
      <c r="F752" s="1">
        <v>99.550003000000004</v>
      </c>
      <c r="G752" s="2">
        <v>11718600</v>
      </c>
      <c r="H752" s="2">
        <f t="shared" si="88"/>
        <v>2013</v>
      </c>
      <c r="I752" s="2">
        <f t="shared" si="89"/>
        <v>6</v>
      </c>
      <c r="J752" s="2">
        <f t="shared" si="90"/>
        <v>21</v>
      </c>
      <c r="K752" s="2">
        <f t="shared" si="91"/>
        <v>6</v>
      </c>
      <c r="L752" s="2">
        <f t="shared" si="92"/>
        <v>7</v>
      </c>
      <c r="M752" s="3">
        <f t="shared" si="93"/>
        <v>100.650002</v>
      </c>
      <c r="N752" s="1">
        <f t="shared" ca="1" si="94"/>
        <v>100.650002</v>
      </c>
      <c r="O752" s="5">
        <f t="shared" si="95"/>
        <v>-1.0928951596046677E-2</v>
      </c>
    </row>
    <row r="753" spans="1:15" s="2" customFormat="1" x14ac:dyDescent="0.5">
      <c r="A753" s="6">
        <v>41449</v>
      </c>
      <c r="B753" s="1">
        <v>96.5</v>
      </c>
      <c r="C753" s="1">
        <v>102.870003</v>
      </c>
      <c r="D753" s="1">
        <v>95.300003000000004</v>
      </c>
      <c r="E753" s="1">
        <v>101.489998</v>
      </c>
      <c r="F753" s="1">
        <v>101.489998</v>
      </c>
      <c r="G753" s="2">
        <v>7119800</v>
      </c>
      <c r="H753" s="2">
        <f t="shared" si="88"/>
        <v>2013</v>
      </c>
      <c r="I753" s="2">
        <f t="shared" si="89"/>
        <v>6</v>
      </c>
      <c r="J753" s="2">
        <f t="shared" si="90"/>
        <v>24</v>
      </c>
      <c r="K753" s="2">
        <f t="shared" si="91"/>
        <v>2</v>
      </c>
      <c r="L753" s="2">
        <f t="shared" si="92"/>
        <v>7</v>
      </c>
      <c r="M753" s="3">
        <f t="shared" si="93"/>
        <v>99.550003000000004</v>
      </c>
      <c r="N753" s="1">
        <f t="shared" ca="1" si="94"/>
        <v>99.550003000000004</v>
      </c>
      <c r="O753" s="5">
        <f t="shared" si="95"/>
        <v>1.94876438125271E-2</v>
      </c>
    </row>
    <row r="754" spans="1:15" s="2" customFormat="1" x14ac:dyDescent="0.5">
      <c r="A754" s="6">
        <v>41450</v>
      </c>
      <c r="B754" s="1">
        <v>103.099998</v>
      </c>
      <c r="C754" s="1">
        <v>104.199997</v>
      </c>
      <c r="D754" s="1">
        <v>100.550003</v>
      </c>
      <c r="E754" s="1">
        <v>102.400002</v>
      </c>
      <c r="F754" s="1">
        <v>102.400002</v>
      </c>
      <c r="G754" s="2">
        <v>5848700</v>
      </c>
      <c r="H754" s="2">
        <f t="shared" si="88"/>
        <v>2013</v>
      </c>
      <c r="I754" s="2">
        <f t="shared" si="89"/>
        <v>6</v>
      </c>
      <c r="J754" s="2">
        <f t="shared" si="90"/>
        <v>25</v>
      </c>
      <c r="K754" s="2">
        <f t="shared" si="91"/>
        <v>3</v>
      </c>
      <c r="L754" s="2">
        <f t="shared" si="92"/>
        <v>7</v>
      </c>
      <c r="M754" s="3">
        <f t="shared" si="93"/>
        <v>101.489998</v>
      </c>
      <c r="N754" s="1">
        <f t="shared" ca="1" si="94"/>
        <v>101.489998</v>
      </c>
      <c r="O754" s="5">
        <f t="shared" si="95"/>
        <v>8.9664402200499982E-3</v>
      </c>
    </row>
    <row r="755" spans="1:15" s="2" customFormat="1" x14ac:dyDescent="0.5">
      <c r="A755" s="6">
        <v>41451</v>
      </c>
      <c r="B755" s="1">
        <v>103.800003</v>
      </c>
      <c r="C755" s="1">
        <v>105.870003</v>
      </c>
      <c r="D755" s="1">
        <v>102.660004</v>
      </c>
      <c r="E755" s="1">
        <v>105.720001</v>
      </c>
      <c r="F755" s="1">
        <v>105.720001</v>
      </c>
      <c r="G755" s="2">
        <v>6602600</v>
      </c>
      <c r="H755" s="2">
        <f t="shared" si="88"/>
        <v>2013</v>
      </c>
      <c r="I755" s="2">
        <f t="shared" si="89"/>
        <v>6</v>
      </c>
      <c r="J755" s="2">
        <f t="shared" si="90"/>
        <v>26</v>
      </c>
      <c r="K755" s="2">
        <f t="shared" si="91"/>
        <v>4</v>
      </c>
      <c r="L755" s="2">
        <f t="shared" si="92"/>
        <v>7</v>
      </c>
      <c r="M755" s="3">
        <f t="shared" si="93"/>
        <v>102.400002</v>
      </c>
      <c r="N755" s="1">
        <f t="shared" ca="1" si="94"/>
        <v>102.400002</v>
      </c>
      <c r="O755" s="5">
        <f t="shared" si="95"/>
        <v>3.2421864601135386E-2</v>
      </c>
    </row>
    <row r="756" spans="1:15" s="2" customFormat="1" x14ac:dyDescent="0.5">
      <c r="A756" s="6">
        <v>41452</v>
      </c>
      <c r="B756" s="1">
        <v>106.75</v>
      </c>
      <c r="C756" s="1">
        <v>110.25</v>
      </c>
      <c r="D756" s="1">
        <v>106.129997</v>
      </c>
      <c r="E756" s="1">
        <v>109.25</v>
      </c>
      <c r="F756" s="1">
        <v>109.25</v>
      </c>
      <c r="G756" s="2">
        <v>8744900</v>
      </c>
      <c r="H756" s="2">
        <f t="shared" si="88"/>
        <v>2013</v>
      </c>
      <c r="I756" s="2">
        <f t="shared" si="89"/>
        <v>6</v>
      </c>
      <c r="J756" s="2">
        <f t="shared" si="90"/>
        <v>27</v>
      </c>
      <c r="K756" s="2">
        <f t="shared" si="91"/>
        <v>5</v>
      </c>
      <c r="L756" s="2">
        <f t="shared" si="92"/>
        <v>7</v>
      </c>
      <c r="M756" s="3">
        <f t="shared" si="93"/>
        <v>105.720001</v>
      </c>
      <c r="N756" s="1">
        <f t="shared" ca="1" si="94"/>
        <v>105.720001</v>
      </c>
      <c r="O756" s="5">
        <f t="shared" si="95"/>
        <v>3.3390077247539951E-2</v>
      </c>
    </row>
    <row r="757" spans="1:15" s="2" customFormat="1" x14ac:dyDescent="0.5">
      <c r="A757" s="6">
        <v>41453</v>
      </c>
      <c r="B757" s="1">
        <v>108.57</v>
      </c>
      <c r="C757" s="1">
        <v>109.44000200000001</v>
      </c>
      <c r="D757" s="1">
        <v>106.709999</v>
      </c>
      <c r="E757" s="1">
        <v>107.360001</v>
      </c>
      <c r="F757" s="1">
        <v>107.360001</v>
      </c>
      <c r="G757" s="2">
        <v>5748600</v>
      </c>
      <c r="H757" s="2">
        <f t="shared" si="88"/>
        <v>2013</v>
      </c>
      <c r="I757" s="2">
        <f t="shared" si="89"/>
        <v>6</v>
      </c>
      <c r="J757" s="2">
        <f t="shared" si="90"/>
        <v>28</v>
      </c>
      <c r="K757" s="2">
        <f t="shared" si="91"/>
        <v>6</v>
      </c>
      <c r="L757" s="2">
        <f t="shared" si="92"/>
        <v>7</v>
      </c>
      <c r="M757" s="3">
        <f t="shared" si="93"/>
        <v>109.25</v>
      </c>
      <c r="N757" s="1">
        <f t="shared" ca="1" si="94"/>
        <v>109.25</v>
      </c>
      <c r="O757" s="5">
        <f t="shared" si="95"/>
        <v>-1.7299762013729958E-2</v>
      </c>
    </row>
    <row r="758" spans="1:15" s="2" customFormat="1" x14ac:dyDescent="0.5">
      <c r="A758" s="6">
        <v>41456</v>
      </c>
      <c r="B758" s="1">
        <v>109.360001</v>
      </c>
      <c r="C758" s="1">
        <v>117.769997</v>
      </c>
      <c r="D758" s="1">
        <v>109.150002</v>
      </c>
      <c r="E758" s="1">
        <v>117.18</v>
      </c>
      <c r="F758" s="1">
        <v>117.18</v>
      </c>
      <c r="G758" s="2">
        <v>10903600</v>
      </c>
      <c r="H758" s="2">
        <f t="shared" si="88"/>
        <v>2013</v>
      </c>
      <c r="I758" s="2">
        <f t="shared" si="89"/>
        <v>7</v>
      </c>
      <c r="J758" s="2">
        <f t="shared" si="90"/>
        <v>1</v>
      </c>
      <c r="K758" s="2">
        <f t="shared" si="91"/>
        <v>2</v>
      </c>
      <c r="L758" s="2">
        <f t="shared" si="92"/>
        <v>8</v>
      </c>
      <c r="M758" s="3">
        <f t="shared" si="93"/>
        <v>107.360001</v>
      </c>
      <c r="N758" s="1">
        <f t="shared" ca="1" si="94"/>
        <v>107.360001</v>
      </c>
      <c r="O758" s="5">
        <f t="shared" si="95"/>
        <v>9.1467948104806851E-2</v>
      </c>
    </row>
    <row r="759" spans="1:15" s="2" customFormat="1" x14ac:dyDescent="0.5">
      <c r="A759" s="6">
        <v>41457</v>
      </c>
      <c r="B759" s="1">
        <v>118.25</v>
      </c>
      <c r="C759" s="1">
        <v>121.889999</v>
      </c>
      <c r="D759" s="1">
        <v>115.5</v>
      </c>
      <c r="E759" s="1">
        <v>117.82</v>
      </c>
      <c r="F759" s="1">
        <v>117.82</v>
      </c>
      <c r="G759" s="2">
        <v>12064100</v>
      </c>
      <c r="H759" s="2">
        <f t="shared" si="88"/>
        <v>2013</v>
      </c>
      <c r="I759" s="2">
        <f t="shared" si="89"/>
        <v>7</v>
      </c>
      <c r="J759" s="2">
        <f t="shared" si="90"/>
        <v>2</v>
      </c>
      <c r="K759" s="2">
        <f t="shared" si="91"/>
        <v>3</v>
      </c>
      <c r="L759" s="2">
        <f t="shared" si="92"/>
        <v>8</v>
      </c>
      <c r="M759" s="3">
        <f t="shared" si="93"/>
        <v>117.18</v>
      </c>
      <c r="N759" s="1">
        <f t="shared" ca="1" si="94"/>
        <v>117.18</v>
      </c>
      <c r="O759" s="5">
        <f t="shared" si="95"/>
        <v>5.461682881037655E-3</v>
      </c>
    </row>
    <row r="760" spans="1:15" s="2" customFormat="1" x14ac:dyDescent="0.5">
      <c r="A760" s="6">
        <v>41458</v>
      </c>
      <c r="B760" s="1">
        <v>118</v>
      </c>
      <c r="C760" s="1">
        <v>119.25</v>
      </c>
      <c r="D760" s="1">
        <v>114.269997</v>
      </c>
      <c r="E760" s="1">
        <v>115.239998</v>
      </c>
      <c r="F760" s="1">
        <v>115.239998</v>
      </c>
      <c r="G760" s="2">
        <v>4806700</v>
      </c>
      <c r="H760" s="2">
        <f t="shared" si="88"/>
        <v>2013</v>
      </c>
      <c r="I760" s="2">
        <f t="shared" si="89"/>
        <v>7</v>
      </c>
      <c r="J760" s="2">
        <f t="shared" si="90"/>
        <v>3</v>
      </c>
      <c r="K760" s="2">
        <f t="shared" si="91"/>
        <v>4</v>
      </c>
      <c r="L760" s="2">
        <f t="shared" si="92"/>
        <v>8</v>
      </c>
      <c r="M760" s="3">
        <f t="shared" si="93"/>
        <v>117.82</v>
      </c>
      <c r="N760" s="1">
        <f t="shared" ca="1" si="94"/>
        <v>117.82</v>
      </c>
      <c r="O760" s="5">
        <f t="shared" si="95"/>
        <v>-2.1897827194024777E-2</v>
      </c>
    </row>
    <row r="761" spans="1:15" s="2" customFormat="1" x14ac:dyDescent="0.5">
      <c r="A761" s="6">
        <v>41460</v>
      </c>
      <c r="B761" s="1">
        <v>118.32</v>
      </c>
      <c r="C761" s="1">
        <v>120.279999</v>
      </c>
      <c r="D761" s="1">
        <v>115.699997</v>
      </c>
      <c r="E761" s="1">
        <v>120.089996</v>
      </c>
      <c r="F761" s="1">
        <v>120.089996</v>
      </c>
      <c r="G761" s="2">
        <v>6818700</v>
      </c>
      <c r="H761" s="2">
        <f t="shared" si="88"/>
        <v>2013</v>
      </c>
      <c r="I761" s="2">
        <f t="shared" si="89"/>
        <v>7</v>
      </c>
      <c r="J761" s="2">
        <f t="shared" si="90"/>
        <v>5</v>
      </c>
      <c r="K761" s="2">
        <f t="shared" si="91"/>
        <v>6</v>
      </c>
      <c r="L761" s="2">
        <f t="shared" si="92"/>
        <v>8</v>
      </c>
      <c r="M761" s="3">
        <f t="shared" si="93"/>
        <v>115.239998</v>
      </c>
      <c r="N761" s="1">
        <f t="shared" ca="1" si="94"/>
        <v>115.239998</v>
      </c>
      <c r="O761" s="5">
        <f t="shared" si="95"/>
        <v>4.2086064597120165E-2</v>
      </c>
    </row>
    <row r="762" spans="1:15" s="2" customFormat="1" x14ac:dyDescent="0.5">
      <c r="A762" s="6">
        <v>41463</v>
      </c>
      <c r="B762" s="1">
        <v>121.370003</v>
      </c>
      <c r="C762" s="1">
        <v>122.18</v>
      </c>
      <c r="D762" s="1">
        <v>118.82</v>
      </c>
      <c r="E762" s="1">
        <v>121.610001</v>
      </c>
      <c r="F762" s="1">
        <v>121.610001</v>
      </c>
      <c r="G762" s="2">
        <v>7814200</v>
      </c>
      <c r="H762" s="2">
        <f t="shared" si="88"/>
        <v>2013</v>
      </c>
      <c r="I762" s="2">
        <f t="shared" si="89"/>
        <v>7</v>
      </c>
      <c r="J762" s="2">
        <f t="shared" si="90"/>
        <v>8</v>
      </c>
      <c r="K762" s="2">
        <f t="shared" si="91"/>
        <v>2</v>
      </c>
      <c r="L762" s="2">
        <f t="shared" si="92"/>
        <v>8</v>
      </c>
      <c r="M762" s="3">
        <f t="shared" si="93"/>
        <v>120.089996</v>
      </c>
      <c r="N762" s="1">
        <f t="shared" ca="1" si="94"/>
        <v>120.089996</v>
      </c>
      <c r="O762" s="5">
        <f t="shared" si="95"/>
        <v>1.2657215843357994E-2</v>
      </c>
    </row>
    <row r="763" spans="1:15" s="2" customFormat="1" x14ac:dyDescent="0.5">
      <c r="A763" s="6">
        <v>41464</v>
      </c>
      <c r="B763" s="1">
        <v>124.639999</v>
      </c>
      <c r="C763" s="1">
        <v>125.32</v>
      </c>
      <c r="D763" s="1">
        <v>121.910004</v>
      </c>
      <c r="E763" s="1">
        <v>123.449997</v>
      </c>
      <c r="F763" s="1">
        <v>123.449997</v>
      </c>
      <c r="G763" s="2">
        <v>8603300</v>
      </c>
      <c r="H763" s="2">
        <f t="shared" si="88"/>
        <v>2013</v>
      </c>
      <c r="I763" s="2">
        <f t="shared" si="89"/>
        <v>7</v>
      </c>
      <c r="J763" s="2">
        <f t="shared" si="90"/>
        <v>9</v>
      </c>
      <c r="K763" s="2">
        <f t="shared" si="91"/>
        <v>3</v>
      </c>
      <c r="L763" s="2">
        <f t="shared" si="92"/>
        <v>8</v>
      </c>
      <c r="M763" s="3">
        <f t="shared" si="93"/>
        <v>121.610001</v>
      </c>
      <c r="N763" s="1">
        <f t="shared" ca="1" si="94"/>
        <v>121.610001</v>
      </c>
      <c r="O763" s="5">
        <f t="shared" si="95"/>
        <v>1.5130301659976197E-2</v>
      </c>
    </row>
    <row r="764" spans="1:15" s="2" customFormat="1" x14ac:dyDescent="0.5">
      <c r="A764" s="6">
        <v>41465</v>
      </c>
      <c r="B764" s="1">
        <v>123.19000200000001</v>
      </c>
      <c r="C764" s="1">
        <v>123.25</v>
      </c>
      <c r="D764" s="1">
        <v>120.790001</v>
      </c>
      <c r="E764" s="1">
        <v>122.269997</v>
      </c>
      <c r="F764" s="1">
        <v>122.269997</v>
      </c>
      <c r="G764" s="2">
        <v>5600100</v>
      </c>
      <c r="H764" s="2">
        <f t="shared" si="88"/>
        <v>2013</v>
      </c>
      <c r="I764" s="2">
        <f t="shared" si="89"/>
        <v>7</v>
      </c>
      <c r="J764" s="2">
        <f t="shared" si="90"/>
        <v>10</v>
      </c>
      <c r="K764" s="2">
        <f t="shared" si="91"/>
        <v>4</v>
      </c>
      <c r="L764" s="2">
        <f t="shared" si="92"/>
        <v>8</v>
      </c>
      <c r="M764" s="3">
        <f t="shared" si="93"/>
        <v>123.449997</v>
      </c>
      <c r="N764" s="1">
        <f t="shared" ca="1" si="94"/>
        <v>123.449997</v>
      </c>
      <c r="O764" s="5">
        <f t="shared" si="95"/>
        <v>-9.5585259511994369E-3</v>
      </c>
    </row>
    <row r="765" spans="1:15" s="2" customFormat="1" x14ac:dyDescent="0.5">
      <c r="A765" s="6">
        <v>41466</v>
      </c>
      <c r="B765" s="1">
        <v>124.879997</v>
      </c>
      <c r="C765" s="1">
        <v>126.089996</v>
      </c>
      <c r="D765" s="1">
        <v>122.349998</v>
      </c>
      <c r="E765" s="1">
        <v>125.610001</v>
      </c>
      <c r="F765" s="1">
        <v>125.610001</v>
      </c>
      <c r="G765" s="2">
        <v>7483600</v>
      </c>
      <c r="H765" s="2">
        <f t="shared" si="88"/>
        <v>2013</v>
      </c>
      <c r="I765" s="2">
        <f t="shared" si="89"/>
        <v>7</v>
      </c>
      <c r="J765" s="2">
        <f t="shared" si="90"/>
        <v>11</v>
      </c>
      <c r="K765" s="2">
        <f t="shared" si="91"/>
        <v>5</v>
      </c>
      <c r="L765" s="2">
        <f t="shared" si="92"/>
        <v>8</v>
      </c>
      <c r="M765" s="3">
        <f t="shared" si="93"/>
        <v>122.269997</v>
      </c>
      <c r="N765" s="1">
        <f t="shared" ca="1" si="94"/>
        <v>122.269997</v>
      </c>
      <c r="O765" s="5">
        <f t="shared" si="95"/>
        <v>2.7316627806901694E-2</v>
      </c>
    </row>
    <row r="766" spans="1:15" s="2" customFormat="1" x14ac:dyDescent="0.5">
      <c r="A766" s="6">
        <v>41467</v>
      </c>
      <c r="B766" s="1">
        <v>125.5</v>
      </c>
      <c r="C766" s="1">
        <v>129.94000199999999</v>
      </c>
      <c r="D766" s="1">
        <v>124.510002</v>
      </c>
      <c r="E766" s="1">
        <v>129.89999399999999</v>
      </c>
      <c r="F766" s="1">
        <v>129.89999399999999</v>
      </c>
      <c r="G766" s="2">
        <v>11344000</v>
      </c>
      <c r="H766" s="2">
        <f t="shared" si="88"/>
        <v>2013</v>
      </c>
      <c r="I766" s="2">
        <f t="shared" si="89"/>
        <v>7</v>
      </c>
      <c r="J766" s="2">
        <f t="shared" si="90"/>
        <v>12</v>
      </c>
      <c r="K766" s="2">
        <f t="shared" si="91"/>
        <v>6</v>
      </c>
      <c r="L766" s="2">
        <f t="shared" si="92"/>
        <v>8</v>
      </c>
      <c r="M766" s="3">
        <f t="shared" si="93"/>
        <v>125.610001</v>
      </c>
      <c r="N766" s="1">
        <f t="shared" ca="1" si="94"/>
        <v>125.610001</v>
      </c>
      <c r="O766" s="5">
        <f t="shared" si="95"/>
        <v>3.4153275741156897E-2</v>
      </c>
    </row>
    <row r="767" spans="1:15" s="2" customFormat="1" x14ac:dyDescent="0.5">
      <c r="A767" s="6">
        <v>41470</v>
      </c>
      <c r="B767" s="1">
        <v>133.029999</v>
      </c>
      <c r="C767" s="1">
        <v>133.259995</v>
      </c>
      <c r="D767" s="1">
        <v>126.82</v>
      </c>
      <c r="E767" s="1">
        <v>127.260002</v>
      </c>
      <c r="F767" s="1">
        <v>127.260002</v>
      </c>
      <c r="G767" s="2">
        <v>9922400</v>
      </c>
      <c r="H767" s="2">
        <f t="shared" si="88"/>
        <v>2013</v>
      </c>
      <c r="I767" s="2">
        <f t="shared" si="89"/>
        <v>7</v>
      </c>
      <c r="J767" s="2">
        <f t="shared" si="90"/>
        <v>15</v>
      </c>
      <c r="K767" s="2">
        <f t="shared" si="91"/>
        <v>2</v>
      </c>
      <c r="L767" s="2">
        <f t="shared" si="92"/>
        <v>8</v>
      </c>
      <c r="M767" s="3">
        <f t="shared" si="93"/>
        <v>129.89999399999999</v>
      </c>
      <c r="N767" s="1">
        <f t="shared" ca="1" si="94"/>
        <v>129.89999399999999</v>
      </c>
      <c r="O767" s="5">
        <f t="shared" si="95"/>
        <v>-2.0323264987987533E-2</v>
      </c>
    </row>
    <row r="768" spans="1:15" s="2" customFormat="1" x14ac:dyDescent="0.5">
      <c r="A768" s="6">
        <v>41471</v>
      </c>
      <c r="B768" s="1">
        <v>126.279999</v>
      </c>
      <c r="C768" s="1">
        <v>126.32</v>
      </c>
      <c r="D768" s="1">
        <v>107.300003</v>
      </c>
      <c r="E768" s="1">
        <v>109.050003</v>
      </c>
      <c r="F768" s="1">
        <v>109.050003</v>
      </c>
      <c r="G768" s="2">
        <v>32371900</v>
      </c>
      <c r="H768" s="2">
        <f t="shared" si="88"/>
        <v>2013</v>
      </c>
      <c r="I768" s="2">
        <f t="shared" si="89"/>
        <v>7</v>
      </c>
      <c r="J768" s="2">
        <f t="shared" si="90"/>
        <v>16</v>
      </c>
      <c r="K768" s="2">
        <f t="shared" si="91"/>
        <v>3</v>
      </c>
      <c r="L768" s="2">
        <f t="shared" si="92"/>
        <v>8</v>
      </c>
      <c r="M768" s="3">
        <f t="shared" si="93"/>
        <v>127.260002</v>
      </c>
      <c r="N768" s="1">
        <f t="shared" ca="1" si="94"/>
        <v>127.260002</v>
      </c>
      <c r="O768" s="5">
        <f t="shared" si="95"/>
        <v>-0.14309287060988729</v>
      </c>
    </row>
    <row r="769" spans="1:15" s="2" customFormat="1" x14ac:dyDescent="0.5">
      <c r="A769" s="6">
        <v>41472</v>
      </c>
      <c r="B769" s="1">
        <v>106.519997</v>
      </c>
      <c r="C769" s="1">
        <v>121.620003</v>
      </c>
      <c r="D769" s="1">
        <v>104.5</v>
      </c>
      <c r="E769" s="1">
        <v>120.25</v>
      </c>
      <c r="F769" s="1">
        <v>120.25</v>
      </c>
      <c r="G769" s="2">
        <v>26029000</v>
      </c>
      <c r="H769" s="2">
        <f t="shared" si="88"/>
        <v>2013</v>
      </c>
      <c r="I769" s="2">
        <f t="shared" si="89"/>
        <v>7</v>
      </c>
      <c r="J769" s="2">
        <f t="shared" si="90"/>
        <v>17</v>
      </c>
      <c r="K769" s="2">
        <f t="shared" si="91"/>
        <v>4</v>
      </c>
      <c r="L769" s="2">
        <f t="shared" si="92"/>
        <v>8</v>
      </c>
      <c r="M769" s="3">
        <f t="shared" si="93"/>
        <v>109.050003</v>
      </c>
      <c r="N769" s="1">
        <f t="shared" ca="1" si="94"/>
        <v>109.050003</v>
      </c>
      <c r="O769" s="5">
        <f t="shared" si="95"/>
        <v>0.10270515077381526</v>
      </c>
    </row>
    <row r="770" spans="1:15" s="2" customFormat="1" x14ac:dyDescent="0.5">
      <c r="A770" s="6">
        <v>41473</v>
      </c>
      <c r="B770" s="1">
        <v>120.970001</v>
      </c>
      <c r="C770" s="1">
        <v>122.730003</v>
      </c>
      <c r="D770" s="1">
        <v>116.18</v>
      </c>
      <c r="E770" s="1">
        <v>119.029999</v>
      </c>
      <c r="F770" s="1">
        <v>119.029999</v>
      </c>
      <c r="G770" s="2">
        <v>11398100</v>
      </c>
      <c r="H770" s="2">
        <f t="shared" ref="H770:H833" si="96">YEAR(A770)</f>
        <v>2013</v>
      </c>
      <c r="I770" s="2">
        <f t="shared" ref="I770:I833" si="97">MONTH(A770)</f>
        <v>7</v>
      </c>
      <c r="J770" s="2">
        <f t="shared" ref="J770:J833" si="98">DAY(A770)</f>
        <v>18</v>
      </c>
      <c r="K770" s="2">
        <f t="shared" ref="K770:K833" si="99">WEEKDAY(A770)</f>
        <v>5</v>
      </c>
      <c r="L770" s="2">
        <f t="shared" si="92"/>
        <v>8</v>
      </c>
      <c r="M770" s="3">
        <f t="shared" si="93"/>
        <v>120.25</v>
      </c>
      <c r="N770" s="1">
        <f t="shared" ca="1" si="94"/>
        <v>120.25</v>
      </c>
      <c r="O770" s="5">
        <f t="shared" si="95"/>
        <v>-1.0145538461538428E-2</v>
      </c>
    </row>
    <row r="771" spans="1:15" s="2" customFormat="1" x14ac:dyDescent="0.5">
      <c r="A771" s="6">
        <v>41474</v>
      </c>
      <c r="B771" s="1">
        <v>118.5</v>
      </c>
      <c r="C771" s="1">
        <v>120.550003</v>
      </c>
      <c r="D771" s="1">
        <v>116.510002</v>
      </c>
      <c r="E771" s="1">
        <v>119.68</v>
      </c>
      <c r="F771" s="1">
        <v>119.68</v>
      </c>
      <c r="G771" s="2">
        <v>5890300</v>
      </c>
      <c r="H771" s="2">
        <f t="shared" si="96"/>
        <v>2013</v>
      </c>
      <c r="I771" s="2">
        <f t="shared" si="97"/>
        <v>7</v>
      </c>
      <c r="J771" s="2">
        <f t="shared" si="98"/>
        <v>19</v>
      </c>
      <c r="K771" s="2">
        <f t="shared" si="99"/>
        <v>6</v>
      </c>
      <c r="L771" s="2">
        <f t="shared" ref="L771:L834" si="100">I771+1</f>
        <v>8</v>
      </c>
      <c r="M771" s="3">
        <f t="shared" ref="M771:M834" si="101">F770</f>
        <v>119.029999</v>
      </c>
      <c r="N771" s="1">
        <f t="shared" ref="N771:N834" ca="1" si="102">OFFSET(F771, -1, 0)</f>
        <v>119.029999</v>
      </c>
      <c r="O771" s="5">
        <f t="shared" ref="O771:O834" si="103">(F771/M771)-1</f>
        <v>5.4608166467347008E-3</v>
      </c>
    </row>
    <row r="772" spans="1:15" s="2" customFormat="1" x14ac:dyDescent="0.5">
      <c r="A772" s="6">
        <v>41477</v>
      </c>
      <c r="B772" s="1">
        <v>119.889999</v>
      </c>
      <c r="C772" s="1">
        <v>126.68</v>
      </c>
      <c r="D772" s="1">
        <v>119.879997</v>
      </c>
      <c r="E772" s="1">
        <v>122.43</v>
      </c>
      <c r="F772" s="1">
        <v>122.43</v>
      </c>
      <c r="G772" s="2">
        <v>9797800</v>
      </c>
      <c r="H772" s="2">
        <f t="shared" si="96"/>
        <v>2013</v>
      </c>
      <c r="I772" s="2">
        <f t="shared" si="97"/>
        <v>7</v>
      </c>
      <c r="J772" s="2">
        <f t="shared" si="98"/>
        <v>22</v>
      </c>
      <c r="K772" s="2">
        <f t="shared" si="99"/>
        <v>2</v>
      </c>
      <c r="L772" s="2">
        <f t="shared" si="100"/>
        <v>8</v>
      </c>
      <c r="M772" s="3">
        <f t="shared" si="101"/>
        <v>119.68</v>
      </c>
      <c r="N772" s="1">
        <f t="shared" ca="1" si="102"/>
        <v>119.68</v>
      </c>
      <c r="O772" s="5">
        <f t="shared" si="103"/>
        <v>2.2977941176470562E-2</v>
      </c>
    </row>
    <row r="773" spans="1:15" s="2" customFormat="1" x14ac:dyDescent="0.5">
      <c r="A773" s="6">
        <v>41478</v>
      </c>
      <c r="B773" s="1">
        <v>124</v>
      </c>
      <c r="C773" s="1">
        <v>125.55999799999999</v>
      </c>
      <c r="D773" s="1">
        <v>121.82</v>
      </c>
      <c r="E773" s="1">
        <v>122.739998</v>
      </c>
      <c r="F773" s="1">
        <v>122.739998</v>
      </c>
      <c r="G773" s="2">
        <v>7736400</v>
      </c>
      <c r="H773" s="2">
        <f t="shared" si="96"/>
        <v>2013</v>
      </c>
      <c r="I773" s="2">
        <f t="shared" si="97"/>
        <v>7</v>
      </c>
      <c r="J773" s="2">
        <f t="shared" si="98"/>
        <v>23</v>
      </c>
      <c r="K773" s="2">
        <f t="shared" si="99"/>
        <v>3</v>
      </c>
      <c r="L773" s="2">
        <f t="shared" si="100"/>
        <v>8</v>
      </c>
      <c r="M773" s="3">
        <f t="shared" si="101"/>
        <v>122.43</v>
      </c>
      <c r="N773" s="1">
        <f t="shared" ca="1" si="102"/>
        <v>122.43</v>
      </c>
      <c r="O773" s="5">
        <f t="shared" si="103"/>
        <v>2.5320427999673267E-3</v>
      </c>
    </row>
    <row r="774" spans="1:15" s="2" customFormat="1" x14ac:dyDescent="0.5">
      <c r="A774" s="6">
        <v>41479</v>
      </c>
      <c r="B774" s="1">
        <v>124.470001</v>
      </c>
      <c r="C774" s="1">
        <v>124.5</v>
      </c>
      <c r="D774" s="1">
        <v>119.55999799999999</v>
      </c>
      <c r="E774" s="1">
        <v>121.699997</v>
      </c>
      <c r="F774" s="1">
        <v>121.699997</v>
      </c>
      <c r="G774" s="2">
        <v>6869000</v>
      </c>
      <c r="H774" s="2">
        <f t="shared" si="96"/>
        <v>2013</v>
      </c>
      <c r="I774" s="2">
        <f t="shared" si="97"/>
        <v>7</v>
      </c>
      <c r="J774" s="2">
        <f t="shared" si="98"/>
        <v>24</v>
      </c>
      <c r="K774" s="2">
        <f t="shared" si="99"/>
        <v>4</v>
      </c>
      <c r="L774" s="2">
        <f t="shared" si="100"/>
        <v>8</v>
      </c>
      <c r="M774" s="3">
        <f t="shared" si="101"/>
        <v>122.739998</v>
      </c>
      <c r="N774" s="1">
        <f t="shared" ca="1" si="102"/>
        <v>122.739998</v>
      </c>
      <c r="O774" s="5">
        <f t="shared" si="103"/>
        <v>-8.4732036577025438E-3</v>
      </c>
    </row>
    <row r="775" spans="1:15" s="2" customFormat="1" x14ac:dyDescent="0.5">
      <c r="A775" s="6">
        <v>41480</v>
      </c>
      <c r="B775" s="1">
        <v>120.400002</v>
      </c>
      <c r="C775" s="1">
        <v>124.75</v>
      </c>
      <c r="D775" s="1">
        <v>120.19000200000001</v>
      </c>
      <c r="E775" s="1">
        <v>124.07</v>
      </c>
      <c r="F775" s="1">
        <v>124.07</v>
      </c>
      <c r="G775" s="2">
        <v>5284300</v>
      </c>
      <c r="H775" s="2">
        <f t="shared" si="96"/>
        <v>2013</v>
      </c>
      <c r="I775" s="2">
        <f t="shared" si="97"/>
        <v>7</v>
      </c>
      <c r="J775" s="2">
        <f t="shared" si="98"/>
        <v>25</v>
      </c>
      <c r="K775" s="2">
        <f t="shared" si="99"/>
        <v>5</v>
      </c>
      <c r="L775" s="2">
        <f t="shared" si="100"/>
        <v>8</v>
      </c>
      <c r="M775" s="3">
        <f t="shared" si="101"/>
        <v>121.699997</v>
      </c>
      <c r="N775" s="1">
        <f t="shared" ca="1" si="102"/>
        <v>121.699997</v>
      </c>
      <c r="O775" s="5">
        <f t="shared" si="103"/>
        <v>1.9474141811195E-2</v>
      </c>
    </row>
    <row r="776" spans="1:15" s="2" customFormat="1" x14ac:dyDescent="0.5">
      <c r="A776" s="6">
        <v>41481</v>
      </c>
      <c r="B776" s="1">
        <v>128.13999899999999</v>
      </c>
      <c r="C776" s="1">
        <v>130.679993</v>
      </c>
      <c r="D776" s="1">
        <v>126.610001</v>
      </c>
      <c r="E776" s="1">
        <v>129.38999899999999</v>
      </c>
      <c r="F776" s="1">
        <v>129.38999899999999</v>
      </c>
      <c r="G776" s="2">
        <v>9633100</v>
      </c>
      <c r="H776" s="2">
        <f t="shared" si="96"/>
        <v>2013</v>
      </c>
      <c r="I776" s="2">
        <f t="shared" si="97"/>
        <v>7</v>
      </c>
      <c r="J776" s="2">
        <f t="shared" si="98"/>
        <v>26</v>
      </c>
      <c r="K776" s="2">
        <f t="shared" si="99"/>
        <v>6</v>
      </c>
      <c r="L776" s="2">
        <f t="shared" si="100"/>
        <v>8</v>
      </c>
      <c r="M776" s="3">
        <f t="shared" si="101"/>
        <v>124.07</v>
      </c>
      <c r="N776" s="1">
        <f t="shared" ca="1" si="102"/>
        <v>124.07</v>
      </c>
      <c r="O776" s="5">
        <f t="shared" si="103"/>
        <v>4.2879011848150128E-2</v>
      </c>
    </row>
    <row r="777" spans="1:15" s="2" customFormat="1" x14ac:dyDescent="0.5">
      <c r="A777" s="6">
        <v>41484</v>
      </c>
      <c r="B777" s="1">
        <v>129.320007</v>
      </c>
      <c r="C777" s="1">
        <v>135.36999499999999</v>
      </c>
      <c r="D777" s="1">
        <v>128.25</v>
      </c>
      <c r="E777" s="1">
        <v>134.61999499999999</v>
      </c>
      <c r="F777" s="1">
        <v>134.61999499999999</v>
      </c>
      <c r="G777" s="2">
        <v>9678900</v>
      </c>
      <c r="H777" s="2">
        <f t="shared" si="96"/>
        <v>2013</v>
      </c>
      <c r="I777" s="2">
        <f t="shared" si="97"/>
        <v>7</v>
      </c>
      <c r="J777" s="2">
        <f t="shared" si="98"/>
        <v>29</v>
      </c>
      <c r="K777" s="2">
        <f t="shared" si="99"/>
        <v>2</v>
      </c>
      <c r="L777" s="2">
        <f t="shared" si="100"/>
        <v>8</v>
      </c>
      <c r="M777" s="3">
        <f t="shared" si="101"/>
        <v>129.38999899999999</v>
      </c>
      <c r="N777" s="1">
        <f t="shared" ca="1" si="102"/>
        <v>129.38999899999999</v>
      </c>
      <c r="O777" s="5">
        <f t="shared" si="103"/>
        <v>4.042040374387823E-2</v>
      </c>
    </row>
    <row r="778" spans="1:15" s="2" customFormat="1" x14ac:dyDescent="0.5">
      <c r="A778" s="6">
        <v>41485</v>
      </c>
      <c r="B778" s="1">
        <v>134.800003</v>
      </c>
      <c r="C778" s="1">
        <v>137.490005</v>
      </c>
      <c r="D778" s="1">
        <v>128.179993</v>
      </c>
      <c r="E778" s="1">
        <v>131.740005</v>
      </c>
      <c r="F778" s="1">
        <v>131.740005</v>
      </c>
      <c r="G778" s="2">
        <v>13127000</v>
      </c>
      <c r="H778" s="2">
        <f t="shared" si="96"/>
        <v>2013</v>
      </c>
      <c r="I778" s="2">
        <f t="shared" si="97"/>
        <v>7</v>
      </c>
      <c r="J778" s="2">
        <f t="shared" si="98"/>
        <v>30</v>
      </c>
      <c r="K778" s="2">
        <f t="shared" si="99"/>
        <v>3</v>
      </c>
      <c r="L778" s="2">
        <f t="shared" si="100"/>
        <v>8</v>
      </c>
      <c r="M778" s="3">
        <f t="shared" si="101"/>
        <v>134.61999499999999</v>
      </c>
      <c r="N778" s="1">
        <f t="shared" ca="1" si="102"/>
        <v>134.61999499999999</v>
      </c>
      <c r="O778" s="5">
        <f t="shared" si="103"/>
        <v>-2.139347873248687E-2</v>
      </c>
    </row>
    <row r="779" spans="1:15" s="2" customFormat="1" x14ac:dyDescent="0.5">
      <c r="A779" s="6">
        <v>41486</v>
      </c>
      <c r="B779" s="1">
        <v>132.570007</v>
      </c>
      <c r="C779" s="1">
        <v>134.970001</v>
      </c>
      <c r="D779" s="1">
        <v>131.449997</v>
      </c>
      <c r="E779" s="1">
        <v>134.279999</v>
      </c>
      <c r="F779" s="1">
        <v>134.279999</v>
      </c>
      <c r="G779" s="2">
        <v>6351700</v>
      </c>
      <c r="H779" s="2">
        <f t="shared" si="96"/>
        <v>2013</v>
      </c>
      <c r="I779" s="2">
        <f t="shared" si="97"/>
        <v>7</v>
      </c>
      <c r="J779" s="2">
        <f t="shared" si="98"/>
        <v>31</v>
      </c>
      <c r="K779" s="2">
        <f t="shared" si="99"/>
        <v>4</v>
      </c>
      <c r="L779" s="2">
        <f t="shared" si="100"/>
        <v>8</v>
      </c>
      <c r="M779" s="3">
        <f t="shared" si="101"/>
        <v>131.740005</v>
      </c>
      <c r="N779" s="1">
        <f t="shared" ca="1" si="102"/>
        <v>131.740005</v>
      </c>
      <c r="O779" s="5">
        <f t="shared" si="103"/>
        <v>1.9280354513422138E-2</v>
      </c>
    </row>
    <row r="780" spans="1:15" s="2" customFormat="1" x14ac:dyDescent="0.5">
      <c r="A780" s="6">
        <v>41487</v>
      </c>
      <c r="B780" s="1">
        <v>135</v>
      </c>
      <c r="C780" s="1">
        <v>136.520004</v>
      </c>
      <c r="D780" s="1">
        <v>132.63000500000001</v>
      </c>
      <c r="E780" s="1">
        <v>135.550003</v>
      </c>
      <c r="F780" s="1">
        <v>135.550003</v>
      </c>
      <c r="G780" s="2">
        <v>5323600</v>
      </c>
      <c r="H780" s="2">
        <f t="shared" si="96"/>
        <v>2013</v>
      </c>
      <c r="I780" s="2">
        <f t="shared" si="97"/>
        <v>8</v>
      </c>
      <c r="J780" s="2">
        <f t="shared" si="98"/>
        <v>1</v>
      </c>
      <c r="K780" s="2">
        <f t="shared" si="99"/>
        <v>5</v>
      </c>
      <c r="L780" s="2">
        <f t="shared" si="100"/>
        <v>9</v>
      </c>
      <c r="M780" s="3">
        <f t="shared" si="101"/>
        <v>134.279999</v>
      </c>
      <c r="N780" s="1">
        <f t="shared" ca="1" si="102"/>
        <v>134.279999</v>
      </c>
      <c r="O780" s="5">
        <f t="shared" si="103"/>
        <v>9.4578791291173303E-3</v>
      </c>
    </row>
    <row r="781" spans="1:15" s="2" customFormat="1" x14ac:dyDescent="0.5">
      <c r="A781" s="6">
        <v>41488</v>
      </c>
      <c r="B781" s="1">
        <v>134.58999600000001</v>
      </c>
      <c r="C781" s="1">
        <v>138.25</v>
      </c>
      <c r="D781" s="1">
        <v>133.61000100000001</v>
      </c>
      <c r="E781" s="1">
        <v>138</v>
      </c>
      <c r="F781" s="1">
        <v>138</v>
      </c>
      <c r="G781" s="2">
        <v>6269900</v>
      </c>
      <c r="H781" s="2">
        <f t="shared" si="96"/>
        <v>2013</v>
      </c>
      <c r="I781" s="2">
        <f t="shared" si="97"/>
        <v>8</v>
      </c>
      <c r="J781" s="2">
        <f t="shared" si="98"/>
        <v>2</v>
      </c>
      <c r="K781" s="2">
        <f t="shared" si="99"/>
        <v>6</v>
      </c>
      <c r="L781" s="2">
        <f t="shared" si="100"/>
        <v>9</v>
      </c>
      <c r="M781" s="3">
        <f t="shared" si="101"/>
        <v>135.550003</v>
      </c>
      <c r="N781" s="1">
        <f t="shared" ca="1" si="102"/>
        <v>135.550003</v>
      </c>
      <c r="O781" s="5">
        <f t="shared" si="103"/>
        <v>1.8074488718380799E-2</v>
      </c>
    </row>
    <row r="782" spans="1:15" s="2" customFormat="1" x14ac:dyDescent="0.5">
      <c r="A782" s="6">
        <v>41491</v>
      </c>
      <c r="B782" s="1">
        <v>140.009995</v>
      </c>
      <c r="C782" s="1">
        <v>144.88999899999999</v>
      </c>
      <c r="D782" s="1">
        <v>139.64999399999999</v>
      </c>
      <c r="E782" s="1">
        <v>144.679993</v>
      </c>
      <c r="F782" s="1">
        <v>144.679993</v>
      </c>
      <c r="G782" s="2">
        <v>10200700</v>
      </c>
      <c r="H782" s="2">
        <f t="shared" si="96"/>
        <v>2013</v>
      </c>
      <c r="I782" s="2">
        <f t="shared" si="97"/>
        <v>8</v>
      </c>
      <c r="J782" s="2">
        <f t="shared" si="98"/>
        <v>5</v>
      </c>
      <c r="K782" s="2">
        <f t="shared" si="99"/>
        <v>2</v>
      </c>
      <c r="L782" s="2">
        <f t="shared" si="100"/>
        <v>9</v>
      </c>
      <c r="M782" s="3">
        <f t="shared" si="101"/>
        <v>138</v>
      </c>
      <c r="N782" s="1">
        <f t="shared" ca="1" si="102"/>
        <v>138</v>
      </c>
      <c r="O782" s="5">
        <f t="shared" si="103"/>
        <v>4.8405746376811498E-2</v>
      </c>
    </row>
    <row r="783" spans="1:15" s="2" customFormat="1" x14ac:dyDescent="0.5">
      <c r="A783" s="6">
        <v>41492</v>
      </c>
      <c r="B783" s="1">
        <v>144.75</v>
      </c>
      <c r="C783" s="1">
        <v>145.729996</v>
      </c>
      <c r="D783" s="1">
        <v>141.10000600000001</v>
      </c>
      <c r="E783" s="1">
        <v>142.14999399999999</v>
      </c>
      <c r="F783" s="1">
        <v>142.14999399999999</v>
      </c>
      <c r="G783" s="2">
        <v>9254500</v>
      </c>
      <c r="H783" s="2">
        <f t="shared" si="96"/>
        <v>2013</v>
      </c>
      <c r="I783" s="2">
        <f t="shared" si="97"/>
        <v>8</v>
      </c>
      <c r="J783" s="2">
        <f t="shared" si="98"/>
        <v>6</v>
      </c>
      <c r="K783" s="2">
        <f t="shared" si="99"/>
        <v>3</v>
      </c>
      <c r="L783" s="2">
        <f t="shared" si="100"/>
        <v>9</v>
      </c>
      <c r="M783" s="3">
        <f t="shared" si="101"/>
        <v>144.679993</v>
      </c>
      <c r="N783" s="1">
        <f t="shared" ca="1" si="102"/>
        <v>144.679993</v>
      </c>
      <c r="O783" s="5">
        <f t="shared" si="103"/>
        <v>-1.7486861504064422E-2</v>
      </c>
    </row>
    <row r="784" spans="1:15" s="2" customFormat="1" x14ac:dyDescent="0.5">
      <c r="A784" s="6">
        <v>41493</v>
      </c>
      <c r="B784" s="1">
        <v>141.88999899999999</v>
      </c>
      <c r="C784" s="1">
        <v>141.949997</v>
      </c>
      <c r="D784" s="1">
        <v>132.36000100000001</v>
      </c>
      <c r="E784" s="1">
        <v>134.229996</v>
      </c>
      <c r="F784" s="1">
        <v>134.229996</v>
      </c>
      <c r="G784" s="2">
        <v>18212200</v>
      </c>
      <c r="H784" s="2">
        <f t="shared" si="96"/>
        <v>2013</v>
      </c>
      <c r="I784" s="2">
        <f t="shared" si="97"/>
        <v>8</v>
      </c>
      <c r="J784" s="2">
        <f t="shared" si="98"/>
        <v>7</v>
      </c>
      <c r="K784" s="2">
        <f t="shared" si="99"/>
        <v>4</v>
      </c>
      <c r="L784" s="2">
        <f t="shared" si="100"/>
        <v>9</v>
      </c>
      <c r="M784" s="3">
        <f t="shared" si="101"/>
        <v>142.14999399999999</v>
      </c>
      <c r="N784" s="1">
        <f t="shared" ca="1" si="102"/>
        <v>142.14999399999999</v>
      </c>
      <c r="O784" s="5">
        <f t="shared" si="103"/>
        <v>-5.5715781458281266E-2</v>
      </c>
    </row>
    <row r="785" spans="1:15" s="2" customFormat="1" x14ac:dyDescent="0.5">
      <c r="A785" s="6">
        <v>41494</v>
      </c>
      <c r="B785" s="1">
        <v>154.35000600000001</v>
      </c>
      <c r="C785" s="1">
        <v>158.88000500000001</v>
      </c>
      <c r="D785" s="1">
        <v>150.46000699999999</v>
      </c>
      <c r="E785" s="1">
        <v>153.479996</v>
      </c>
      <c r="F785" s="1">
        <v>153.479996</v>
      </c>
      <c r="G785" s="2">
        <v>27246800</v>
      </c>
      <c r="H785" s="2">
        <f t="shared" si="96"/>
        <v>2013</v>
      </c>
      <c r="I785" s="2">
        <f t="shared" si="97"/>
        <v>8</v>
      </c>
      <c r="J785" s="2">
        <f t="shared" si="98"/>
        <v>8</v>
      </c>
      <c r="K785" s="2">
        <f t="shared" si="99"/>
        <v>5</v>
      </c>
      <c r="L785" s="2">
        <f t="shared" si="100"/>
        <v>9</v>
      </c>
      <c r="M785" s="3">
        <f t="shared" si="101"/>
        <v>134.229996</v>
      </c>
      <c r="N785" s="1">
        <f t="shared" ca="1" si="102"/>
        <v>134.229996</v>
      </c>
      <c r="O785" s="5">
        <f t="shared" si="103"/>
        <v>0.14341056823096388</v>
      </c>
    </row>
    <row r="786" spans="1:15" s="2" customFormat="1" x14ac:dyDescent="0.5">
      <c r="A786" s="6">
        <v>41495</v>
      </c>
      <c r="B786" s="1">
        <v>152.39999399999999</v>
      </c>
      <c r="C786" s="1">
        <v>155.949997</v>
      </c>
      <c r="D786" s="1">
        <v>151.25</v>
      </c>
      <c r="E786" s="1">
        <v>153</v>
      </c>
      <c r="F786" s="1">
        <v>153</v>
      </c>
      <c r="G786" s="2">
        <v>8927700</v>
      </c>
      <c r="H786" s="2">
        <f t="shared" si="96"/>
        <v>2013</v>
      </c>
      <c r="I786" s="2">
        <f t="shared" si="97"/>
        <v>8</v>
      </c>
      <c r="J786" s="2">
        <f t="shared" si="98"/>
        <v>9</v>
      </c>
      <c r="K786" s="2">
        <f t="shared" si="99"/>
        <v>6</v>
      </c>
      <c r="L786" s="2">
        <f t="shared" si="100"/>
        <v>9</v>
      </c>
      <c r="M786" s="3">
        <f t="shared" si="101"/>
        <v>153.479996</v>
      </c>
      <c r="N786" s="1">
        <f t="shared" ca="1" si="102"/>
        <v>153.479996</v>
      </c>
      <c r="O786" s="5">
        <f t="shared" si="103"/>
        <v>-3.1274173345691159E-3</v>
      </c>
    </row>
    <row r="787" spans="1:15" s="2" customFormat="1" x14ac:dyDescent="0.5">
      <c r="A787" s="6">
        <v>41498</v>
      </c>
      <c r="B787" s="1">
        <v>149.429993</v>
      </c>
      <c r="C787" s="1">
        <v>150.5</v>
      </c>
      <c r="D787" s="1">
        <v>142.050003</v>
      </c>
      <c r="E787" s="1">
        <v>147.38000500000001</v>
      </c>
      <c r="F787" s="1">
        <v>147.38000500000001</v>
      </c>
      <c r="G787" s="2">
        <v>14912200</v>
      </c>
      <c r="H787" s="2">
        <f t="shared" si="96"/>
        <v>2013</v>
      </c>
      <c r="I787" s="2">
        <f t="shared" si="97"/>
        <v>8</v>
      </c>
      <c r="J787" s="2">
        <f t="shared" si="98"/>
        <v>12</v>
      </c>
      <c r="K787" s="2">
        <f t="shared" si="99"/>
        <v>2</v>
      </c>
      <c r="L787" s="2">
        <f t="shared" si="100"/>
        <v>9</v>
      </c>
      <c r="M787" s="3">
        <f t="shared" si="101"/>
        <v>153</v>
      </c>
      <c r="N787" s="1">
        <f t="shared" ca="1" si="102"/>
        <v>153</v>
      </c>
      <c r="O787" s="5">
        <f t="shared" si="103"/>
        <v>-3.6731993464052204E-2</v>
      </c>
    </row>
    <row r="788" spans="1:15" s="2" customFormat="1" x14ac:dyDescent="0.5">
      <c r="A788" s="6">
        <v>41499</v>
      </c>
      <c r="B788" s="1">
        <v>149.5</v>
      </c>
      <c r="C788" s="1">
        <v>149.83999600000001</v>
      </c>
      <c r="D788" s="1">
        <v>144.449997</v>
      </c>
      <c r="E788" s="1">
        <v>145.429993</v>
      </c>
      <c r="F788" s="1">
        <v>145.429993</v>
      </c>
      <c r="G788" s="2">
        <v>8748900</v>
      </c>
      <c r="H788" s="2">
        <f t="shared" si="96"/>
        <v>2013</v>
      </c>
      <c r="I788" s="2">
        <f t="shared" si="97"/>
        <v>8</v>
      </c>
      <c r="J788" s="2">
        <f t="shared" si="98"/>
        <v>13</v>
      </c>
      <c r="K788" s="2">
        <f t="shared" si="99"/>
        <v>3</v>
      </c>
      <c r="L788" s="2">
        <f t="shared" si="100"/>
        <v>9</v>
      </c>
      <c r="M788" s="3">
        <f t="shared" si="101"/>
        <v>147.38000500000001</v>
      </c>
      <c r="N788" s="1">
        <f t="shared" ca="1" si="102"/>
        <v>147.38000500000001</v>
      </c>
      <c r="O788" s="5">
        <f t="shared" si="103"/>
        <v>-1.323118424375147E-2</v>
      </c>
    </row>
    <row r="789" spans="1:15" s="2" customFormat="1" x14ac:dyDescent="0.5">
      <c r="A789" s="6">
        <v>41500</v>
      </c>
      <c r="B789" s="1">
        <v>142.720001</v>
      </c>
      <c r="C789" s="1">
        <v>144.83999600000001</v>
      </c>
      <c r="D789" s="1">
        <v>138.050003</v>
      </c>
      <c r="E789" s="1">
        <v>139.36000100000001</v>
      </c>
      <c r="F789" s="1">
        <v>139.36000100000001</v>
      </c>
      <c r="G789" s="2">
        <v>11693800</v>
      </c>
      <c r="H789" s="2">
        <f t="shared" si="96"/>
        <v>2013</v>
      </c>
      <c r="I789" s="2">
        <f t="shared" si="97"/>
        <v>8</v>
      </c>
      <c r="J789" s="2">
        <f t="shared" si="98"/>
        <v>14</v>
      </c>
      <c r="K789" s="2">
        <f t="shared" si="99"/>
        <v>4</v>
      </c>
      <c r="L789" s="2">
        <f t="shared" si="100"/>
        <v>9</v>
      </c>
      <c r="M789" s="3">
        <f t="shared" si="101"/>
        <v>145.429993</v>
      </c>
      <c r="N789" s="1">
        <f t="shared" ca="1" si="102"/>
        <v>145.429993</v>
      </c>
      <c r="O789" s="5">
        <f t="shared" si="103"/>
        <v>-4.1738240336709587E-2</v>
      </c>
    </row>
    <row r="790" spans="1:15" s="2" customFormat="1" x14ac:dyDescent="0.5">
      <c r="A790" s="6">
        <v>41501</v>
      </c>
      <c r="B790" s="1">
        <v>136.429993</v>
      </c>
      <c r="C790" s="1">
        <v>143.60000600000001</v>
      </c>
      <c r="D790" s="1">
        <v>135</v>
      </c>
      <c r="E790" s="1">
        <v>139.66999799999999</v>
      </c>
      <c r="F790" s="1">
        <v>139.66999799999999</v>
      </c>
      <c r="G790" s="2">
        <v>10179200</v>
      </c>
      <c r="H790" s="2">
        <f t="shared" si="96"/>
        <v>2013</v>
      </c>
      <c r="I790" s="2">
        <f t="shared" si="97"/>
        <v>8</v>
      </c>
      <c r="J790" s="2">
        <f t="shared" si="98"/>
        <v>15</v>
      </c>
      <c r="K790" s="2">
        <f t="shared" si="99"/>
        <v>5</v>
      </c>
      <c r="L790" s="2">
        <f t="shared" si="100"/>
        <v>9</v>
      </c>
      <c r="M790" s="3">
        <f t="shared" si="101"/>
        <v>139.36000100000001</v>
      </c>
      <c r="N790" s="1">
        <f t="shared" ca="1" si="102"/>
        <v>139.36000100000001</v>
      </c>
      <c r="O790" s="5">
        <f t="shared" si="103"/>
        <v>2.2244331068854706E-3</v>
      </c>
    </row>
    <row r="791" spans="1:15" s="2" customFormat="1" x14ac:dyDescent="0.5">
      <c r="A791" s="6">
        <v>41502</v>
      </c>
      <c r="B791" s="1">
        <v>141.63000500000001</v>
      </c>
      <c r="C791" s="1">
        <v>143.91000399999999</v>
      </c>
      <c r="D791" s="1">
        <v>140.970001</v>
      </c>
      <c r="E791" s="1">
        <v>142</v>
      </c>
      <c r="F791" s="1">
        <v>142</v>
      </c>
      <c r="G791" s="2">
        <v>7108100</v>
      </c>
      <c r="H791" s="2">
        <f t="shared" si="96"/>
        <v>2013</v>
      </c>
      <c r="I791" s="2">
        <f t="shared" si="97"/>
        <v>8</v>
      </c>
      <c r="J791" s="2">
        <f t="shared" si="98"/>
        <v>16</v>
      </c>
      <c r="K791" s="2">
        <f t="shared" si="99"/>
        <v>6</v>
      </c>
      <c r="L791" s="2">
        <f t="shared" si="100"/>
        <v>9</v>
      </c>
      <c r="M791" s="3">
        <f t="shared" si="101"/>
        <v>139.66999799999999</v>
      </c>
      <c r="N791" s="1">
        <f t="shared" ca="1" si="102"/>
        <v>139.66999799999999</v>
      </c>
      <c r="O791" s="5">
        <f t="shared" si="103"/>
        <v>1.6682193981272908E-2</v>
      </c>
    </row>
    <row r="792" spans="1:15" s="2" customFormat="1" x14ac:dyDescent="0.5">
      <c r="A792" s="6">
        <v>41505</v>
      </c>
      <c r="B792" s="1">
        <v>143.429993</v>
      </c>
      <c r="C792" s="1">
        <v>147.38000500000001</v>
      </c>
      <c r="D792" s="1">
        <v>142.83000200000001</v>
      </c>
      <c r="E792" s="1">
        <v>144.89999399999999</v>
      </c>
      <c r="F792" s="1">
        <v>144.89999399999999</v>
      </c>
      <c r="G792" s="2">
        <v>8037700</v>
      </c>
      <c r="H792" s="2">
        <f t="shared" si="96"/>
        <v>2013</v>
      </c>
      <c r="I792" s="2">
        <f t="shared" si="97"/>
        <v>8</v>
      </c>
      <c r="J792" s="2">
        <f t="shared" si="98"/>
        <v>19</v>
      </c>
      <c r="K792" s="2">
        <f t="shared" si="99"/>
        <v>2</v>
      </c>
      <c r="L792" s="2">
        <f t="shared" si="100"/>
        <v>9</v>
      </c>
      <c r="M792" s="3">
        <f t="shared" si="101"/>
        <v>142</v>
      </c>
      <c r="N792" s="1">
        <f t="shared" ca="1" si="102"/>
        <v>142</v>
      </c>
      <c r="O792" s="5">
        <f t="shared" si="103"/>
        <v>2.0422492957746341E-2</v>
      </c>
    </row>
    <row r="793" spans="1:15" s="2" customFormat="1" x14ac:dyDescent="0.5">
      <c r="A793" s="6">
        <v>41506</v>
      </c>
      <c r="B793" s="1">
        <v>148.64999399999999</v>
      </c>
      <c r="C793" s="1">
        <v>149.779999</v>
      </c>
      <c r="D793" s="1">
        <v>147</v>
      </c>
      <c r="E793" s="1">
        <v>149.58000200000001</v>
      </c>
      <c r="F793" s="1">
        <v>149.58000200000001</v>
      </c>
      <c r="G793" s="2">
        <v>6418200</v>
      </c>
      <c r="H793" s="2">
        <f t="shared" si="96"/>
        <v>2013</v>
      </c>
      <c r="I793" s="2">
        <f t="shared" si="97"/>
        <v>8</v>
      </c>
      <c r="J793" s="2">
        <f t="shared" si="98"/>
        <v>20</v>
      </c>
      <c r="K793" s="2">
        <f t="shared" si="99"/>
        <v>3</v>
      </c>
      <c r="L793" s="2">
        <f t="shared" si="100"/>
        <v>9</v>
      </c>
      <c r="M793" s="3">
        <f t="shared" si="101"/>
        <v>144.89999399999999</v>
      </c>
      <c r="N793" s="1">
        <f t="shared" ca="1" si="102"/>
        <v>144.89999399999999</v>
      </c>
      <c r="O793" s="5">
        <f t="shared" si="103"/>
        <v>3.2298193193852187E-2</v>
      </c>
    </row>
    <row r="794" spans="1:15" s="2" customFormat="1" x14ac:dyDescent="0.5">
      <c r="A794" s="6">
        <v>41507</v>
      </c>
      <c r="B794" s="1">
        <v>150</v>
      </c>
      <c r="C794" s="1">
        <v>150.30999800000001</v>
      </c>
      <c r="D794" s="1">
        <v>146.25</v>
      </c>
      <c r="E794" s="1">
        <v>147.86000100000001</v>
      </c>
      <c r="F794" s="1">
        <v>147.86000100000001</v>
      </c>
      <c r="G794" s="2">
        <v>6266300</v>
      </c>
      <c r="H794" s="2">
        <f t="shared" si="96"/>
        <v>2013</v>
      </c>
      <c r="I794" s="2">
        <f t="shared" si="97"/>
        <v>8</v>
      </c>
      <c r="J794" s="2">
        <f t="shared" si="98"/>
        <v>21</v>
      </c>
      <c r="K794" s="2">
        <f t="shared" si="99"/>
        <v>4</v>
      </c>
      <c r="L794" s="2">
        <f t="shared" si="100"/>
        <v>9</v>
      </c>
      <c r="M794" s="3">
        <f t="shared" si="101"/>
        <v>149.58000200000001</v>
      </c>
      <c r="N794" s="1">
        <f t="shared" ca="1" si="102"/>
        <v>149.58000200000001</v>
      </c>
      <c r="O794" s="5">
        <f t="shared" si="103"/>
        <v>-1.1498870016059981E-2</v>
      </c>
    </row>
    <row r="795" spans="1:15" s="2" customFormat="1" x14ac:dyDescent="0.5">
      <c r="A795" s="6">
        <v>41508</v>
      </c>
      <c r="B795" s="1">
        <v>149.220001</v>
      </c>
      <c r="C795" s="1">
        <v>157.479996</v>
      </c>
      <c r="D795" s="1">
        <v>148.13999899999999</v>
      </c>
      <c r="E795" s="1">
        <v>157.10000600000001</v>
      </c>
      <c r="F795" s="1">
        <v>157.10000600000001</v>
      </c>
      <c r="G795" s="2">
        <v>10592400</v>
      </c>
      <c r="H795" s="2">
        <f t="shared" si="96"/>
        <v>2013</v>
      </c>
      <c r="I795" s="2">
        <f t="shared" si="97"/>
        <v>8</v>
      </c>
      <c r="J795" s="2">
        <f t="shared" si="98"/>
        <v>22</v>
      </c>
      <c r="K795" s="2">
        <f t="shared" si="99"/>
        <v>5</v>
      </c>
      <c r="L795" s="2">
        <f t="shared" si="100"/>
        <v>9</v>
      </c>
      <c r="M795" s="3">
        <f t="shared" si="101"/>
        <v>147.86000100000001</v>
      </c>
      <c r="N795" s="1">
        <f t="shared" ca="1" si="102"/>
        <v>147.86000100000001</v>
      </c>
      <c r="O795" s="5">
        <f t="shared" si="103"/>
        <v>6.2491579450212553E-2</v>
      </c>
    </row>
    <row r="796" spans="1:15" s="2" customFormat="1" x14ac:dyDescent="0.5">
      <c r="A796" s="6">
        <v>41509</v>
      </c>
      <c r="B796" s="1">
        <v>157</v>
      </c>
      <c r="C796" s="1">
        <v>162.300003</v>
      </c>
      <c r="D796" s="1">
        <v>155</v>
      </c>
      <c r="E796" s="1">
        <v>161.83999600000001</v>
      </c>
      <c r="F796" s="1">
        <v>161.83999600000001</v>
      </c>
      <c r="G796" s="2">
        <v>12931900</v>
      </c>
      <c r="H796" s="2">
        <f t="shared" si="96"/>
        <v>2013</v>
      </c>
      <c r="I796" s="2">
        <f t="shared" si="97"/>
        <v>8</v>
      </c>
      <c r="J796" s="2">
        <f t="shared" si="98"/>
        <v>23</v>
      </c>
      <c r="K796" s="2">
        <f t="shared" si="99"/>
        <v>6</v>
      </c>
      <c r="L796" s="2">
        <f t="shared" si="100"/>
        <v>9</v>
      </c>
      <c r="M796" s="3">
        <f t="shared" si="101"/>
        <v>157.10000600000001</v>
      </c>
      <c r="N796" s="1">
        <f t="shared" ca="1" si="102"/>
        <v>157.10000600000001</v>
      </c>
      <c r="O796" s="5">
        <f t="shared" si="103"/>
        <v>3.0171800248053549E-2</v>
      </c>
    </row>
    <row r="797" spans="1:15" s="2" customFormat="1" x14ac:dyDescent="0.5">
      <c r="A797" s="6">
        <v>41512</v>
      </c>
      <c r="B797" s="1">
        <v>165.14999399999999</v>
      </c>
      <c r="C797" s="1">
        <v>173</v>
      </c>
      <c r="D797" s="1">
        <v>160.25</v>
      </c>
      <c r="E797" s="1">
        <v>164.220001</v>
      </c>
      <c r="F797" s="1">
        <v>164.220001</v>
      </c>
      <c r="G797" s="2">
        <v>24171100</v>
      </c>
      <c r="H797" s="2">
        <f t="shared" si="96"/>
        <v>2013</v>
      </c>
      <c r="I797" s="2">
        <f t="shared" si="97"/>
        <v>8</v>
      </c>
      <c r="J797" s="2">
        <f t="shared" si="98"/>
        <v>26</v>
      </c>
      <c r="K797" s="2">
        <f t="shared" si="99"/>
        <v>2</v>
      </c>
      <c r="L797" s="2">
        <f t="shared" si="100"/>
        <v>9</v>
      </c>
      <c r="M797" s="3">
        <f t="shared" si="101"/>
        <v>161.83999600000001</v>
      </c>
      <c r="N797" s="1">
        <f t="shared" ca="1" si="102"/>
        <v>161.83999600000001</v>
      </c>
      <c r="O797" s="5">
        <f t="shared" si="103"/>
        <v>1.4705913611119836E-2</v>
      </c>
    </row>
    <row r="798" spans="1:15" s="2" customFormat="1" x14ac:dyDescent="0.5">
      <c r="A798" s="6">
        <v>41513</v>
      </c>
      <c r="B798" s="1">
        <v>162.300003</v>
      </c>
      <c r="C798" s="1">
        <v>168.800003</v>
      </c>
      <c r="D798" s="1">
        <v>160.949997</v>
      </c>
      <c r="E798" s="1">
        <v>167.009995</v>
      </c>
      <c r="F798" s="1">
        <v>167.009995</v>
      </c>
      <c r="G798" s="2">
        <v>17566900</v>
      </c>
      <c r="H798" s="2">
        <f t="shared" si="96"/>
        <v>2013</v>
      </c>
      <c r="I798" s="2">
        <f t="shared" si="97"/>
        <v>8</v>
      </c>
      <c r="J798" s="2">
        <f t="shared" si="98"/>
        <v>27</v>
      </c>
      <c r="K798" s="2">
        <f t="shared" si="99"/>
        <v>3</v>
      </c>
      <c r="L798" s="2">
        <f t="shared" si="100"/>
        <v>9</v>
      </c>
      <c r="M798" s="3">
        <f t="shared" si="101"/>
        <v>164.220001</v>
      </c>
      <c r="N798" s="1">
        <f t="shared" ca="1" si="102"/>
        <v>164.220001</v>
      </c>
      <c r="O798" s="5">
        <f t="shared" si="103"/>
        <v>1.69893678176265E-2</v>
      </c>
    </row>
    <row r="799" spans="1:15" s="2" customFormat="1" x14ac:dyDescent="0.5">
      <c r="A799" s="6">
        <v>41514</v>
      </c>
      <c r="B799" s="1">
        <v>169.05999800000001</v>
      </c>
      <c r="C799" s="1">
        <v>171.5</v>
      </c>
      <c r="D799" s="1">
        <v>163.25</v>
      </c>
      <c r="E799" s="1">
        <v>166.449997</v>
      </c>
      <c r="F799" s="1">
        <v>166.449997</v>
      </c>
      <c r="G799" s="2">
        <v>14740100</v>
      </c>
      <c r="H799" s="2">
        <f t="shared" si="96"/>
        <v>2013</v>
      </c>
      <c r="I799" s="2">
        <f t="shared" si="97"/>
        <v>8</v>
      </c>
      <c r="J799" s="2">
        <f t="shared" si="98"/>
        <v>28</v>
      </c>
      <c r="K799" s="2">
        <f t="shared" si="99"/>
        <v>4</v>
      </c>
      <c r="L799" s="2">
        <f t="shared" si="100"/>
        <v>9</v>
      </c>
      <c r="M799" s="3">
        <f t="shared" si="101"/>
        <v>167.009995</v>
      </c>
      <c r="N799" s="1">
        <f t="shared" ca="1" si="102"/>
        <v>167.009995</v>
      </c>
      <c r="O799" s="5">
        <f t="shared" si="103"/>
        <v>-3.3530807542386798E-3</v>
      </c>
    </row>
    <row r="800" spans="1:15" s="2" customFormat="1" x14ac:dyDescent="0.5">
      <c r="A800" s="6">
        <v>41515</v>
      </c>
      <c r="B800" s="1">
        <v>164.220001</v>
      </c>
      <c r="C800" s="1">
        <v>167.75</v>
      </c>
      <c r="D800" s="1">
        <v>162.509995</v>
      </c>
      <c r="E800" s="1">
        <v>166.05999800000001</v>
      </c>
      <c r="F800" s="1">
        <v>166.05999800000001</v>
      </c>
      <c r="G800" s="2">
        <v>9436000</v>
      </c>
      <c r="H800" s="2">
        <f t="shared" si="96"/>
        <v>2013</v>
      </c>
      <c r="I800" s="2">
        <f t="shared" si="97"/>
        <v>8</v>
      </c>
      <c r="J800" s="2">
        <f t="shared" si="98"/>
        <v>29</v>
      </c>
      <c r="K800" s="2">
        <f t="shared" si="99"/>
        <v>5</v>
      </c>
      <c r="L800" s="2">
        <f t="shared" si="100"/>
        <v>9</v>
      </c>
      <c r="M800" s="3">
        <f t="shared" si="101"/>
        <v>166.449997</v>
      </c>
      <c r="N800" s="1">
        <f t="shared" ca="1" si="102"/>
        <v>166.449997</v>
      </c>
      <c r="O800" s="5">
        <f t="shared" si="103"/>
        <v>-2.3430399941670732E-3</v>
      </c>
    </row>
    <row r="801" spans="1:15" s="2" customFormat="1" x14ac:dyDescent="0.5">
      <c r="A801" s="6">
        <v>41516</v>
      </c>
      <c r="B801" s="1">
        <v>166.36999499999999</v>
      </c>
      <c r="C801" s="1">
        <v>169.21000699999999</v>
      </c>
      <c r="D801" s="1">
        <v>163.96000699999999</v>
      </c>
      <c r="E801" s="1">
        <v>169</v>
      </c>
      <c r="F801" s="1">
        <v>169</v>
      </c>
      <c r="G801" s="2">
        <v>11028400</v>
      </c>
      <c r="H801" s="2">
        <f t="shared" si="96"/>
        <v>2013</v>
      </c>
      <c r="I801" s="2">
        <f t="shared" si="97"/>
        <v>8</v>
      </c>
      <c r="J801" s="2">
        <f t="shared" si="98"/>
        <v>30</v>
      </c>
      <c r="K801" s="2">
        <f t="shared" si="99"/>
        <v>6</v>
      </c>
      <c r="L801" s="2">
        <f t="shared" si="100"/>
        <v>9</v>
      </c>
      <c r="M801" s="3">
        <f t="shared" si="101"/>
        <v>166.05999800000001</v>
      </c>
      <c r="N801" s="1">
        <f t="shared" ca="1" si="102"/>
        <v>166.05999800000001</v>
      </c>
      <c r="O801" s="5">
        <f t="shared" si="103"/>
        <v>1.770445643387264E-2</v>
      </c>
    </row>
    <row r="802" spans="1:15" s="2" customFormat="1" x14ac:dyDescent="0.5">
      <c r="A802" s="6">
        <v>41520</v>
      </c>
      <c r="B802" s="1">
        <v>173.39999399999999</v>
      </c>
      <c r="C802" s="1">
        <v>173.699997</v>
      </c>
      <c r="D802" s="1">
        <v>166.39999399999999</v>
      </c>
      <c r="E802" s="1">
        <v>168.94000199999999</v>
      </c>
      <c r="F802" s="1">
        <v>168.94000199999999</v>
      </c>
      <c r="G802" s="2">
        <v>12061100</v>
      </c>
      <c r="H802" s="2">
        <f t="shared" si="96"/>
        <v>2013</v>
      </c>
      <c r="I802" s="2">
        <f t="shared" si="97"/>
        <v>9</v>
      </c>
      <c r="J802" s="2">
        <f t="shared" si="98"/>
        <v>3</v>
      </c>
      <c r="K802" s="2">
        <f t="shared" si="99"/>
        <v>3</v>
      </c>
      <c r="L802" s="2">
        <f t="shared" si="100"/>
        <v>10</v>
      </c>
      <c r="M802" s="3">
        <f t="shared" si="101"/>
        <v>169</v>
      </c>
      <c r="N802" s="1">
        <f t="shared" ca="1" si="102"/>
        <v>169</v>
      </c>
      <c r="O802" s="5">
        <f t="shared" si="103"/>
        <v>-3.5501775147928072E-4</v>
      </c>
    </row>
    <row r="803" spans="1:15" s="2" customFormat="1" x14ac:dyDescent="0.5">
      <c r="A803" s="6">
        <v>41521</v>
      </c>
      <c r="B803" s="1">
        <v>169.770004</v>
      </c>
      <c r="C803" s="1">
        <v>171.61999499999999</v>
      </c>
      <c r="D803" s="1">
        <v>165.55999800000001</v>
      </c>
      <c r="E803" s="1">
        <v>170.61999499999999</v>
      </c>
      <c r="F803" s="1">
        <v>170.61999499999999</v>
      </c>
      <c r="G803" s="2">
        <v>11475700</v>
      </c>
      <c r="H803" s="2">
        <f t="shared" si="96"/>
        <v>2013</v>
      </c>
      <c r="I803" s="2">
        <f t="shared" si="97"/>
        <v>9</v>
      </c>
      <c r="J803" s="2">
        <f t="shared" si="98"/>
        <v>4</v>
      </c>
      <c r="K803" s="2">
        <f t="shared" si="99"/>
        <v>4</v>
      </c>
      <c r="L803" s="2">
        <f t="shared" si="100"/>
        <v>10</v>
      </c>
      <c r="M803" s="3">
        <f t="shared" si="101"/>
        <v>168.94000199999999</v>
      </c>
      <c r="N803" s="1">
        <f t="shared" ca="1" si="102"/>
        <v>168.94000199999999</v>
      </c>
      <c r="O803" s="5">
        <f t="shared" si="103"/>
        <v>9.9443173914488536E-3</v>
      </c>
    </row>
    <row r="804" spans="1:15" s="2" customFormat="1" x14ac:dyDescent="0.5">
      <c r="A804" s="6">
        <v>41522</v>
      </c>
      <c r="B804" s="1">
        <v>170.10000600000001</v>
      </c>
      <c r="C804" s="1">
        <v>171.5</v>
      </c>
      <c r="D804" s="1">
        <v>168.25</v>
      </c>
      <c r="E804" s="1">
        <v>169.929993</v>
      </c>
      <c r="F804" s="1">
        <v>169.929993</v>
      </c>
      <c r="G804" s="2">
        <v>6685300</v>
      </c>
      <c r="H804" s="2">
        <f t="shared" si="96"/>
        <v>2013</v>
      </c>
      <c r="I804" s="2">
        <f t="shared" si="97"/>
        <v>9</v>
      </c>
      <c r="J804" s="2">
        <f t="shared" si="98"/>
        <v>5</v>
      </c>
      <c r="K804" s="2">
        <f t="shared" si="99"/>
        <v>5</v>
      </c>
      <c r="L804" s="2">
        <f t="shared" si="100"/>
        <v>10</v>
      </c>
      <c r="M804" s="3">
        <f t="shared" si="101"/>
        <v>170.61999499999999</v>
      </c>
      <c r="N804" s="1">
        <f t="shared" ca="1" si="102"/>
        <v>170.61999499999999</v>
      </c>
      <c r="O804" s="5">
        <f t="shared" si="103"/>
        <v>-4.0440863921018533E-3</v>
      </c>
    </row>
    <row r="805" spans="1:15" s="2" customFormat="1" x14ac:dyDescent="0.5">
      <c r="A805" s="6">
        <v>41523</v>
      </c>
      <c r="B805" s="1">
        <v>168.570007</v>
      </c>
      <c r="C805" s="1">
        <v>169.699997</v>
      </c>
      <c r="D805" s="1">
        <v>165.14999399999999</v>
      </c>
      <c r="E805" s="1">
        <v>166.970001</v>
      </c>
      <c r="F805" s="1">
        <v>166.970001</v>
      </c>
      <c r="G805" s="2">
        <v>8619700</v>
      </c>
      <c r="H805" s="2">
        <f t="shared" si="96"/>
        <v>2013</v>
      </c>
      <c r="I805" s="2">
        <f t="shared" si="97"/>
        <v>9</v>
      </c>
      <c r="J805" s="2">
        <f t="shared" si="98"/>
        <v>6</v>
      </c>
      <c r="K805" s="2">
        <f t="shared" si="99"/>
        <v>6</v>
      </c>
      <c r="L805" s="2">
        <f t="shared" si="100"/>
        <v>10</v>
      </c>
      <c r="M805" s="3">
        <f t="shared" si="101"/>
        <v>169.929993</v>
      </c>
      <c r="N805" s="1">
        <f t="shared" ca="1" si="102"/>
        <v>169.929993</v>
      </c>
      <c r="O805" s="5">
        <f t="shared" si="103"/>
        <v>-1.741889084877446E-2</v>
      </c>
    </row>
    <row r="806" spans="1:15" s="2" customFormat="1" x14ac:dyDescent="0.5">
      <c r="A806" s="6">
        <v>41526</v>
      </c>
      <c r="B806" s="1">
        <v>163.11999499999999</v>
      </c>
      <c r="C806" s="1">
        <v>164.5</v>
      </c>
      <c r="D806" s="1">
        <v>158.509995</v>
      </c>
      <c r="E806" s="1">
        <v>160.699997</v>
      </c>
      <c r="F806" s="1">
        <v>160.699997</v>
      </c>
      <c r="G806" s="2">
        <v>14344500</v>
      </c>
      <c r="H806" s="2">
        <f t="shared" si="96"/>
        <v>2013</v>
      </c>
      <c r="I806" s="2">
        <f t="shared" si="97"/>
        <v>9</v>
      </c>
      <c r="J806" s="2">
        <f t="shared" si="98"/>
        <v>9</v>
      </c>
      <c r="K806" s="2">
        <f t="shared" si="99"/>
        <v>2</v>
      </c>
      <c r="L806" s="2">
        <f t="shared" si="100"/>
        <v>10</v>
      </c>
      <c r="M806" s="3">
        <f t="shared" si="101"/>
        <v>166.970001</v>
      </c>
      <c r="N806" s="1">
        <f t="shared" ca="1" si="102"/>
        <v>166.970001</v>
      </c>
      <c r="O806" s="5">
        <f t="shared" si="103"/>
        <v>-3.755167971760387E-2</v>
      </c>
    </row>
    <row r="807" spans="1:15" s="2" customFormat="1" x14ac:dyDescent="0.5">
      <c r="A807" s="6">
        <v>41527</v>
      </c>
      <c r="B807" s="1">
        <v>161.449997</v>
      </c>
      <c r="C807" s="1">
        <v>167.5</v>
      </c>
      <c r="D807" s="1">
        <v>160.63000500000001</v>
      </c>
      <c r="E807" s="1">
        <v>166.36999499999999</v>
      </c>
      <c r="F807" s="1">
        <v>166.36999499999999</v>
      </c>
      <c r="G807" s="2">
        <v>8967800</v>
      </c>
      <c r="H807" s="2">
        <f t="shared" si="96"/>
        <v>2013</v>
      </c>
      <c r="I807" s="2">
        <f t="shared" si="97"/>
        <v>9</v>
      </c>
      <c r="J807" s="2">
        <f t="shared" si="98"/>
        <v>10</v>
      </c>
      <c r="K807" s="2">
        <f t="shared" si="99"/>
        <v>3</v>
      </c>
      <c r="L807" s="2">
        <f t="shared" si="100"/>
        <v>10</v>
      </c>
      <c r="M807" s="3">
        <f t="shared" si="101"/>
        <v>160.699997</v>
      </c>
      <c r="N807" s="1">
        <f t="shared" ca="1" si="102"/>
        <v>160.699997</v>
      </c>
      <c r="O807" s="5">
        <f t="shared" si="103"/>
        <v>3.5283124491906515E-2</v>
      </c>
    </row>
    <row r="808" spans="1:15" s="2" customFormat="1" x14ac:dyDescent="0.5">
      <c r="A808" s="6">
        <v>41528</v>
      </c>
      <c r="B808" s="1">
        <v>166.41000399999999</v>
      </c>
      <c r="C808" s="1">
        <v>167.89999399999999</v>
      </c>
      <c r="D808" s="1">
        <v>162.13000500000001</v>
      </c>
      <c r="E808" s="1">
        <v>163.520004</v>
      </c>
      <c r="F808" s="1">
        <v>163.520004</v>
      </c>
      <c r="G808" s="2">
        <v>5832500</v>
      </c>
      <c r="H808" s="2">
        <f t="shared" si="96"/>
        <v>2013</v>
      </c>
      <c r="I808" s="2">
        <f t="shared" si="97"/>
        <v>9</v>
      </c>
      <c r="J808" s="2">
        <f t="shared" si="98"/>
        <v>11</v>
      </c>
      <c r="K808" s="2">
        <f t="shared" si="99"/>
        <v>4</v>
      </c>
      <c r="L808" s="2">
        <f t="shared" si="100"/>
        <v>10</v>
      </c>
      <c r="M808" s="3">
        <f t="shared" si="101"/>
        <v>166.36999499999999</v>
      </c>
      <c r="N808" s="1">
        <f t="shared" ca="1" si="102"/>
        <v>166.36999499999999</v>
      </c>
      <c r="O808" s="5">
        <f t="shared" si="103"/>
        <v>-1.7130438694789807E-2</v>
      </c>
    </row>
    <row r="809" spans="1:15" s="2" customFormat="1" x14ac:dyDescent="0.5">
      <c r="A809" s="6">
        <v>41529</v>
      </c>
      <c r="B809" s="1">
        <v>164</v>
      </c>
      <c r="C809" s="1">
        <v>166.759995</v>
      </c>
      <c r="D809" s="1">
        <v>160.509995</v>
      </c>
      <c r="E809" s="1">
        <v>164.929993</v>
      </c>
      <c r="F809" s="1">
        <v>164.929993</v>
      </c>
      <c r="G809" s="2">
        <v>6160000</v>
      </c>
      <c r="H809" s="2">
        <f t="shared" si="96"/>
        <v>2013</v>
      </c>
      <c r="I809" s="2">
        <f t="shared" si="97"/>
        <v>9</v>
      </c>
      <c r="J809" s="2">
        <f t="shared" si="98"/>
        <v>12</v>
      </c>
      <c r="K809" s="2">
        <f t="shared" si="99"/>
        <v>5</v>
      </c>
      <c r="L809" s="2">
        <f t="shared" si="100"/>
        <v>10</v>
      </c>
      <c r="M809" s="3">
        <f t="shared" si="101"/>
        <v>163.520004</v>
      </c>
      <c r="N809" s="1">
        <f t="shared" ca="1" si="102"/>
        <v>163.520004</v>
      </c>
      <c r="O809" s="5">
        <f t="shared" si="103"/>
        <v>8.6227309534556706E-3</v>
      </c>
    </row>
    <row r="810" spans="1:15" s="2" customFormat="1" x14ac:dyDescent="0.5">
      <c r="A810" s="6">
        <v>41530</v>
      </c>
      <c r="B810" s="1">
        <v>162.770004</v>
      </c>
      <c r="C810" s="1">
        <v>166.36999499999999</v>
      </c>
      <c r="D810" s="1">
        <v>162.16000399999999</v>
      </c>
      <c r="E810" s="1">
        <v>165.53999300000001</v>
      </c>
      <c r="F810" s="1">
        <v>165.53999300000001</v>
      </c>
      <c r="G810" s="2">
        <v>5401200</v>
      </c>
      <c r="H810" s="2">
        <f t="shared" si="96"/>
        <v>2013</v>
      </c>
      <c r="I810" s="2">
        <f t="shared" si="97"/>
        <v>9</v>
      </c>
      <c r="J810" s="2">
        <f t="shared" si="98"/>
        <v>13</v>
      </c>
      <c r="K810" s="2">
        <f t="shared" si="99"/>
        <v>6</v>
      </c>
      <c r="L810" s="2">
        <f t="shared" si="100"/>
        <v>10</v>
      </c>
      <c r="M810" s="3">
        <f t="shared" si="101"/>
        <v>164.929993</v>
      </c>
      <c r="N810" s="1">
        <f t="shared" ca="1" si="102"/>
        <v>164.929993</v>
      </c>
      <c r="O810" s="5">
        <f t="shared" si="103"/>
        <v>3.6985389309998062E-3</v>
      </c>
    </row>
    <row r="811" spans="1:15" s="2" customFormat="1" x14ac:dyDescent="0.5">
      <c r="A811" s="6">
        <v>41533</v>
      </c>
      <c r="B811" s="1">
        <v>168</v>
      </c>
      <c r="C811" s="1">
        <v>170.85000600000001</v>
      </c>
      <c r="D811" s="1">
        <v>165.85000600000001</v>
      </c>
      <c r="E811" s="1">
        <v>166.58000200000001</v>
      </c>
      <c r="F811" s="1">
        <v>166.58000200000001</v>
      </c>
      <c r="G811" s="2">
        <v>7574900</v>
      </c>
      <c r="H811" s="2">
        <f t="shared" si="96"/>
        <v>2013</v>
      </c>
      <c r="I811" s="2">
        <f t="shared" si="97"/>
        <v>9</v>
      </c>
      <c r="J811" s="2">
        <f t="shared" si="98"/>
        <v>16</v>
      </c>
      <c r="K811" s="2">
        <f t="shared" si="99"/>
        <v>2</v>
      </c>
      <c r="L811" s="2">
        <f t="shared" si="100"/>
        <v>10</v>
      </c>
      <c r="M811" s="3">
        <f t="shared" si="101"/>
        <v>165.53999300000001</v>
      </c>
      <c r="N811" s="1">
        <f t="shared" ca="1" si="102"/>
        <v>165.53999300000001</v>
      </c>
      <c r="O811" s="5">
        <f t="shared" si="103"/>
        <v>6.282524126964173E-3</v>
      </c>
    </row>
    <row r="812" spans="1:15" s="2" customFormat="1" x14ac:dyDescent="0.5">
      <c r="A812" s="6">
        <v>41534</v>
      </c>
      <c r="B812" s="1">
        <v>165.08000200000001</v>
      </c>
      <c r="C812" s="1">
        <v>168.41999799999999</v>
      </c>
      <c r="D812" s="1">
        <v>163.36000100000001</v>
      </c>
      <c r="E812" s="1">
        <v>166.229996</v>
      </c>
      <c r="F812" s="1">
        <v>166.229996</v>
      </c>
      <c r="G812" s="2">
        <v>5496900</v>
      </c>
      <c r="H812" s="2">
        <f t="shared" si="96"/>
        <v>2013</v>
      </c>
      <c r="I812" s="2">
        <f t="shared" si="97"/>
        <v>9</v>
      </c>
      <c r="J812" s="2">
        <f t="shared" si="98"/>
        <v>17</v>
      </c>
      <c r="K812" s="2">
        <f t="shared" si="99"/>
        <v>3</v>
      </c>
      <c r="L812" s="2">
        <f t="shared" si="100"/>
        <v>10</v>
      </c>
      <c r="M812" s="3">
        <f t="shared" si="101"/>
        <v>166.58000200000001</v>
      </c>
      <c r="N812" s="1">
        <f t="shared" ca="1" si="102"/>
        <v>166.58000200000001</v>
      </c>
      <c r="O812" s="5">
        <f t="shared" si="103"/>
        <v>-2.1011285616385766E-3</v>
      </c>
    </row>
    <row r="813" spans="1:15" s="2" customFormat="1" x14ac:dyDescent="0.5">
      <c r="A813" s="6">
        <v>41535</v>
      </c>
      <c r="B813" s="1">
        <v>167.070007</v>
      </c>
      <c r="C813" s="1">
        <v>167.449997</v>
      </c>
      <c r="D813" s="1">
        <v>164.199997</v>
      </c>
      <c r="E813" s="1">
        <v>166.220001</v>
      </c>
      <c r="F813" s="1">
        <v>166.220001</v>
      </c>
      <c r="G813" s="2">
        <v>5439700</v>
      </c>
      <c r="H813" s="2">
        <f t="shared" si="96"/>
        <v>2013</v>
      </c>
      <c r="I813" s="2">
        <f t="shared" si="97"/>
        <v>9</v>
      </c>
      <c r="J813" s="2">
        <f t="shared" si="98"/>
        <v>18</v>
      </c>
      <c r="K813" s="2">
        <f t="shared" si="99"/>
        <v>4</v>
      </c>
      <c r="L813" s="2">
        <f t="shared" si="100"/>
        <v>10</v>
      </c>
      <c r="M813" s="3">
        <f t="shared" si="101"/>
        <v>166.229996</v>
      </c>
      <c r="N813" s="1">
        <f t="shared" ca="1" si="102"/>
        <v>166.229996</v>
      </c>
      <c r="O813" s="5">
        <f t="shared" si="103"/>
        <v>-6.0127535586262937E-5</v>
      </c>
    </row>
    <row r="814" spans="1:15" s="2" customFormat="1" x14ac:dyDescent="0.5">
      <c r="A814" s="6">
        <v>41536</v>
      </c>
      <c r="B814" s="1">
        <v>170.800003</v>
      </c>
      <c r="C814" s="1">
        <v>180.470001</v>
      </c>
      <c r="D814" s="1">
        <v>169.08000200000001</v>
      </c>
      <c r="E814" s="1">
        <v>177.91999799999999</v>
      </c>
      <c r="F814" s="1">
        <v>177.91999799999999</v>
      </c>
      <c r="G814" s="2">
        <v>15594600</v>
      </c>
      <c r="H814" s="2">
        <f t="shared" si="96"/>
        <v>2013</v>
      </c>
      <c r="I814" s="2">
        <f t="shared" si="97"/>
        <v>9</v>
      </c>
      <c r="J814" s="2">
        <f t="shared" si="98"/>
        <v>19</v>
      </c>
      <c r="K814" s="2">
        <f t="shared" si="99"/>
        <v>5</v>
      </c>
      <c r="L814" s="2">
        <f t="shared" si="100"/>
        <v>10</v>
      </c>
      <c r="M814" s="3">
        <f t="shared" si="101"/>
        <v>166.220001</v>
      </c>
      <c r="N814" s="1">
        <f t="shared" ca="1" si="102"/>
        <v>166.220001</v>
      </c>
      <c r="O814" s="5">
        <f t="shared" si="103"/>
        <v>7.038862308754279E-2</v>
      </c>
    </row>
    <row r="815" spans="1:15" s="2" customFormat="1" x14ac:dyDescent="0.5">
      <c r="A815" s="6">
        <v>41537</v>
      </c>
      <c r="B815" s="1">
        <v>178.89999399999999</v>
      </c>
      <c r="C815" s="1">
        <v>185.83000200000001</v>
      </c>
      <c r="D815" s="1">
        <v>178.55999800000001</v>
      </c>
      <c r="E815" s="1">
        <v>183.38999899999999</v>
      </c>
      <c r="F815" s="1">
        <v>183.38999899999999</v>
      </c>
      <c r="G815" s="2">
        <v>13401700</v>
      </c>
      <c r="H815" s="2">
        <f t="shared" si="96"/>
        <v>2013</v>
      </c>
      <c r="I815" s="2">
        <f t="shared" si="97"/>
        <v>9</v>
      </c>
      <c r="J815" s="2">
        <f t="shared" si="98"/>
        <v>20</v>
      </c>
      <c r="K815" s="2">
        <f t="shared" si="99"/>
        <v>6</v>
      </c>
      <c r="L815" s="2">
        <f t="shared" si="100"/>
        <v>10</v>
      </c>
      <c r="M815" s="3">
        <f t="shared" si="101"/>
        <v>177.91999799999999</v>
      </c>
      <c r="N815" s="1">
        <f t="shared" ca="1" si="102"/>
        <v>177.91999799999999</v>
      </c>
      <c r="O815" s="5">
        <f t="shared" si="103"/>
        <v>3.0744160642357965E-2</v>
      </c>
    </row>
    <row r="816" spans="1:15" s="2" customFormat="1" x14ac:dyDescent="0.5">
      <c r="A816" s="6">
        <v>41540</v>
      </c>
      <c r="B816" s="1">
        <v>184.479996</v>
      </c>
      <c r="C816" s="1">
        <v>185.479996</v>
      </c>
      <c r="D816" s="1">
        <v>177.11000100000001</v>
      </c>
      <c r="E816" s="1">
        <v>181.11000100000001</v>
      </c>
      <c r="F816" s="1">
        <v>181.11000100000001</v>
      </c>
      <c r="G816" s="2">
        <v>8173400</v>
      </c>
      <c r="H816" s="2">
        <f t="shared" si="96"/>
        <v>2013</v>
      </c>
      <c r="I816" s="2">
        <f t="shared" si="97"/>
        <v>9</v>
      </c>
      <c r="J816" s="2">
        <f t="shared" si="98"/>
        <v>23</v>
      </c>
      <c r="K816" s="2">
        <f t="shared" si="99"/>
        <v>2</v>
      </c>
      <c r="L816" s="2">
        <f t="shared" si="100"/>
        <v>10</v>
      </c>
      <c r="M816" s="3">
        <f t="shared" si="101"/>
        <v>183.38999899999999</v>
      </c>
      <c r="N816" s="1">
        <f t="shared" ca="1" si="102"/>
        <v>183.38999899999999</v>
      </c>
      <c r="O816" s="5">
        <f t="shared" si="103"/>
        <v>-1.2432510019262155E-2</v>
      </c>
    </row>
    <row r="817" spans="1:15" s="2" customFormat="1" x14ac:dyDescent="0.5">
      <c r="A817" s="6">
        <v>41541</v>
      </c>
      <c r="B817" s="1">
        <v>179.13999899999999</v>
      </c>
      <c r="C817" s="1">
        <v>184.96000699999999</v>
      </c>
      <c r="D817" s="1">
        <v>177.64999399999999</v>
      </c>
      <c r="E817" s="1">
        <v>182.33000200000001</v>
      </c>
      <c r="F817" s="1">
        <v>182.33000200000001</v>
      </c>
      <c r="G817" s="2">
        <v>6273400</v>
      </c>
      <c r="H817" s="2">
        <f t="shared" si="96"/>
        <v>2013</v>
      </c>
      <c r="I817" s="2">
        <f t="shared" si="97"/>
        <v>9</v>
      </c>
      <c r="J817" s="2">
        <f t="shared" si="98"/>
        <v>24</v>
      </c>
      <c r="K817" s="2">
        <f t="shared" si="99"/>
        <v>3</v>
      </c>
      <c r="L817" s="2">
        <f t="shared" si="100"/>
        <v>10</v>
      </c>
      <c r="M817" s="3">
        <f t="shared" si="101"/>
        <v>181.11000100000001</v>
      </c>
      <c r="N817" s="1">
        <f t="shared" ca="1" si="102"/>
        <v>181.11000100000001</v>
      </c>
      <c r="O817" s="5">
        <f t="shared" si="103"/>
        <v>6.7362431299418102E-3</v>
      </c>
    </row>
    <row r="818" spans="1:15" s="2" customFormat="1" x14ac:dyDescent="0.5">
      <c r="A818" s="6">
        <v>41542</v>
      </c>
      <c r="B818" s="1">
        <v>183.55999800000001</v>
      </c>
      <c r="C818" s="1">
        <v>186.300003</v>
      </c>
      <c r="D818" s="1">
        <v>180.5</v>
      </c>
      <c r="E818" s="1">
        <v>185.240005</v>
      </c>
      <c r="F818" s="1">
        <v>185.240005</v>
      </c>
      <c r="G818" s="2">
        <v>8252700</v>
      </c>
      <c r="H818" s="2">
        <f t="shared" si="96"/>
        <v>2013</v>
      </c>
      <c r="I818" s="2">
        <f t="shared" si="97"/>
        <v>9</v>
      </c>
      <c r="J818" s="2">
        <f t="shared" si="98"/>
        <v>25</v>
      </c>
      <c r="K818" s="2">
        <f t="shared" si="99"/>
        <v>4</v>
      </c>
      <c r="L818" s="2">
        <f t="shared" si="100"/>
        <v>10</v>
      </c>
      <c r="M818" s="3">
        <f t="shared" si="101"/>
        <v>182.33000200000001</v>
      </c>
      <c r="N818" s="1">
        <f t="shared" ca="1" si="102"/>
        <v>182.33000200000001</v>
      </c>
      <c r="O818" s="5">
        <f t="shared" si="103"/>
        <v>1.5960088674819239E-2</v>
      </c>
    </row>
    <row r="819" spans="1:15" s="2" customFormat="1" x14ac:dyDescent="0.5">
      <c r="A819" s="6">
        <v>41543</v>
      </c>
      <c r="B819" s="1">
        <v>186.699997</v>
      </c>
      <c r="C819" s="1">
        <v>189.679993</v>
      </c>
      <c r="D819" s="1">
        <v>185.61000100000001</v>
      </c>
      <c r="E819" s="1">
        <v>188.63999899999999</v>
      </c>
      <c r="F819" s="1">
        <v>188.63999899999999</v>
      </c>
      <c r="G819" s="2">
        <v>6614400</v>
      </c>
      <c r="H819" s="2">
        <f t="shared" si="96"/>
        <v>2013</v>
      </c>
      <c r="I819" s="2">
        <f t="shared" si="97"/>
        <v>9</v>
      </c>
      <c r="J819" s="2">
        <f t="shared" si="98"/>
        <v>26</v>
      </c>
      <c r="K819" s="2">
        <f t="shared" si="99"/>
        <v>5</v>
      </c>
      <c r="L819" s="2">
        <f t="shared" si="100"/>
        <v>10</v>
      </c>
      <c r="M819" s="3">
        <f t="shared" si="101"/>
        <v>185.240005</v>
      </c>
      <c r="N819" s="1">
        <f t="shared" ca="1" si="102"/>
        <v>185.240005</v>
      </c>
      <c r="O819" s="5">
        <f t="shared" si="103"/>
        <v>1.8354534162315472E-2</v>
      </c>
    </row>
    <row r="820" spans="1:15" s="2" customFormat="1" x14ac:dyDescent="0.5">
      <c r="A820" s="6">
        <v>41544</v>
      </c>
      <c r="B820" s="1">
        <v>187.520004</v>
      </c>
      <c r="C820" s="1">
        <v>191.279999</v>
      </c>
      <c r="D820" s="1">
        <v>186.429993</v>
      </c>
      <c r="E820" s="1">
        <v>190.89999399999999</v>
      </c>
      <c r="F820" s="1">
        <v>190.89999399999999</v>
      </c>
      <c r="G820" s="2">
        <v>5916400</v>
      </c>
      <c r="H820" s="2">
        <f t="shared" si="96"/>
        <v>2013</v>
      </c>
      <c r="I820" s="2">
        <f t="shared" si="97"/>
        <v>9</v>
      </c>
      <c r="J820" s="2">
        <f t="shared" si="98"/>
        <v>27</v>
      </c>
      <c r="K820" s="2">
        <f t="shared" si="99"/>
        <v>6</v>
      </c>
      <c r="L820" s="2">
        <f t="shared" si="100"/>
        <v>10</v>
      </c>
      <c r="M820" s="3">
        <f t="shared" si="101"/>
        <v>188.63999899999999</v>
      </c>
      <c r="N820" s="1">
        <f t="shared" ca="1" si="102"/>
        <v>188.63999899999999</v>
      </c>
      <c r="O820" s="5">
        <f t="shared" si="103"/>
        <v>1.1980465500320614E-2</v>
      </c>
    </row>
    <row r="821" spans="1:15" s="2" customFormat="1" x14ac:dyDescent="0.5">
      <c r="A821" s="6">
        <v>41547</v>
      </c>
      <c r="B821" s="1">
        <v>189</v>
      </c>
      <c r="C821" s="1">
        <v>194.5</v>
      </c>
      <c r="D821" s="1">
        <v>188</v>
      </c>
      <c r="E821" s="1">
        <v>193.36999499999999</v>
      </c>
      <c r="F821" s="1">
        <v>193.36999499999999</v>
      </c>
      <c r="G821" s="2">
        <v>8924700</v>
      </c>
      <c r="H821" s="2">
        <f t="shared" si="96"/>
        <v>2013</v>
      </c>
      <c r="I821" s="2">
        <f t="shared" si="97"/>
        <v>9</v>
      </c>
      <c r="J821" s="2">
        <f t="shared" si="98"/>
        <v>30</v>
      </c>
      <c r="K821" s="2">
        <f t="shared" si="99"/>
        <v>2</v>
      </c>
      <c r="L821" s="2">
        <f t="shared" si="100"/>
        <v>10</v>
      </c>
      <c r="M821" s="3">
        <f t="shared" si="101"/>
        <v>190.89999399999999</v>
      </c>
      <c r="N821" s="1">
        <f t="shared" ca="1" si="102"/>
        <v>190.89999399999999</v>
      </c>
      <c r="O821" s="5">
        <f t="shared" si="103"/>
        <v>1.2938717012217493E-2</v>
      </c>
    </row>
    <row r="822" spans="1:15" s="2" customFormat="1" x14ac:dyDescent="0.5">
      <c r="A822" s="6">
        <v>41548</v>
      </c>
      <c r="B822" s="1">
        <v>193.96000699999999</v>
      </c>
      <c r="C822" s="1">
        <v>194.229996</v>
      </c>
      <c r="D822" s="1">
        <v>188.36999499999999</v>
      </c>
      <c r="E822" s="1">
        <v>193</v>
      </c>
      <c r="F822" s="1">
        <v>193</v>
      </c>
      <c r="G822" s="2">
        <v>7755900</v>
      </c>
      <c r="H822" s="2">
        <f t="shared" si="96"/>
        <v>2013</v>
      </c>
      <c r="I822" s="2">
        <f t="shared" si="97"/>
        <v>10</v>
      </c>
      <c r="J822" s="2">
        <f t="shared" si="98"/>
        <v>1</v>
      </c>
      <c r="K822" s="2">
        <f t="shared" si="99"/>
        <v>3</v>
      </c>
      <c r="L822" s="2">
        <f t="shared" si="100"/>
        <v>11</v>
      </c>
      <c r="M822" s="3">
        <f t="shared" si="101"/>
        <v>193.36999499999999</v>
      </c>
      <c r="N822" s="1">
        <f t="shared" ca="1" si="102"/>
        <v>193.36999499999999</v>
      </c>
      <c r="O822" s="5">
        <f t="shared" si="103"/>
        <v>-1.9134044038217057E-3</v>
      </c>
    </row>
    <row r="823" spans="1:15" s="2" customFormat="1" x14ac:dyDescent="0.5">
      <c r="A823" s="6">
        <v>41549</v>
      </c>
      <c r="B823" s="1">
        <v>188.58999600000001</v>
      </c>
      <c r="C823" s="1">
        <v>191.83000200000001</v>
      </c>
      <c r="D823" s="1">
        <v>175.39999399999999</v>
      </c>
      <c r="E823" s="1">
        <v>180.949997</v>
      </c>
      <c r="F823" s="1">
        <v>180.949997</v>
      </c>
      <c r="G823" s="2">
        <v>20775400</v>
      </c>
      <c r="H823" s="2">
        <f t="shared" si="96"/>
        <v>2013</v>
      </c>
      <c r="I823" s="2">
        <f t="shared" si="97"/>
        <v>10</v>
      </c>
      <c r="J823" s="2">
        <f t="shared" si="98"/>
        <v>2</v>
      </c>
      <c r="K823" s="2">
        <f t="shared" si="99"/>
        <v>4</v>
      </c>
      <c r="L823" s="2">
        <f t="shared" si="100"/>
        <v>11</v>
      </c>
      <c r="M823" s="3">
        <f t="shared" si="101"/>
        <v>193</v>
      </c>
      <c r="N823" s="1">
        <f t="shared" ca="1" si="102"/>
        <v>193</v>
      </c>
      <c r="O823" s="5">
        <f t="shared" si="103"/>
        <v>-6.2435248704663215E-2</v>
      </c>
    </row>
    <row r="824" spans="1:15" s="2" customFormat="1" x14ac:dyDescent="0.5">
      <c r="A824" s="6">
        <v>41550</v>
      </c>
      <c r="B824" s="1">
        <v>175.050003</v>
      </c>
      <c r="C824" s="1">
        <v>179.69000199999999</v>
      </c>
      <c r="D824" s="1">
        <v>168</v>
      </c>
      <c r="E824" s="1">
        <v>173.30999800000001</v>
      </c>
      <c r="F824" s="1">
        <v>173.30999800000001</v>
      </c>
      <c r="G824" s="2">
        <v>23816500</v>
      </c>
      <c r="H824" s="2">
        <f t="shared" si="96"/>
        <v>2013</v>
      </c>
      <c r="I824" s="2">
        <f t="shared" si="97"/>
        <v>10</v>
      </c>
      <c r="J824" s="2">
        <f t="shared" si="98"/>
        <v>3</v>
      </c>
      <c r="K824" s="2">
        <f t="shared" si="99"/>
        <v>5</v>
      </c>
      <c r="L824" s="2">
        <f t="shared" si="100"/>
        <v>11</v>
      </c>
      <c r="M824" s="3">
        <f t="shared" si="101"/>
        <v>180.949997</v>
      </c>
      <c r="N824" s="1">
        <f t="shared" ca="1" si="102"/>
        <v>180.949997</v>
      </c>
      <c r="O824" s="5">
        <f t="shared" si="103"/>
        <v>-4.2221603352665338E-2</v>
      </c>
    </row>
    <row r="825" spans="1:15" s="2" customFormat="1" x14ac:dyDescent="0.5">
      <c r="A825" s="6">
        <v>41551</v>
      </c>
      <c r="B825" s="1">
        <v>176.39999399999999</v>
      </c>
      <c r="C825" s="1">
        <v>181.179993</v>
      </c>
      <c r="D825" s="1">
        <v>172.64999399999999</v>
      </c>
      <c r="E825" s="1">
        <v>180.979996</v>
      </c>
      <c r="F825" s="1">
        <v>180.979996</v>
      </c>
      <c r="G825" s="2">
        <v>14414000</v>
      </c>
      <c r="H825" s="2">
        <f t="shared" si="96"/>
        <v>2013</v>
      </c>
      <c r="I825" s="2">
        <f t="shared" si="97"/>
        <v>10</v>
      </c>
      <c r="J825" s="2">
        <f t="shared" si="98"/>
        <v>4</v>
      </c>
      <c r="K825" s="2">
        <f t="shared" si="99"/>
        <v>6</v>
      </c>
      <c r="L825" s="2">
        <f t="shared" si="100"/>
        <v>11</v>
      </c>
      <c r="M825" s="3">
        <f t="shared" si="101"/>
        <v>173.30999800000001</v>
      </c>
      <c r="N825" s="1">
        <f t="shared" ca="1" si="102"/>
        <v>173.30999800000001</v>
      </c>
      <c r="O825" s="5">
        <f t="shared" si="103"/>
        <v>4.4255946503443999E-2</v>
      </c>
    </row>
    <row r="826" spans="1:15" s="2" customFormat="1" x14ac:dyDescent="0.5">
      <c r="A826" s="6">
        <v>41554</v>
      </c>
      <c r="B826" s="1">
        <v>182.46000699999999</v>
      </c>
      <c r="C826" s="1">
        <v>186.729996</v>
      </c>
      <c r="D826" s="1">
        <v>180.259995</v>
      </c>
      <c r="E826" s="1">
        <v>183.070007</v>
      </c>
      <c r="F826" s="1">
        <v>183.070007</v>
      </c>
      <c r="G826" s="2">
        <v>11485600</v>
      </c>
      <c r="H826" s="2">
        <f t="shared" si="96"/>
        <v>2013</v>
      </c>
      <c r="I826" s="2">
        <f t="shared" si="97"/>
        <v>10</v>
      </c>
      <c r="J826" s="2">
        <f t="shared" si="98"/>
        <v>7</v>
      </c>
      <c r="K826" s="2">
        <f t="shared" si="99"/>
        <v>2</v>
      </c>
      <c r="L826" s="2">
        <f t="shared" si="100"/>
        <v>11</v>
      </c>
      <c r="M826" s="3">
        <f t="shared" si="101"/>
        <v>180.979996</v>
      </c>
      <c r="N826" s="1">
        <f t="shared" ca="1" si="102"/>
        <v>180.979996</v>
      </c>
      <c r="O826" s="5">
        <f t="shared" si="103"/>
        <v>1.1548298409731483E-2</v>
      </c>
    </row>
    <row r="827" spans="1:15" s="2" customFormat="1" x14ac:dyDescent="0.5">
      <c r="A827" s="6">
        <v>41555</v>
      </c>
      <c r="B827" s="1">
        <v>184.39999399999999</v>
      </c>
      <c r="C827" s="1">
        <v>185.929993</v>
      </c>
      <c r="D827" s="1">
        <v>173.21000699999999</v>
      </c>
      <c r="E827" s="1">
        <v>174.729996</v>
      </c>
      <c r="F827" s="1">
        <v>174.729996</v>
      </c>
      <c r="G827" s="2">
        <v>13757200</v>
      </c>
      <c r="H827" s="2">
        <f t="shared" si="96"/>
        <v>2013</v>
      </c>
      <c r="I827" s="2">
        <f t="shared" si="97"/>
        <v>10</v>
      </c>
      <c r="J827" s="2">
        <f t="shared" si="98"/>
        <v>8</v>
      </c>
      <c r="K827" s="2">
        <f t="shared" si="99"/>
        <v>3</v>
      </c>
      <c r="L827" s="2">
        <f t="shared" si="100"/>
        <v>11</v>
      </c>
      <c r="M827" s="3">
        <f t="shared" si="101"/>
        <v>183.070007</v>
      </c>
      <c r="N827" s="1">
        <f t="shared" ca="1" si="102"/>
        <v>183.070007</v>
      </c>
      <c r="O827" s="5">
        <f t="shared" si="103"/>
        <v>-4.5556402912029226E-2</v>
      </c>
    </row>
    <row r="828" spans="1:15" s="2" customFormat="1" x14ac:dyDescent="0.5">
      <c r="A828" s="6">
        <v>41556</v>
      </c>
      <c r="B828" s="1">
        <v>174.729996</v>
      </c>
      <c r="C828" s="1">
        <v>174.990005</v>
      </c>
      <c r="D828" s="1">
        <v>161.5</v>
      </c>
      <c r="E828" s="1">
        <v>168.779999</v>
      </c>
      <c r="F828" s="1">
        <v>168.779999</v>
      </c>
      <c r="G828" s="2">
        <v>15316500</v>
      </c>
      <c r="H828" s="2">
        <f t="shared" si="96"/>
        <v>2013</v>
      </c>
      <c r="I828" s="2">
        <f t="shared" si="97"/>
        <v>10</v>
      </c>
      <c r="J828" s="2">
        <f t="shared" si="98"/>
        <v>9</v>
      </c>
      <c r="K828" s="2">
        <f t="shared" si="99"/>
        <v>4</v>
      </c>
      <c r="L828" s="2">
        <f t="shared" si="100"/>
        <v>11</v>
      </c>
      <c r="M828" s="3">
        <f t="shared" si="101"/>
        <v>174.729996</v>
      </c>
      <c r="N828" s="1">
        <f t="shared" ca="1" si="102"/>
        <v>174.729996</v>
      </c>
      <c r="O828" s="5">
        <f t="shared" si="103"/>
        <v>-3.4052521811996139E-2</v>
      </c>
    </row>
    <row r="829" spans="1:15" s="2" customFormat="1" x14ac:dyDescent="0.5">
      <c r="A829" s="6">
        <v>41557</v>
      </c>
      <c r="B829" s="1">
        <v>173.08999600000001</v>
      </c>
      <c r="C829" s="1">
        <v>175.75</v>
      </c>
      <c r="D829" s="1">
        <v>169.69000199999999</v>
      </c>
      <c r="E829" s="1">
        <v>172.929993</v>
      </c>
      <c r="F829" s="1">
        <v>172.929993</v>
      </c>
      <c r="G829" s="2">
        <v>8883900</v>
      </c>
      <c r="H829" s="2">
        <f t="shared" si="96"/>
        <v>2013</v>
      </c>
      <c r="I829" s="2">
        <f t="shared" si="97"/>
        <v>10</v>
      </c>
      <c r="J829" s="2">
        <f t="shared" si="98"/>
        <v>10</v>
      </c>
      <c r="K829" s="2">
        <f t="shared" si="99"/>
        <v>5</v>
      </c>
      <c r="L829" s="2">
        <f t="shared" si="100"/>
        <v>11</v>
      </c>
      <c r="M829" s="3">
        <f t="shared" si="101"/>
        <v>168.779999</v>
      </c>
      <c r="N829" s="1">
        <f t="shared" ca="1" si="102"/>
        <v>168.779999</v>
      </c>
      <c r="O829" s="5">
        <f t="shared" si="103"/>
        <v>2.4588185949687036E-2</v>
      </c>
    </row>
    <row r="830" spans="1:15" s="2" customFormat="1" x14ac:dyDescent="0.5">
      <c r="A830" s="6">
        <v>41558</v>
      </c>
      <c r="B830" s="1">
        <v>172.75</v>
      </c>
      <c r="C830" s="1">
        <v>179.28999300000001</v>
      </c>
      <c r="D830" s="1">
        <v>171.199997</v>
      </c>
      <c r="E830" s="1">
        <v>178.699997</v>
      </c>
      <c r="F830" s="1">
        <v>178.699997</v>
      </c>
      <c r="G830" s="2">
        <v>8311100</v>
      </c>
      <c r="H830" s="2">
        <f t="shared" si="96"/>
        <v>2013</v>
      </c>
      <c r="I830" s="2">
        <f t="shared" si="97"/>
        <v>10</v>
      </c>
      <c r="J830" s="2">
        <f t="shared" si="98"/>
        <v>11</v>
      </c>
      <c r="K830" s="2">
        <f t="shared" si="99"/>
        <v>6</v>
      </c>
      <c r="L830" s="2">
        <f t="shared" si="100"/>
        <v>11</v>
      </c>
      <c r="M830" s="3">
        <f t="shared" si="101"/>
        <v>172.929993</v>
      </c>
      <c r="N830" s="1">
        <f t="shared" ca="1" si="102"/>
        <v>172.929993</v>
      </c>
      <c r="O830" s="5">
        <f t="shared" si="103"/>
        <v>3.336612637230596E-2</v>
      </c>
    </row>
    <row r="831" spans="1:15" s="2" customFormat="1" x14ac:dyDescent="0.5">
      <c r="A831" s="6">
        <v>41561</v>
      </c>
      <c r="B831" s="1">
        <v>175</v>
      </c>
      <c r="C831" s="1">
        <v>182.5</v>
      </c>
      <c r="D831" s="1">
        <v>174.14999399999999</v>
      </c>
      <c r="E831" s="1">
        <v>179.720001</v>
      </c>
      <c r="F831" s="1">
        <v>179.720001</v>
      </c>
      <c r="G831" s="2">
        <v>7769600</v>
      </c>
      <c r="H831" s="2">
        <f t="shared" si="96"/>
        <v>2013</v>
      </c>
      <c r="I831" s="2">
        <f t="shared" si="97"/>
        <v>10</v>
      </c>
      <c r="J831" s="2">
        <f t="shared" si="98"/>
        <v>14</v>
      </c>
      <c r="K831" s="2">
        <f t="shared" si="99"/>
        <v>2</v>
      </c>
      <c r="L831" s="2">
        <f t="shared" si="100"/>
        <v>11</v>
      </c>
      <c r="M831" s="3">
        <f t="shared" si="101"/>
        <v>178.699997</v>
      </c>
      <c r="N831" s="1">
        <f t="shared" ca="1" si="102"/>
        <v>178.699997</v>
      </c>
      <c r="O831" s="5">
        <f t="shared" si="103"/>
        <v>5.7079127986778833E-3</v>
      </c>
    </row>
    <row r="832" spans="1:15" s="2" customFormat="1" x14ac:dyDescent="0.5">
      <c r="A832" s="6">
        <v>41562</v>
      </c>
      <c r="B832" s="1">
        <v>185.279999</v>
      </c>
      <c r="C832" s="1">
        <v>188.78999300000001</v>
      </c>
      <c r="D832" s="1">
        <v>183.179993</v>
      </c>
      <c r="E832" s="1">
        <v>183.94000199999999</v>
      </c>
      <c r="F832" s="1">
        <v>183.94000199999999</v>
      </c>
      <c r="G832" s="2">
        <v>10978500</v>
      </c>
      <c r="H832" s="2">
        <f t="shared" si="96"/>
        <v>2013</v>
      </c>
      <c r="I832" s="2">
        <f t="shared" si="97"/>
        <v>10</v>
      </c>
      <c r="J832" s="2">
        <f t="shared" si="98"/>
        <v>15</v>
      </c>
      <c r="K832" s="2">
        <f t="shared" si="99"/>
        <v>3</v>
      </c>
      <c r="L832" s="2">
        <f t="shared" si="100"/>
        <v>11</v>
      </c>
      <c r="M832" s="3">
        <f t="shared" si="101"/>
        <v>179.720001</v>
      </c>
      <c r="N832" s="1">
        <f t="shared" ca="1" si="102"/>
        <v>179.720001</v>
      </c>
      <c r="O832" s="5">
        <f t="shared" si="103"/>
        <v>2.3480975831955408E-2</v>
      </c>
    </row>
    <row r="833" spans="1:15" s="2" customFormat="1" x14ac:dyDescent="0.5">
      <c r="A833" s="6">
        <v>41563</v>
      </c>
      <c r="B833" s="1">
        <v>184.89999399999999</v>
      </c>
      <c r="C833" s="1">
        <v>187.300003</v>
      </c>
      <c r="D833" s="1">
        <v>182.08999600000001</v>
      </c>
      <c r="E833" s="1">
        <v>183.55999800000001</v>
      </c>
      <c r="F833" s="1">
        <v>183.55999800000001</v>
      </c>
      <c r="G833" s="2">
        <v>8205400</v>
      </c>
      <c r="H833" s="2">
        <f t="shared" si="96"/>
        <v>2013</v>
      </c>
      <c r="I833" s="2">
        <f t="shared" si="97"/>
        <v>10</v>
      </c>
      <c r="J833" s="2">
        <f t="shared" si="98"/>
        <v>16</v>
      </c>
      <c r="K833" s="2">
        <f t="shared" si="99"/>
        <v>4</v>
      </c>
      <c r="L833" s="2">
        <f t="shared" si="100"/>
        <v>11</v>
      </c>
      <c r="M833" s="3">
        <f t="shared" si="101"/>
        <v>183.94000199999999</v>
      </c>
      <c r="N833" s="1">
        <f t="shared" ca="1" si="102"/>
        <v>183.94000199999999</v>
      </c>
      <c r="O833" s="5">
        <f t="shared" si="103"/>
        <v>-2.0659127751884165E-3</v>
      </c>
    </row>
    <row r="834" spans="1:15" s="2" customFormat="1" x14ac:dyDescent="0.5">
      <c r="A834" s="6">
        <v>41564</v>
      </c>
      <c r="B834" s="1">
        <v>183.53999300000001</v>
      </c>
      <c r="C834" s="1">
        <v>184.800003</v>
      </c>
      <c r="D834" s="1">
        <v>180.990005</v>
      </c>
      <c r="E834" s="1">
        <v>182.800003</v>
      </c>
      <c r="F834" s="1">
        <v>182.800003</v>
      </c>
      <c r="G834" s="2">
        <v>6705000</v>
      </c>
      <c r="H834" s="2">
        <f t="shared" ref="H834:H897" si="104">YEAR(A834)</f>
        <v>2013</v>
      </c>
      <c r="I834" s="2">
        <f t="shared" ref="I834:I897" si="105">MONTH(A834)</f>
        <v>10</v>
      </c>
      <c r="J834" s="2">
        <f t="shared" ref="J834:J897" si="106">DAY(A834)</f>
        <v>17</v>
      </c>
      <c r="K834" s="2">
        <f t="shared" ref="K834:K897" si="107">WEEKDAY(A834)</f>
        <v>5</v>
      </c>
      <c r="L834" s="2">
        <f t="shared" si="100"/>
        <v>11</v>
      </c>
      <c r="M834" s="3">
        <f t="shared" si="101"/>
        <v>183.55999800000001</v>
      </c>
      <c r="N834" s="1">
        <f t="shared" ca="1" si="102"/>
        <v>183.55999800000001</v>
      </c>
      <c r="O834" s="5">
        <f t="shared" si="103"/>
        <v>-4.140308391156089E-3</v>
      </c>
    </row>
    <row r="835" spans="1:15" s="2" customFormat="1" x14ac:dyDescent="0.5">
      <c r="A835" s="6">
        <v>41565</v>
      </c>
      <c r="B835" s="1">
        <v>184.14999399999999</v>
      </c>
      <c r="C835" s="1">
        <v>185.96000699999999</v>
      </c>
      <c r="D835" s="1">
        <v>182.520004</v>
      </c>
      <c r="E835" s="1">
        <v>183.39999399999999</v>
      </c>
      <c r="F835" s="1">
        <v>183.39999399999999</v>
      </c>
      <c r="G835" s="2">
        <v>5930800</v>
      </c>
      <c r="H835" s="2">
        <f t="shared" si="104"/>
        <v>2013</v>
      </c>
      <c r="I835" s="2">
        <f t="shared" si="105"/>
        <v>10</v>
      </c>
      <c r="J835" s="2">
        <f t="shared" si="106"/>
        <v>18</v>
      </c>
      <c r="K835" s="2">
        <f t="shared" si="107"/>
        <v>6</v>
      </c>
      <c r="L835" s="2">
        <f t="shared" ref="L835:L898" si="108">I835+1</f>
        <v>11</v>
      </c>
      <c r="M835" s="3">
        <f t="shared" ref="M835:M898" si="109">F834</f>
        <v>182.800003</v>
      </c>
      <c r="N835" s="1">
        <f t="shared" ref="N835:N898" ca="1" si="110">OFFSET(F835, -1, 0)</f>
        <v>182.800003</v>
      </c>
      <c r="O835" s="5">
        <f t="shared" ref="O835:O898" si="111">(F835/M835)-1</f>
        <v>3.2822264231582299E-3</v>
      </c>
    </row>
    <row r="836" spans="1:15" s="2" customFormat="1" x14ac:dyDescent="0.5">
      <c r="A836" s="6">
        <v>41568</v>
      </c>
      <c r="B836" s="1">
        <v>183.279999</v>
      </c>
      <c r="C836" s="1">
        <v>183.38999899999999</v>
      </c>
      <c r="D836" s="1">
        <v>171</v>
      </c>
      <c r="E836" s="1">
        <v>172.60000600000001</v>
      </c>
      <c r="F836" s="1">
        <v>172.60000600000001</v>
      </c>
      <c r="G836" s="2">
        <v>11532100</v>
      </c>
      <c r="H836" s="2">
        <f t="shared" si="104"/>
        <v>2013</v>
      </c>
      <c r="I836" s="2">
        <f t="shared" si="105"/>
        <v>10</v>
      </c>
      <c r="J836" s="2">
        <f t="shared" si="106"/>
        <v>21</v>
      </c>
      <c r="K836" s="2">
        <f t="shared" si="107"/>
        <v>2</v>
      </c>
      <c r="L836" s="2">
        <f t="shared" si="108"/>
        <v>11</v>
      </c>
      <c r="M836" s="3">
        <f t="shared" si="109"/>
        <v>183.39999399999999</v>
      </c>
      <c r="N836" s="1">
        <f t="shared" ca="1" si="110"/>
        <v>183.39999399999999</v>
      </c>
      <c r="O836" s="5">
        <f t="shared" si="111"/>
        <v>-5.8887613704065811E-2</v>
      </c>
    </row>
    <row r="837" spans="1:15" s="2" customFormat="1" x14ac:dyDescent="0.5">
      <c r="A837" s="6">
        <v>41569</v>
      </c>
      <c r="B837" s="1">
        <v>170.5</v>
      </c>
      <c r="C837" s="1">
        <v>177.779999</v>
      </c>
      <c r="D837" s="1">
        <v>166.11000100000001</v>
      </c>
      <c r="E837" s="1">
        <v>171.53999300000001</v>
      </c>
      <c r="F837" s="1">
        <v>171.53999300000001</v>
      </c>
      <c r="G837" s="2">
        <v>11386700</v>
      </c>
      <c r="H837" s="2">
        <f t="shared" si="104"/>
        <v>2013</v>
      </c>
      <c r="I837" s="2">
        <f t="shared" si="105"/>
        <v>10</v>
      </c>
      <c r="J837" s="2">
        <f t="shared" si="106"/>
        <v>22</v>
      </c>
      <c r="K837" s="2">
        <f t="shared" si="107"/>
        <v>3</v>
      </c>
      <c r="L837" s="2">
        <f t="shared" si="108"/>
        <v>11</v>
      </c>
      <c r="M837" s="3">
        <f t="shared" si="109"/>
        <v>172.60000600000001</v>
      </c>
      <c r="N837" s="1">
        <f t="shared" ca="1" si="110"/>
        <v>172.60000600000001</v>
      </c>
      <c r="O837" s="5">
        <f t="shared" si="111"/>
        <v>-6.1414424284550462E-3</v>
      </c>
    </row>
    <row r="838" spans="1:15" s="2" customFormat="1" x14ac:dyDescent="0.5">
      <c r="A838" s="6">
        <v>41570</v>
      </c>
      <c r="B838" s="1">
        <v>168.91000399999999</v>
      </c>
      <c r="C838" s="1">
        <v>171.80999800000001</v>
      </c>
      <c r="D838" s="1">
        <v>160.14999399999999</v>
      </c>
      <c r="E838" s="1">
        <v>164.5</v>
      </c>
      <c r="F838" s="1">
        <v>164.5</v>
      </c>
      <c r="G838" s="2">
        <v>13320400</v>
      </c>
      <c r="H838" s="2">
        <f t="shared" si="104"/>
        <v>2013</v>
      </c>
      <c r="I838" s="2">
        <f t="shared" si="105"/>
        <v>10</v>
      </c>
      <c r="J838" s="2">
        <f t="shared" si="106"/>
        <v>23</v>
      </c>
      <c r="K838" s="2">
        <f t="shared" si="107"/>
        <v>4</v>
      </c>
      <c r="L838" s="2">
        <f t="shared" si="108"/>
        <v>11</v>
      </c>
      <c r="M838" s="3">
        <f t="shared" si="109"/>
        <v>171.53999300000001</v>
      </c>
      <c r="N838" s="1">
        <f t="shared" ca="1" si="110"/>
        <v>171.53999300000001</v>
      </c>
      <c r="O838" s="5">
        <f t="shared" si="111"/>
        <v>-4.1039951540630004E-2</v>
      </c>
    </row>
    <row r="839" spans="1:15" s="2" customFormat="1" x14ac:dyDescent="0.5">
      <c r="A839" s="6">
        <v>41571</v>
      </c>
      <c r="B839" s="1">
        <v>165</v>
      </c>
      <c r="C839" s="1">
        <v>174.5</v>
      </c>
      <c r="D839" s="1">
        <v>162.83000200000001</v>
      </c>
      <c r="E839" s="1">
        <v>173.14999399999999</v>
      </c>
      <c r="F839" s="1">
        <v>173.14999399999999</v>
      </c>
      <c r="G839" s="2">
        <v>10825700</v>
      </c>
      <c r="H839" s="2">
        <f t="shared" si="104"/>
        <v>2013</v>
      </c>
      <c r="I839" s="2">
        <f t="shared" si="105"/>
        <v>10</v>
      </c>
      <c r="J839" s="2">
        <f t="shared" si="106"/>
        <v>24</v>
      </c>
      <c r="K839" s="2">
        <f t="shared" si="107"/>
        <v>5</v>
      </c>
      <c r="L839" s="2">
        <f t="shared" si="108"/>
        <v>11</v>
      </c>
      <c r="M839" s="3">
        <f t="shared" si="109"/>
        <v>164.5</v>
      </c>
      <c r="N839" s="1">
        <f t="shared" ca="1" si="110"/>
        <v>164.5</v>
      </c>
      <c r="O839" s="5">
        <f t="shared" si="111"/>
        <v>5.2583550151975578E-2</v>
      </c>
    </row>
    <row r="840" spans="1:15" s="2" customFormat="1" x14ac:dyDescent="0.5">
      <c r="A840" s="6">
        <v>41572</v>
      </c>
      <c r="B840" s="1">
        <v>174.21000699999999</v>
      </c>
      <c r="C840" s="1">
        <v>174.5</v>
      </c>
      <c r="D840" s="1">
        <v>166.800003</v>
      </c>
      <c r="E840" s="1">
        <v>169.66000399999999</v>
      </c>
      <c r="F840" s="1">
        <v>169.66000399999999</v>
      </c>
      <c r="G840" s="2">
        <v>7595500</v>
      </c>
      <c r="H840" s="2">
        <f t="shared" si="104"/>
        <v>2013</v>
      </c>
      <c r="I840" s="2">
        <f t="shared" si="105"/>
        <v>10</v>
      </c>
      <c r="J840" s="2">
        <f t="shared" si="106"/>
        <v>25</v>
      </c>
      <c r="K840" s="2">
        <f t="shared" si="107"/>
        <v>6</v>
      </c>
      <c r="L840" s="2">
        <f t="shared" si="108"/>
        <v>11</v>
      </c>
      <c r="M840" s="3">
        <f t="shared" si="109"/>
        <v>173.14999399999999</v>
      </c>
      <c r="N840" s="1">
        <f t="shared" ca="1" si="110"/>
        <v>173.14999399999999</v>
      </c>
      <c r="O840" s="5">
        <f t="shared" si="111"/>
        <v>-2.0155877106181164E-2</v>
      </c>
    </row>
    <row r="841" spans="1:15" s="2" customFormat="1" x14ac:dyDescent="0.5">
      <c r="A841" s="6">
        <v>41575</v>
      </c>
      <c r="B841" s="1">
        <v>170.179993</v>
      </c>
      <c r="C841" s="1">
        <v>170.5</v>
      </c>
      <c r="D841" s="1">
        <v>162.199997</v>
      </c>
      <c r="E841" s="1">
        <v>162.86000100000001</v>
      </c>
      <c r="F841" s="1">
        <v>162.86000100000001</v>
      </c>
      <c r="G841" s="2">
        <v>7841700</v>
      </c>
      <c r="H841" s="2">
        <f t="shared" si="104"/>
        <v>2013</v>
      </c>
      <c r="I841" s="2">
        <f t="shared" si="105"/>
        <v>10</v>
      </c>
      <c r="J841" s="2">
        <f t="shared" si="106"/>
        <v>28</v>
      </c>
      <c r="K841" s="2">
        <f t="shared" si="107"/>
        <v>2</v>
      </c>
      <c r="L841" s="2">
        <f t="shared" si="108"/>
        <v>11</v>
      </c>
      <c r="M841" s="3">
        <f t="shared" si="109"/>
        <v>169.66000399999999</v>
      </c>
      <c r="N841" s="1">
        <f t="shared" ca="1" si="110"/>
        <v>169.66000399999999</v>
      </c>
      <c r="O841" s="5">
        <f t="shared" si="111"/>
        <v>-4.0080177058111954E-2</v>
      </c>
    </row>
    <row r="842" spans="1:15" s="2" customFormat="1" x14ac:dyDescent="0.5">
      <c r="A842" s="6">
        <v>41576</v>
      </c>
      <c r="B842" s="1">
        <v>162.759995</v>
      </c>
      <c r="C842" s="1">
        <v>165.449997</v>
      </c>
      <c r="D842" s="1">
        <v>153</v>
      </c>
      <c r="E842" s="1">
        <v>164.470001</v>
      </c>
      <c r="F842" s="1">
        <v>164.470001</v>
      </c>
      <c r="G842" s="2">
        <v>14111700</v>
      </c>
      <c r="H842" s="2">
        <f t="shared" si="104"/>
        <v>2013</v>
      </c>
      <c r="I842" s="2">
        <f t="shared" si="105"/>
        <v>10</v>
      </c>
      <c r="J842" s="2">
        <f t="shared" si="106"/>
        <v>29</v>
      </c>
      <c r="K842" s="2">
        <f t="shared" si="107"/>
        <v>3</v>
      </c>
      <c r="L842" s="2">
        <f t="shared" si="108"/>
        <v>11</v>
      </c>
      <c r="M842" s="3">
        <f t="shared" si="109"/>
        <v>162.86000100000001</v>
      </c>
      <c r="N842" s="1">
        <f t="shared" ca="1" si="110"/>
        <v>162.86000100000001</v>
      </c>
      <c r="O842" s="5">
        <f t="shared" si="111"/>
        <v>9.8857914166412542E-3</v>
      </c>
    </row>
    <row r="843" spans="1:15" s="2" customFormat="1" x14ac:dyDescent="0.5">
      <c r="A843" s="6">
        <v>41577</v>
      </c>
      <c r="B843" s="1">
        <v>164.63000500000001</v>
      </c>
      <c r="C843" s="1">
        <v>167.679993</v>
      </c>
      <c r="D843" s="1">
        <v>158.16999799999999</v>
      </c>
      <c r="E843" s="1">
        <v>159.220001</v>
      </c>
      <c r="F843" s="1">
        <v>159.220001</v>
      </c>
      <c r="G843" s="2">
        <v>8401800</v>
      </c>
      <c r="H843" s="2">
        <f t="shared" si="104"/>
        <v>2013</v>
      </c>
      <c r="I843" s="2">
        <f t="shared" si="105"/>
        <v>10</v>
      </c>
      <c r="J843" s="2">
        <f t="shared" si="106"/>
        <v>30</v>
      </c>
      <c r="K843" s="2">
        <f t="shared" si="107"/>
        <v>4</v>
      </c>
      <c r="L843" s="2">
        <f t="shared" si="108"/>
        <v>11</v>
      </c>
      <c r="M843" s="3">
        <f t="shared" si="109"/>
        <v>164.470001</v>
      </c>
      <c r="N843" s="1">
        <f t="shared" ca="1" si="110"/>
        <v>164.470001</v>
      </c>
      <c r="O843" s="5">
        <f t="shared" si="111"/>
        <v>-3.1920714829934194E-2</v>
      </c>
    </row>
    <row r="844" spans="1:15" s="2" customFormat="1" x14ac:dyDescent="0.5">
      <c r="A844" s="6">
        <v>41578</v>
      </c>
      <c r="B844" s="1">
        <v>155.66999799999999</v>
      </c>
      <c r="C844" s="1">
        <v>162.44000199999999</v>
      </c>
      <c r="D844" s="1">
        <v>153.300003</v>
      </c>
      <c r="E844" s="1">
        <v>159.94000199999999</v>
      </c>
      <c r="F844" s="1">
        <v>159.94000199999999</v>
      </c>
      <c r="G844" s="2">
        <v>9333800</v>
      </c>
      <c r="H844" s="2">
        <f t="shared" si="104"/>
        <v>2013</v>
      </c>
      <c r="I844" s="2">
        <f t="shared" si="105"/>
        <v>10</v>
      </c>
      <c r="J844" s="2">
        <f t="shared" si="106"/>
        <v>31</v>
      </c>
      <c r="K844" s="2">
        <f t="shared" si="107"/>
        <v>5</v>
      </c>
      <c r="L844" s="2">
        <f t="shared" si="108"/>
        <v>11</v>
      </c>
      <c r="M844" s="3">
        <f t="shared" si="109"/>
        <v>159.220001</v>
      </c>
      <c r="N844" s="1">
        <f t="shared" ca="1" si="110"/>
        <v>159.220001</v>
      </c>
      <c r="O844" s="5">
        <f t="shared" si="111"/>
        <v>4.5220512214416697E-3</v>
      </c>
    </row>
    <row r="845" spans="1:15" s="2" customFormat="1" x14ac:dyDescent="0.5">
      <c r="A845" s="6">
        <v>41579</v>
      </c>
      <c r="B845" s="1">
        <v>163</v>
      </c>
      <c r="C845" s="1">
        <v>165.89999399999999</v>
      </c>
      <c r="D845" s="1">
        <v>160.41000399999999</v>
      </c>
      <c r="E845" s="1">
        <v>162.16999799999999</v>
      </c>
      <c r="F845" s="1">
        <v>162.16999799999999</v>
      </c>
      <c r="G845" s="2">
        <v>7180600</v>
      </c>
      <c r="H845" s="2">
        <f t="shared" si="104"/>
        <v>2013</v>
      </c>
      <c r="I845" s="2">
        <f t="shared" si="105"/>
        <v>11</v>
      </c>
      <c r="J845" s="2">
        <f t="shared" si="106"/>
        <v>1</v>
      </c>
      <c r="K845" s="2">
        <f t="shared" si="107"/>
        <v>6</v>
      </c>
      <c r="L845" s="2">
        <f t="shared" si="108"/>
        <v>12</v>
      </c>
      <c r="M845" s="3">
        <f t="shared" si="109"/>
        <v>159.94000199999999</v>
      </c>
      <c r="N845" s="1">
        <f t="shared" ca="1" si="110"/>
        <v>159.94000199999999</v>
      </c>
      <c r="O845" s="5">
        <f t="shared" si="111"/>
        <v>1.3942703339468565E-2</v>
      </c>
    </row>
    <row r="846" spans="1:15" s="2" customFormat="1" x14ac:dyDescent="0.5">
      <c r="A846" s="6">
        <v>41582</v>
      </c>
      <c r="B846" s="1">
        <v>165</v>
      </c>
      <c r="C846" s="1">
        <v>175.38999899999999</v>
      </c>
      <c r="D846" s="1">
        <v>164.220001</v>
      </c>
      <c r="E846" s="1">
        <v>175.199997</v>
      </c>
      <c r="F846" s="1">
        <v>175.199997</v>
      </c>
      <c r="G846" s="2">
        <v>13120400</v>
      </c>
      <c r="H846" s="2">
        <f t="shared" si="104"/>
        <v>2013</v>
      </c>
      <c r="I846" s="2">
        <f t="shared" si="105"/>
        <v>11</v>
      </c>
      <c r="J846" s="2">
        <f t="shared" si="106"/>
        <v>4</v>
      </c>
      <c r="K846" s="2">
        <f t="shared" si="107"/>
        <v>2</v>
      </c>
      <c r="L846" s="2">
        <f t="shared" si="108"/>
        <v>12</v>
      </c>
      <c r="M846" s="3">
        <f t="shared" si="109"/>
        <v>162.16999799999999</v>
      </c>
      <c r="N846" s="1">
        <f t="shared" ca="1" si="110"/>
        <v>162.16999799999999</v>
      </c>
      <c r="O846" s="5">
        <f t="shared" si="111"/>
        <v>8.0347778015018578E-2</v>
      </c>
    </row>
    <row r="847" spans="1:15" s="2" customFormat="1" x14ac:dyDescent="0.5">
      <c r="A847" s="6">
        <v>41583</v>
      </c>
      <c r="B847" s="1">
        <v>180</v>
      </c>
      <c r="C847" s="1">
        <v>181.429993</v>
      </c>
      <c r="D847" s="1">
        <v>171.36000100000001</v>
      </c>
      <c r="E847" s="1">
        <v>176.80999800000001</v>
      </c>
      <c r="F847" s="1">
        <v>176.80999800000001</v>
      </c>
      <c r="G847" s="2">
        <v>22467100</v>
      </c>
      <c r="H847" s="2">
        <f t="shared" si="104"/>
        <v>2013</v>
      </c>
      <c r="I847" s="2">
        <f t="shared" si="105"/>
        <v>11</v>
      </c>
      <c r="J847" s="2">
        <f t="shared" si="106"/>
        <v>5</v>
      </c>
      <c r="K847" s="2">
        <f t="shared" si="107"/>
        <v>3</v>
      </c>
      <c r="L847" s="2">
        <f t="shared" si="108"/>
        <v>12</v>
      </c>
      <c r="M847" s="3">
        <f t="shared" si="109"/>
        <v>175.199997</v>
      </c>
      <c r="N847" s="1">
        <f t="shared" ca="1" si="110"/>
        <v>175.199997</v>
      </c>
      <c r="O847" s="5">
        <f t="shared" si="111"/>
        <v>9.189503582012204E-3</v>
      </c>
    </row>
    <row r="848" spans="1:15" s="2" customFormat="1" x14ac:dyDescent="0.5">
      <c r="A848" s="6">
        <v>41584</v>
      </c>
      <c r="B848" s="1">
        <v>154.80999800000001</v>
      </c>
      <c r="C848" s="1">
        <v>160.729996</v>
      </c>
      <c r="D848" s="1">
        <v>146.35000600000001</v>
      </c>
      <c r="E848" s="1">
        <v>151.16000399999999</v>
      </c>
      <c r="F848" s="1">
        <v>151.16000399999999</v>
      </c>
      <c r="G848" s="2">
        <v>31071700</v>
      </c>
      <c r="H848" s="2">
        <f t="shared" si="104"/>
        <v>2013</v>
      </c>
      <c r="I848" s="2">
        <f t="shared" si="105"/>
        <v>11</v>
      </c>
      <c r="J848" s="2">
        <f t="shared" si="106"/>
        <v>6</v>
      </c>
      <c r="K848" s="2">
        <f t="shared" si="107"/>
        <v>4</v>
      </c>
      <c r="L848" s="2">
        <f t="shared" si="108"/>
        <v>12</v>
      </c>
      <c r="M848" s="3">
        <f t="shared" si="109"/>
        <v>176.80999800000001</v>
      </c>
      <c r="N848" s="1">
        <f t="shared" ca="1" si="110"/>
        <v>176.80999800000001</v>
      </c>
      <c r="O848" s="5">
        <f t="shared" si="111"/>
        <v>-0.14507094785443087</v>
      </c>
    </row>
    <row r="849" spans="1:15" s="2" customFormat="1" x14ac:dyDescent="0.5">
      <c r="A849" s="6">
        <v>41585</v>
      </c>
      <c r="B849" s="1">
        <v>144.19000199999999</v>
      </c>
      <c r="C849" s="1">
        <v>145.64999399999999</v>
      </c>
      <c r="D849" s="1">
        <v>137.61999499999999</v>
      </c>
      <c r="E849" s="1">
        <v>139.770004</v>
      </c>
      <c r="F849" s="1">
        <v>139.770004</v>
      </c>
      <c r="G849" s="2">
        <v>22284700</v>
      </c>
      <c r="H849" s="2">
        <f t="shared" si="104"/>
        <v>2013</v>
      </c>
      <c r="I849" s="2">
        <f t="shared" si="105"/>
        <v>11</v>
      </c>
      <c r="J849" s="2">
        <f t="shared" si="106"/>
        <v>7</v>
      </c>
      <c r="K849" s="2">
        <f t="shared" si="107"/>
        <v>5</v>
      </c>
      <c r="L849" s="2">
        <f t="shared" si="108"/>
        <v>12</v>
      </c>
      <c r="M849" s="3">
        <f t="shared" si="109"/>
        <v>151.16000399999999</v>
      </c>
      <c r="N849" s="1">
        <f t="shared" ca="1" si="110"/>
        <v>151.16000399999999</v>
      </c>
      <c r="O849" s="5">
        <f t="shared" si="111"/>
        <v>-7.535061986370406E-2</v>
      </c>
    </row>
    <row r="850" spans="1:15" s="2" customFormat="1" x14ac:dyDescent="0.5">
      <c r="A850" s="6">
        <v>41586</v>
      </c>
      <c r="B850" s="1">
        <v>136.479996</v>
      </c>
      <c r="C850" s="1">
        <v>140.60000600000001</v>
      </c>
      <c r="D850" s="1">
        <v>132.320007</v>
      </c>
      <c r="E850" s="1">
        <v>137.949997</v>
      </c>
      <c r="F850" s="1">
        <v>137.949997</v>
      </c>
      <c r="G850" s="2">
        <v>22477900</v>
      </c>
      <c r="H850" s="2">
        <f t="shared" si="104"/>
        <v>2013</v>
      </c>
      <c r="I850" s="2">
        <f t="shared" si="105"/>
        <v>11</v>
      </c>
      <c r="J850" s="2">
        <f t="shared" si="106"/>
        <v>8</v>
      </c>
      <c r="K850" s="2">
        <f t="shared" si="107"/>
        <v>6</v>
      </c>
      <c r="L850" s="2">
        <f t="shared" si="108"/>
        <v>12</v>
      </c>
      <c r="M850" s="3">
        <f t="shared" si="109"/>
        <v>139.770004</v>
      </c>
      <c r="N850" s="1">
        <f t="shared" ca="1" si="110"/>
        <v>139.770004</v>
      </c>
      <c r="O850" s="5">
        <f t="shared" si="111"/>
        <v>-1.3021441996953875E-2</v>
      </c>
    </row>
    <row r="851" spans="1:15" s="2" customFormat="1" x14ac:dyDescent="0.5">
      <c r="A851" s="6">
        <v>41589</v>
      </c>
      <c r="B851" s="1">
        <v>141</v>
      </c>
      <c r="C851" s="1">
        <v>145.41999799999999</v>
      </c>
      <c r="D851" s="1">
        <v>137.10000600000001</v>
      </c>
      <c r="E851" s="1">
        <v>144.699997</v>
      </c>
      <c r="F851" s="1">
        <v>144.699997</v>
      </c>
      <c r="G851" s="2">
        <v>13997600</v>
      </c>
      <c r="H851" s="2">
        <f t="shared" si="104"/>
        <v>2013</v>
      </c>
      <c r="I851" s="2">
        <f t="shared" si="105"/>
        <v>11</v>
      </c>
      <c r="J851" s="2">
        <f t="shared" si="106"/>
        <v>11</v>
      </c>
      <c r="K851" s="2">
        <f t="shared" si="107"/>
        <v>2</v>
      </c>
      <c r="L851" s="2">
        <f t="shared" si="108"/>
        <v>12</v>
      </c>
      <c r="M851" s="3">
        <f t="shared" si="109"/>
        <v>137.949997</v>
      </c>
      <c r="N851" s="1">
        <f t="shared" ca="1" si="110"/>
        <v>137.949997</v>
      </c>
      <c r="O851" s="5">
        <f t="shared" si="111"/>
        <v>4.8930773082945356E-2</v>
      </c>
    </row>
    <row r="852" spans="1:15" s="2" customFormat="1" x14ac:dyDescent="0.5">
      <c r="A852" s="6">
        <v>41590</v>
      </c>
      <c r="B852" s="1">
        <v>144.69000199999999</v>
      </c>
      <c r="C852" s="1">
        <v>144.699997</v>
      </c>
      <c r="D852" s="1">
        <v>136.179993</v>
      </c>
      <c r="E852" s="1">
        <v>137.800003</v>
      </c>
      <c r="F852" s="1">
        <v>137.800003</v>
      </c>
      <c r="G852" s="2">
        <v>14985200</v>
      </c>
      <c r="H852" s="2">
        <f t="shared" si="104"/>
        <v>2013</v>
      </c>
      <c r="I852" s="2">
        <f t="shared" si="105"/>
        <v>11</v>
      </c>
      <c r="J852" s="2">
        <f t="shared" si="106"/>
        <v>12</v>
      </c>
      <c r="K852" s="2">
        <f t="shared" si="107"/>
        <v>3</v>
      </c>
      <c r="L852" s="2">
        <f t="shared" si="108"/>
        <v>12</v>
      </c>
      <c r="M852" s="3">
        <f t="shared" si="109"/>
        <v>144.699997</v>
      </c>
      <c r="N852" s="1">
        <f t="shared" ca="1" si="110"/>
        <v>144.699997</v>
      </c>
      <c r="O852" s="5">
        <f t="shared" si="111"/>
        <v>-4.7684824761952127E-2</v>
      </c>
    </row>
    <row r="853" spans="1:15" s="2" customFormat="1" x14ac:dyDescent="0.5">
      <c r="A853" s="6">
        <v>41591</v>
      </c>
      <c r="B853" s="1">
        <v>140.83999600000001</v>
      </c>
      <c r="C853" s="1">
        <v>142.36999499999999</v>
      </c>
      <c r="D853" s="1">
        <v>136.33999600000001</v>
      </c>
      <c r="E853" s="1">
        <v>138.699997</v>
      </c>
      <c r="F853" s="1">
        <v>138.699997</v>
      </c>
      <c r="G853" s="2">
        <v>12658300</v>
      </c>
      <c r="H853" s="2">
        <f t="shared" si="104"/>
        <v>2013</v>
      </c>
      <c r="I853" s="2">
        <f t="shared" si="105"/>
        <v>11</v>
      </c>
      <c r="J853" s="2">
        <f t="shared" si="106"/>
        <v>13</v>
      </c>
      <c r="K853" s="2">
        <f t="shared" si="107"/>
        <v>4</v>
      </c>
      <c r="L853" s="2">
        <f t="shared" si="108"/>
        <v>12</v>
      </c>
      <c r="M853" s="3">
        <f t="shared" si="109"/>
        <v>137.800003</v>
      </c>
      <c r="N853" s="1">
        <f t="shared" ca="1" si="110"/>
        <v>137.800003</v>
      </c>
      <c r="O853" s="5">
        <f t="shared" si="111"/>
        <v>6.5311609608600385E-3</v>
      </c>
    </row>
    <row r="854" spans="1:15" s="2" customFormat="1" x14ac:dyDescent="0.5">
      <c r="A854" s="6">
        <v>41592</v>
      </c>
      <c r="B854" s="1">
        <v>138.91999799999999</v>
      </c>
      <c r="C854" s="1">
        <v>140.39999399999999</v>
      </c>
      <c r="D854" s="1">
        <v>134.11000100000001</v>
      </c>
      <c r="E854" s="1">
        <v>137.60000600000001</v>
      </c>
      <c r="F854" s="1">
        <v>137.60000600000001</v>
      </c>
      <c r="G854" s="2">
        <v>12203700</v>
      </c>
      <c r="H854" s="2">
        <f t="shared" si="104"/>
        <v>2013</v>
      </c>
      <c r="I854" s="2">
        <f t="shared" si="105"/>
        <v>11</v>
      </c>
      <c r="J854" s="2">
        <f t="shared" si="106"/>
        <v>14</v>
      </c>
      <c r="K854" s="2">
        <f t="shared" si="107"/>
        <v>5</v>
      </c>
      <c r="L854" s="2">
        <f t="shared" si="108"/>
        <v>12</v>
      </c>
      <c r="M854" s="3">
        <f t="shared" si="109"/>
        <v>138.699997</v>
      </c>
      <c r="N854" s="1">
        <f t="shared" ca="1" si="110"/>
        <v>138.699997</v>
      </c>
      <c r="O854" s="5">
        <f t="shared" si="111"/>
        <v>-7.9307211520702747E-3</v>
      </c>
    </row>
    <row r="855" spans="1:15" s="2" customFormat="1" x14ac:dyDescent="0.5">
      <c r="A855" s="6">
        <v>41593</v>
      </c>
      <c r="B855" s="1">
        <v>136.85000600000001</v>
      </c>
      <c r="C855" s="1">
        <v>137.949997</v>
      </c>
      <c r="D855" s="1">
        <v>134.35000600000001</v>
      </c>
      <c r="E855" s="1">
        <v>135.449997</v>
      </c>
      <c r="F855" s="1">
        <v>135.449997</v>
      </c>
      <c r="G855" s="2">
        <v>9900200</v>
      </c>
      <c r="H855" s="2">
        <f t="shared" si="104"/>
        <v>2013</v>
      </c>
      <c r="I855" s="2">
        <f t="shared" si="105"/>
        <v>11</v>
      </c>
      <c r="J855" s="2">
        <f t="shared" si="106"/>
        <v>15</v>
      </c>
      <c r="K855" s="2">
        <f t="shared" si="107"/>
        <v>6</v>
      </c>
      <c r="L855" s="2">
        <f t="shared" si="108"/>
        <v>12</v>
      </c>
      <c r="M855" s="3">
        <f t="shared" si="109"/>
        <v>137.60000600000001</v>
      </c>
      <c r="N855" s="1">
        <f t="shared" ca="1" si="110"/>
        <v>137.60000600000001</v>
      </c>
      <c r="O855" s="5">
        <f t="shared" si="111"/>
        <v>-1.5625064725651283E-2</v>
      </c>
    </row>
    <row r="856" spans="1:15" s="2" customFormat="1" x14ac:dyDescent="0.5">
      <c r="A856" s="6">
        <v>41596</v>
      </c>
      <c r="B856" s="1">
        <v>135.270004</v>
      </c>
      <c r="C856" s="1">
        <v>135.449997</v>
      </c>
      <c r="D856" s="1">
        <v>119.610001</v>
      </c>
      <c r="E856" s="1">
        <v>121.58000199999999</v>
      </c>
      <c r="F856" s="1">
        <v>121.58000199999999</v>
      </c>
      <c r="G856" s="2">
        <v>23138200</v>
      </c>
      <c r="H856" s="2">
        <f t="shared" si="104"/>
        <v>2013</v>
      </c>
      <c r="I856" s="2">
        <f t="shared" si="105"/>
        <v>11</v>
      </c>
      <c r="J856" s="2">
        <f t="shared" si="106"/>
        <v>18</v>
      </c>
      <c r="K856" s="2">
        <f t="shared" si="107"/>
        <v>2</v>
      </c>
      <c r="L856" s="2">
        <f t="shared" si="108"/>
        <v>12</v>
      </c>
      <c r="M856" s="3">
        <f t="shared" si="109"/>
        <v>135.449997</v>
      </c>
      <c r="N856" s="1">
        <f t="shared" ca="1" si="110"/>
        <v>135.449997</v>
      </c>
      <c r="O856" s="5">
        <f t="shared" si="111"/>
        <v>-0.10239937473014493</v>
      </c>
    </row>
    <row r="857" spans="1:15" s="2" customFormat="1" x14ac:dyDescent="0.5">
      <c r="A857" s="6">
        <v>41597</v>
      </c>
      <c r="B857" s="1">
        <v>119.43</v>
      </c>
      <c r="C857" s="1">
        <v>129</v>
      </c>
      <c r="D857" s="1">
        <v>119.220001</v>
      </c>
      <c r="E857" s="1">
        <v>126.089996</v>
      </c>
      <c r="F857" s="1">
        <v>126.089996</v>
      </c>
      <c r="G857" s="2">
        <v>19816200</v>
      </c>
      <c r="H857" s="2">
        <f t="shared" si="104"/>
        <v>2013</v>
      </c>
      <c r="I857" s="2">
        <f t="shared" si="105"/>
        <v>11</v>
      </c>
      <c r="J857" s="2">
        <f t="shared" si="106"/>
        <v>19</v>
      </c>
      <c r="K857" s="2">
        <f t="shared" si="107"/>
        <v>3</v>
      </c>
      <c r="L857" s="2">
        <f t="shared" si="108"/>
        <v>12</v>
      </c>
      <c r="M857" s="3">
        <f t="shared" si="109"/>
        <v>121.58000199999999</v>
      </c>
      <c r="N857" s="1">
        <f t="shared" ca="1" si="110"/>
        <v>121.58000199999999</v>
      </c>
      <c r="O857" s="5">
        <f t="shared" si="111"/>
        <v>3.7094866966690843E-2</v>
      </c>
    </row>
    <row r="858" spans="1:15" s="2" customFormat="1" x14ac:dyDescent="0.5">
      <c r="A858" s="6">
        <v>41598</v>
      </c>
      <c r="B858" s="1">
        <v>126.08000199999999</v>
      </c>
      <c r="C858" s="1">
        <v>127.449997</v>
      </c>
      <c r="D858" s="1">
        <v>119.05999799999999</v>
      </c>
      <c r="E858" s="1">
        <v>121.110001</v>
      </c>
      <c r="F858" s="1">
        <v>121.110001</v>
      </c>
      <c r="G858" s="2">
        <v>13849600</v>
      </c>
      <c r="H858" s="2">
        <f t="shared" si="104"/>
        <v>2013</v>
      </c>
      <c r="I858" s="2">
        <f t="shared" si="105"/>
        <v>11</v>
      </c>
      <c r="J858" s="2">
        <f t="shared" si="106"/>
        <v>20</v>
      </c>
      <c r="K858" s="2">
        <f t="shared" si="107"/>
        <v>4</v>
      </c>
      <c r="L858" s="2">
        <f t="shared" si="108"/>
        <v>12</v>
      </c>
      <c r="M858" s="3">
        <f t="shared" si="109"/>
        <v>126.089996</v>
      </c>
      <c r="N858" s="1">
        <f t="shared" ca="1" si="110"/>
        <v>126.089996</v>
      </c>
      <c r="O858" s="5">
        <f t="shared" si="111"/>
        <v>-3.9495559980825101E-2</v>
      </c>
    </row>
    <row r="859" spans="1:15" s="2" customFormat="1" x14ac:dyDescent="0.5">
      <c r="A859" s="6">
        <v>41599</v>
      </c>
      <c r="B859" s="1">
        <v>122.889999</v>
      </c>
      <c r="C859" s="1">
        <v>124.790001</v>
      </c>
      <c r="D859" s="1">
        <v>120.25</v>
      </c>
      <c r="E859" s="1">
        <v>122.099998</v>
      </c>
      <c r="F859" s="1">
        <v>122.099998</v>
      </c>
      <c r="G859" s="2">
        <v>11903800</v>
      </c>
      <c r="H859" s="2">
        <f t="shared" si="104"/>
        <v>2013</v>
      </c>
      <c r="I859" s="2">
        <f t="shared" si="105"/>
        <v>11</v>
      </c>
      <c r="J859" s="2">
        <f t="shared" si="106"/>
        <v>21</v>
      </c>
      <c r="K859" s="2">
        <f t="shared" si="107"/>
        <v>5</v>
      </c>
      <c r="L859" s="2">
        <f t="shared" si="108"/>
        <v>12</v>
      </c>
      <c r="M859" s="3">
        <f t="shared" si="109"/>
        <v>121.110001</v>
      </c>
      <c r="N859" s="1">
        <f t="shared" ca="1" si="110"/>
        <v>121.110001</v>
      </c>
      <c r="O859" s="5">
        <f t="shared" si="111"/>
        <v>8.1743620826162378E-3</v>
      </c>
    </row>
    <row r="860" spans="1:15" s="2" customFormat="1" x14ac:dyDescent="0.5">
      <c r="A860" s="6">
        <v>41600</v>
      </c>
      <c r="B860" s="1">
        <v>121.58000199999999</v>
      </c>
      <c r="C860" s="1">
        <v>122.75</v>
      </c>
      <c r="D860" s="1">
        <v>117.93</v>
      </c>
      <c r="E860" s="1">
        <v>121.379997</v>
      </c>
      <c r="F860" s="1">
        <v>121.379997</v>
      </c>
      <c r="G860" s="2">
        <v>11096700</v>
      </c>
      <c r="H860" s="2">
        <f t="shared" si="104"/>
        <v>2013</v>
      </c>
      <c r="I860" s="2">
        <f t="shared" si="105"/>
        <v>11</v>
      </c>
      <c r="J860" s="2">
        <f t="shared" si="106"/>
        <v>22</v>
      </c>
      <c r="K860" s="2">
        <f t="shared" si="107"/>
        <v>6</v>
      </c>
      <c r="L860" s="2">
        <f t="shared" si="108"/>
        <v>12</v>
      </c>
      <c r="M860" s="3">
        <f t="shared" si="109"/>
        <v>122.099998</v>
      </c>
      <c r="N860" s="1">
        <f t="shared" ca="1" si="110"/>
        <v>122.099998</v>
      </c>
      <c r="O860" s="5">
        <f t="shared" si="111"/>
        <v>-5.8968141834039312E-3</v>
      </c>
    </row>
    <row r="861" spans="1:15" s="2" customFormat="1" x14ac:dyDescent="0.5">
      <c r="A861" s="6">
        <v>41603</v>
      </c>
      <c r="B861" s="1">
        <v>124.5</v>
      </c>
      <c r="C861" s="1">
        <v>125.839996</v>
      </c>
      <c r="D861" s="1">
        <v>120.300003</v>
      </c>
      <c r="E861" s="1">
        <v>120.839996</v>
      </c>
      <c r="F861" s="1">
        <v>120.839996</v>
      </c>
      <c r="G861" s="2">
        <v>10267300</v>
      </c>
      <c r="H861" s="2">
        <f t="shared" si="104"/>
        <v>2013</v>
      </c>
      <c r="I861" s="2">
        <f t="shared" si="105"/>
        <v>11</v>
      </c>
      <c r="J861" s="2">
        <f t="shared" si="106"/>
        <v>25</v>
      </c>
      <c r="K861" s="2">
        <f t="shared" si="107"/>
        <v>2</v>
      </c>
      <c r="L861" s="2">
        <f t="shared" si="108"/>
        <v>12</v>
      </c>
      <c r="M861" s="3">
        <f t="shared" si="109"/>
        <v>121.379997</v>
      </c>
      <c r="N861" s="1">
        <f t="shared" ca="1" si="110"/>
        <v>121.379997</v>
      </c>
      <c r="O861" s="5">
        <f t="shared" si="111"/>
        <v>-4.4488467074191851E-3</v>
      </c>
    </row>
    <row r="862" spans="1:15" s="2" customFormat="1" x14ac:dyDescent="0.5">
      <c r="A862" s="6">
        <v>41604</v>
      </c>
      <c r="B862" s="1">
        <v>119.379997</v>
      </c>
      <c r="C862" s="1">
        <v>122.720001</v>
      </c>
      <c r="D862" s="1">
        <v>116.099998</v>
      </c>
      <c r="E862" s="1">
        <v>120.5</v>
      </c>
      <c r="F862" s="1">
        <v>120.5</v>
      </c>
      <c r="G862" s="2">
        <v>13885500</v>
      </c>
      <c r="H862" s="2">
        <f t="shared" si="104"/>
        <v>2013</v>
      </c>
      <c r="I862" s="2">
        <f t="shared" si="105"/>
        <v>11</v>
      </c>
      <c r="J862" s="2">
        <f t="shared" si="106"/>
        <v>26</v>
      </c>
      <c r="K862" s="2">
        <f t="shared" si="107"/>
        <v>3</v>
      </c>
      <c r="L862" s="2">
        <f t="shared" si="108"/>
        <v>12</v>
      </c>
      <c r="M862" s="3">
        <f t="shared" si="109"/>
        <v>120.839996</v>
      </c>
      <c r="N862" s="1">
        <f t="shared" ca="1" si="110"/>
        <v>120.839996</v>
      </c>
      <c r="O862" s="5">
        <f t="shared" si="111"/>
        <v>-2.8136048597684482E-3</v>
      </c>
    </row>
    <row r="863" spans="1:15" s="2" customFormat="1" x14ac:dyDescent="0.5">
      <c r="A863" s="6">
        <v>41605</v>
      </c>
      <c r="B863" s="1">
        <v>121.30999799999999</v>
      </c>
      <c r="C863" s="1">
        <v>126.949997</v>
      </c>
      <c r="D863" s="1">
        <v>119.519997</v>
      </c>
      <c r="E863" s="1">
        <v>126.94000200000001</v>
      </c>
      <c r="F863" s="1">
        <v>126.94000200000001</v>
      </c>
      <c r="G863" s="2">
        <v>12367600</v>
      </c>
      <c r="H863" s="2">
        <f t="shared" si="104"/>
        <v>2013</v>
      </c>
      <c r="I863" s="2">
        <f t="shared" si="105"/>
        <v>11</v>
      </c>
      <c r="J863" s="2">
        <f t="shared" si="106"/>
        <v>27</v>
      </c>
      <c r="K863" s="2">
        <f t="shared" si="107"/>
        <v>4</v>
      </c>
      <c r="L863" s="2">
        <f t="shared" si="108"/>
        <v>12</v>
      </c>
      <c r="M863" s="3">
        <f t="shared" si="109"/>
        <v>120.5</v>
      </c>
      <c r="N863" s="1">
        <f t="shared" ca="1" si="110"/>
        <v>120.5</v>
      </c>
      <c r="O863" s="5">
        <f t="shared" si="111"/>
        <v>5.3444000000000047E-2</v>
      </c>
    </row>
    <row r="864" spans="1:15" s="2" customFormat="1" x14ac:dyDescent="0.5">
      <c r="A864" s="6">
        <v>41607</v>
      </c>
      <c r="B864" s="1">
        <v>129.770004</v>
      </c>
      <c r="C864" s="1">
        <v>130.58999600000001</v>
      </c>
      <c r="D864" s="1">
        <v>126.980003</v>
      </c>
      <c r="E864" s="1">
        <v>127.279999</v>
      </c>
      <c r="F864" s="1">
        <v>127.279999</v>
      </c>
      <c r="G864" s="2">
        <v>9716200</v>
      </c>
      <c r="H864" s="2">
        <f t="shared" si="104"/>
        <v>2013</v>
      </c>
      <c r="I864" s="2">
        <f t="shared" si="105"/>
        <v>11</v>
      </c>
      <c r="J864" s="2">
        <f t="shared" si="106"/>
        <v>29</v>
      </c>
      <c r="K864" s="2">
        <f t="shared" si="107"/>
        <v>6</v>
      </c>
      <c r="L864" s="2">
        <f t="shared" si="108"/>
        <v>12</v>
      </c>
      <c r="M864" s="3">
        <f t="shared" si="109"/>
        <v>126.94000200000001</v>
      </c>
      <c r="N864" s="1">
        <f t="shared" ca="1" si="110"/>
        <v>126.94000200000001</v>
      </c>
      <c r="O864" s="5">
        <f t="shared" si="111"/>
        <v>2.6784070792751358E-3</v>
      </c>
    </row>
    <row r="865" spans="1:15" s="2" customFormat="1" x14ac:dyDescent="0.5">
      <c r="A865" s="6">
        <v>41610</v>
      </c>
      <c r="B865" s="1">
        <v>126.349998</v>
      </c>
      <c r="C865" s="1">
        <v>128.550003</v>
      </c>
      <c r="D865" s="1">
        <v>123.93</v>
      </c>
      <c r="E865" s="1">
        <v>124.16999800000001</v>
      </c>
      <c r="F865" s="1">
        <v>124.16999800000001</v>
      </c>
      <c r="G865" s="2">
        <v>7751200</v>
      </c>
      <c r="H865" s="2">
        <f t="shared" si="104"/>
        <v>2013</v>
      </c>
      <c r="I865" s="2">
        <f t="shared" si="105"/>
        <v>12</v>
      </c>
      <c r="J865" s="2">
        <f t="shared" si="106"/>
        <v>2</v>
      </c>
      <c r="K865" s="2">
        <f t="shared" si="107"/>
        <v>2</v>
      </c>
      <c r="L865" s="2">
        <f t="shared" si="108"/>
        <v>13</v>
      </c>
      <c r="M865" s="3">
        <f t="shared" si="109"/>
        <v>127.279999</v>
      </c>
      <c r="N865" s="1">
        <f t="shared" ca="1" si="110"/>
        <v>127.279999</v>
      </c>
      <c r="O865" s="5">
        <f t="shared" si="111"/>
        <v>-2.4434326087636071E-2</v>
      </c>
    </row>
    <row r="866" spans="1:15" s="2" customFormat="1" x14ac:dyDescent="0.5">
      <c r="A866" s="6">
        <v>41611</v>
      </c>
      <c r="B866" s="1">
        <v>132.679993</v>
      </c>
      <c r="C866" s="1">
        <v>144.94000199999999</v>
      </c>
      <c r="D866" s="1">
        <v>131.58999600000001</v>
      </c>
      <c r="E866" s="1">
        <v>144.699997</v>
      </c>
      <c r="F866" s="1">
        <v>144.699997</v>
      </c>
      <c r="G866" s="2">
        <v>25682400</v>
      </c>
      <c r="H866" s="2">
        <f t="shared" si="104"/>
        <v>2013</v>
      </c>
      <c r="I866" s="2">
        <f t="shared" si="105"/>
        <v>12</v>
      </c>
      <c r="J866" s="2">
        <f t="shared" si="106"/>
        <v>3</v>
      </c>
      <c r="K866" s="2">
        <f t="shared" si="107"/>
        <v>3</v>
      </c>
      <c r="L866" s="2">
        <f t="shared" si="108"/>
        <v>13</v>
      </c>
      <c r="M866" s="3">
        <f t="shared" si="109"/>
        <v>124.16999800000001</v>
      </c>
      <c r="N866" s="1">
        <f t="shared" ca="1" si="110"/>
        <v>124.16999800000001</v>
      </c>
      <c r="O866" s="5">
        <f t="shared" si="111"/>
        <v>0.16533783788898826</v>
      </c>
    </row>
    <row r="867" spans="1:15" s="2" customFormat="1" x14ac:dyDescent="0.5">
      <c r="A867" s="6">
        <v>41612</v>
      </c>
      <c r="B867" s="1">
        <v>144.320007</v>
      </c>
      <c r="C867" s="1">
        <v>144.429993</v>
      </c>
      <c r="D867" s="1">
        <v>137.13000500000001</v>
      </c>
      <c r="E867" s="1">
        <v>138.949997</v>
      </c>
      <c r="F867" s="1">
        <v>138.949997</v>
      </c>
      <c r="G867" s="2">
        <v>13147700</v>
      </c>
      <c r="H867" s="2">
        <f t="shared" si="104"/>
        <v>2013</v>
      </c>
      <c r="I867" s="2">
        <f t="shared" si="105"/>
        <v>12</v>
      </c>
      <c r="J867" s="2">
        <f t="shared" si="106"/>
        <v>4</v>
      </c>
      <c r="K867" s="2">
        <f t="shared" si="107"/>
        <v>4</v>
      </c>
      <c r="L867" s="2">
        <f t="shared" si="108"/>
        <v>13</v>
      </c>
      <c r="M867" s="3">
        <f t="shared" si="109"/>
        <v>144.699997</v>
      </c>
      <c r="N867" s="1">
        <f t="shared" ca="1" si="110"/>
        <v>144.699997</v>
      </c>
      <c r="O867" s="5">
        <f t="shared" si="111"/>
        <v>-3.9737388522544381E-2</v>
      </c>
    </row>
    <row r="868" spans="1:15" s="2" customFormat="1" x14ac:dyDescent="0.5">
      <c r="A868" s="6">
        <v>41613</v>
      </c>
      <c r="B868" s="1">
        <v>140.14999399999999</v>
      </c>
      <c r="C868" s="1">
        <v>143.35000600000001</v>
      </c>
      <c r="D868" s="1">
        <v>139.5</v>
      </c>
      <c r="E868" s="1">
        <v>140.479996</v>
      </c>
      <c r="F868" s="1">
        <v>140.479996</v>
      </c>
      <c r="G868" s="2">
        <v>9288400</v>
      </c>
      <c r="H868" s="2">
        <f t="shared" si="104"/>
        <v>2013</v>
      </c>
      <c r="I868" s="2">
        <f t="shared" si="105"/>
        <v>12</v>
      </c>
      <c r="J868" s="2">
        <f t="shared" si="106"/>
        <v>5</v>
      </c>
      <c r="K868" s="2">
        <f t="shared" si="107"/>
        <v>5</v>
      </c>
      <c r="L868" s="2">
        <f t="shared" si="108"/>
        <v>13</v>
      </c>
      <c r="M868" s="3">
        <f t="shared" si="109"/>
        <v>138.949997</v>
      </c>
      <c r="N868" s="1">
        <f t="shared" ca="1" si="110"/>
        <v>138.949997</v>
      </c>
      <c r="O868" s="5">
        <f t="shared" si="111"/>
        <v>1.1011148132662463E-2</v>
      </c>
    </row>
    <row r="869" spans="1:15" s="2" customFormat="1" x14ac:dyDescent="0.5">
      <c r="A869" s="6">
        <v>41614</v>
      </c>
      <c r="B869" s="1">
        <v>141.509995</v>
      </c>
      <c r="C869" s="1">
        <v>142.490005</v>
      </c>
      <c r="D869" s="1">
        <v>136.300003</v>
      </c>
      <c r="E869" s="1">
        <v>137.36000100000001</v>
      </c>
      <c r="F869" s="1">
        <v>137.36000100000001</v>
      </c>
      <c r="G869" s="2">
        <v>7909600</v>
      </c>
      <c r="H869" s="2">
        <f t="shared" si="104"/>
        <v>2013</v>
      </c>
      <c r="I869" s="2">
        <f t="shared" si="105"/>
        <v>12</v>
      </c>
      <c r="J869" s="2">
        <f t="shared" si="106"/>
        <v>6</v>
      </c>
      <c r="K869" s="2">
        <f t="shared" si="107"/>
        <v>6</v>
      </c>
      <c r="L869" s="2">
        <f t="shared" si="108"/>
        <v>13</v>
      </c>
      <c r="M869" s="3">
        <f t="shared" si="109"/>
        <v>140.479996</v>
      </c>
      <c r="N869" s="1">
        <f t="shared" ca="1" si="110"/>
        <v>140.479996</v>
      </c>
      <c r="O869" s="5">
        <f t="shared" si="111"/>
        <v>-2.2209532238312346E-2</v>
      </c>
    </row>
    <row r="870" spans="1:15" s="2" customFormat="1" x14ac:dyDescent="0.5">
      <c r="A870" s="6">
        <v>41617</v>
      </c>
      <c r="B870" s="1">
        <v>137</v>
      </c>
      <c r="C870" s="1">
        <v>141.699997</v>
      </c>
      <c r="D870" s="1">
        <v>134.21000699999999</v>
      </c>
      <c r="E870" s="1">
        <v>141.60000600000001</v>
      </c>
      <c r="F870" s="1">
        <v>141.60000600000001</v>
      </c>
      <c r="G870" s="2">
        <v>9061500</v>
      </c>
      <c r="H870" s="2">
        <f t="shared" si="104"/>
        <v>2013</v>
      </c>
      <c r="I870" s="2">
        <f t="shared" si="105"/>
        <v>12</v>
      </c>
      <c r="J870" s="2">
        <f t="shared" si="106"/>
        <v>9</v>
      </c>
      <c r="K870" s="2">
        <f t="shared" si="107"/>
        <v>2</v>
      </c>
      <c r="L870" s="2">
        <f t="shared" si="108"/>
        <v>13</v>
      </c>
      <c r="M870" s="3">
        <f t="shared" si="109"/>
        <v>137.36000100000001</v>
      </c>
      <c r="N870" s="1">
        <f t="shared" ca="1" si="110"/>
        <v>137.36000100000001</v>
      </c>
      <c r="O870" s="5">
        <f t="shared" si="111"/>
        <v>3.0867828837595868E-2</v>
      </c>
    </row>
    <row r="871" spans="1:15" s="2" customFormat="1" x14ac:dyDescent="0.5">
      <c r="A871" s="6">
        <v>41618</v>
      </c>
      <c r="B871" s="1">
        <v>140.050003</v>
      </c>
      <c r="C871" s="1">
        <v>145.86999499999999</v>
      </c>
      <c r="D871" s="1">
        <v>139.86000100000001</v>
      </c>
      <c r="E871" s="1">
        <v>142.19000199999999</v>
      </c>
      <c r="F871" s="1">
        <v>142.19000199999999</v>
      </c>
      <c r="G871" s="2">
        <v>10748200</v>
      </c>
      <c r="H871" s="2">
        <f t="shared" si="104"/>
        <v>2013</v>
      </c>
      <c r="I871" s="2">
        <f t="shared" si="105"/>
        <v>12</v>
      </c>
      <c r="J871" s="2">
        <f t="shared" si="106"/>
        <v>10</v>
      </c>
      <c r="K871" s="2">
        <f t="shared" si="107"/>
        <v>3</v>
      </c>
      <c r="L871" s="2">
        <f t="shared" si="108"/>
        <v>13</v>
      </c>
      <c r="M871" s="3">
        <f t="shared" si="109"/>
        <v>141.60000600000001</v>
      </c>
      <c r="N871" s="1">
        <f t="shared" ca="1" si="110"/>
        <v>141.60000600000001</v>
      </c>
      <c r="O871" s="5">
        <f t="shared" si="111"/>
        <v>4.1666382415266323E-3</v>
      </c>
    </row>
    <row r="872" spans="1:15" s="2" customFormat="1" x14ac:dyDescent="0.5">
      <c r="A872" s="6">
        <v>41619</v>
      </c>
      <c r="B872" s="1">
        <v>141.88000500000001</v>
      </c>
      <c r="C872" s="1">
        <v>143.050003</v>
      </c>
      <c r="D872" s="1">
        <v>139.490005</v>
      </c>
      <c r="E872" s="1">
        <v>139.64999399999999</v>
      </c>
      <c r="F872" s="1">
        <v>139.64999399999999</v>
      </c>
      <c r="G872" s="2">
        <v>7137800</v>
      </c>
      <c r="H872" s="2">
        <f t="shared" si="104"/>
        <v>2013</v>
      </c>
      <c r="I872" s="2">
        <f t="shared" si="105"/>
        <v>12</v>
      </c>
      <c r="J872" s="2">
        <f t="shared" si="106"/>
        <v>11</v>
      </c>
      <c r="K872" s="2">
        <f t="shared" si="107"/>
        <v>4</v>
      </c>
      <c r="L872" s="2">
        <f t="shared" si="108"/>
        <v>13</v>
      </c>
      <c r="M872" s="3">
        <f t="shared" si="109"/>
        <v>142.19000199999999</v>
      </c>
      <c r="N872" s="1">
        <f t="shared" ca="1" si="110"/>
        <v>142.19000199999999</v>
      </c>
      <c r="O872" s="5">
        <f t="shared" si="111"/>
        <v>-1.786347819307299E-2</v>
      </c>
    </row>
    <row r="873" spans="1:15" s="2" customFormat="1" x14ac:dyDescent="0.5">
      <c r="A873" s="6">
        <v>41620</v>
      </c>
      <c r="B873" s="1">
        <v>139.699997</v>
      </c>
      <c r="C873" s="1">
        <v>148.240005</v>
      </c>
      <c r="D873" s="1">
        <v>138.529999</v>
      </c>
      <c r="E873" s="1">
        <v>147.470001</v>
      </c>
      <c r="F873" s="1">
        <v>147.470001</v>
      </c>
      <c r="G873" s="2">
        <v>10767800</v>
      </c>
      <c r="H873" s="2">
        <f t="shared" si="104"/>
        <v>2013</v>
      </c>
      <c r="I873" s="2">
        <f t="shared" si="105"/>
        <v>12</v>
      </c>
      <c r="J873" s="2">
        <f t="shared" si="106"/>
        <v>12</v>
      </c>
      <c r="K873" s="2">
        <f t="shared" si="107"/>
        <v>5</v>
      </c>
      <c r="L873" s="2">
        <f t="shared" si="108"/>
        <v>13</v>
      </c>
      <c r="M873" s="3">
        <f t="shared" si="109"/>
        <v>139.64999399999999</v>
      </c>
      <c r="N873" s="1">
        <f t="shared" ca="1" si="110"/>
        <v>139.64999399999999</v>
      </c>
      <c r="O873" s="5">
        <f t="shared" si="111"/>
        <v>5.5997188227591366E-2</v>
      </c>
    </row>
    <row r="874" spans="1:15" s="2" customFormat="1" x14ac:dyDescent="0.5">
      <c r="A874" s="6">
        <v>41621</v>
      </c>
      <c r="B874" s="1">
        <v>148.050003</v>
      </c>
      <c r="C874" s="1">
        <v>151.800003</v>
      </c>
      <c r="D874" s="1">
        <v>147.320007</v>
      </c>
      <c r="E874" s="1">
        <v>147.64999399999999</v>
      </c>
      <c r="F874" s="1">
        <v>147.64999399999999</v>
      </c>
      <c r="G874" s="2">
        <v>10591900</v>
      </c>
      <c r="H874" s="2">
        <f t="shared" si="104"/>
        <v>2013</v>
      </c>
      <c r="I874" s="2">
        <f t="shared" si="105"/>
        <v>12</v>
      </c>
      <c r="J874" s="2">
        <f t="shared" si="106"/>
        <v>13</v>
      </c>
      <c r="K874" s="2">
        <f t="shared" si="107"/>
        <v>6</v>
      </c>
      <c r="L874" s="2">
        <f t="shared" si="108"/>
        <v>13</v>
      </c>
      <c r="M874" s="3">
        <f t="shared" si="109"/>
        <v>147.470001</v>
      </c>
      <c r="N874" s="1">
        <f t="shared" ca="1" si="110"/>
        <v>147.470001</v>
      </c>
      <c r="O874" s="5">
        <f t="shared" si="111"/>
        <v>1.2205397625242309E-3</v>
      </c>
    </row>
    <row r="875" spans="1:15" s="2" customFormat="1" x14ac:dyDescent="0.5">
      <c r="A875" s="6">
        <v>41624</v>
      </c>
      <c r="B875" s="1">
        <v>148.479996</v>
      </c>
      <c r="C875" s="1">
        <v>150.429993</v>
      </c>
      <c r="D875" s="1">
        <v>146.10000600000001</v>
      </c>
      <c r="E875" s="1">
        <v>147.94000199999999</v>
      </c>
      <c r="F875" s="1">
        <v>147.94000199999999</v>
      </c>
      <c r="G875" s="2">
        <v>6675300</v>
      </c>
      <c r="H875" s="2">
        <f t="shared" si="104"/>
        <v>2013</v>
      </c>
      <c r="I875" s="2">
        <f t="shared" si="105"/>
        <v>12</v>
      </c>
      <c r="J875" s="2">
        <f t="shared" si="106"/>
        <v>16</v>
      </c>
      <c r="K875" s="2">
        <f t="shared" si="107"/>
        <v>2</v>
      </c>
      <c r="L875" s="2">
        <f t="shared" si="108"/>
        <v>13</v>
      </c>
      <c r="M875" s="3">
        <f t="shared" si="109"/>
        <v>147.64999399999999</v>
      </c>
      <c r="N875" s="1">
        <f t="shared" ca="1" si="110"/>
        <v>147.64999399999999</v>
      </c>
      <c r="O875" s="5">
        <f t="shared" si="111"/>
        <v>1.964158562715479E-3</v>
      </c>
    </row>
    <row r="876" spans="1:15" s="2" customFormat="1" x14ac:dyDescent="0.5">
      <c r="A876" s="6">
        <v>41625</v>
      </c>
      <c r="B876" s="1">
        <v>147.58000200000001</v>
      </c>
      <c r="C876" s="1">
        <v>154.63000500000001</v>
      </c>
      <c r="D876" s="1">
        <v>146.320007</v>
      </c>
      <c r="E876" s="1">
        <v>152.46000699999999</v>
      </c>
      <c r="F876" s="1">
        <v>152.46000699999999</v>
      </c>
      <c r="G876" s="2">
        <v>10495000</v>
      </c>
      <c r="H876" s="2">
        <f t="shared" si="104"/>
        <v>2013</v>
      </c>
      <c r="I876" s="2">
        <f t="shared" si="105"/>
        <v>12</v>
      </c>
      <c r="J876" s="2">
        <f t="shared" si="106"/>
        <v>17</v>
      </c>
      <c r="K876" s="2">
        <f t="shared" si="107"/>
        <v>3</v>
      </c>
      <c r="L876" s="2">
        <f t="shared" si="108"/>
        <v>13</v>
      </c>
      <c r="M876" s="3">
        <f t="shared" si="109"/>
        <v>147.94000199999999</v>
      </c>
      <c r="N876" s="1">
        <f t="shared" ca="1" si="110"/>
        <v>147.94000199999999</v>
      </c>
      <c r="O876" s="5">
        <f t="shared" si="111"/>
        <v>3.0552960246681637E-2</v>
      </c>
    </row>
    <row r="877" spans="1:15" s="2" customFormat="1" x14ac:dyDescent="0.5">
      <c r="A877" s="6">
        <v>41626</v>
      </c>
      <c r="B877" s="1">
        <v>152.240005</v>
      </c>
      <c r="C877" s="1">
        <v>154.89999399999999</v>
      </c>
      <c r="D877" s="1">
        <v>145.949997</v>
      </c>
      <c r="E877" s="1">
        <v>147.979996</v>
      </c>
      <c r="F877" s="1">
        <v>147.979996</v>
      </c>
      <c r="G877" s="2">
        <v>11581900</v>
      </c>
      <c r="H877" s="2">
        <f t="shared" si="104"/>
        <v>2013</v>
      </c>
      <c r="I877" s="2">
        <f t="shared" si="105"/>
        <v>12</v>
      </c>
      <c r="J877" s="2">
        <f t="shared" si="106"/>
        <v>18</v>
      </c>
      <c r="K877" s="2">
        <f t="shared" si="107"/>
        <v>4</v>
      </c>
      <c r="L877" s="2">
        <f t="shared" si="108"/>
        <v>13</v>
      </c>
      <c r="M877" s="3">
        <f t="shared" si="109"/>
        <v>152.46000699999999</v>
      </c>
      <c r="N877" s="1">
        <f t="shared" ca="1" si="110"/>
        <v>152.46000699999999</v>
      </c>
      <c r="O877" s="5">
        <f t="shared" si="111"/>
        <v>-2.9384827458390439E-2</v>
      </c>
    </row>
    <row r="878" spans="1:15" s="2" customFormat="1" x14ac:dyDescent="0.5">
      <c r="A878" s="6">
        <v>41627</v>
      </c>
      <c r="B878" s="1">
        <v>146.89999399999999</v>
      </c>
      <c r="C878" s="1">
        <v>147</v>
      </c>
      <c r="D878" s="1">
        <v>139.10000600000001</v>
      </c>
      <c r="E878" s="1">
        <v>140.720001</v>
      </c>
      <c r="F878" s="1">
        <v>140.720001</v>
      </c>
      <c r="G878" s="2">
        <v>12740000</v>
      </c>
      <c r="H878" s="2">
        <f t="shared" si="104"/>
        <v>2013</v>
      </c>
      <c r="I878" s="2">
        <f t="shared" si="105"/>
        <v>12</v>
      </c>
      <c r="J878" s="2">
        <f t="shared" si="106"/>
        <v>19</v>
      </c>
      <c r="K878" s="2">
        <f t="shared" si="107"/>
        <v>5</v>
      </c>
      <c r="L878" s="2">
        <f t="shared" si="108"/>
        <v>13</v>
      </c>
      <c r="M878" s="3">
        <f t="shared" si="109"/>
        <v>147.979996</v>
      </c>
      <c r="N878" s="1">
        <f t="shared" ca="1" si="110"/>
        <v>147.979996</v>
      </c>
      <c r="O878" s="5">
        <f t="shared" si="111"/>
        <v>-4.9060651413992518E-2</v>
      </c>
    </row>
    <row r="879" spans="1:15" s="2" customFormat="1" x14ac:dyDescent="0.5">
      <c r="A879" s="6">
        <v>41628</v>
      </c>
      <c r="B879" s="1">
        <v>141.58000200000001</v>
      </c>
      <c r="C879" s="1">
        <v>144.35000600000001</v>
      </c>
      <c r="D879" s="1">
        <v>141.58000200000001</v>
      </c>
      <c r="E879" s="1">
        <v>143.240005</v>
      </c>
      <c r="F879" s="1">
        <v>143.240005</v>
      </c>
      <c r="G879" s="2">
        <v>7412600</v>
      </c>
      <c r="H879" s="2">
        <f t="shared" si="104"/>
        <v>2013</v>
      </c>
      <c r="I879" s="2">
        <f t="shared" si="105"/>
        <v>12</v>
      </c>
      <c r="J879" s="2">
        <f t="shared" si="106"/>
        <v>20</v>
      </c>
      <c r="K879" s="2">
        <f t="shared" si="107"/>
        <v>6</v>
      </c>
      <c r="L879" s="2">
        <f t="shared" si="108"/>
        <v>13</v>
      </c>
      <c r="M879" s="3">
        <f t="shared" si="109"/>
        <v>140.720001</v>
      </c>
      <c r="N879" s="1">
        <f t="shared" ca="1" si="110"/>
        <v>140.720001</v>
      </c>
      <c r="O879" s="5">
        <f t="shared" si="111"/>
        <v>1.7907930515151049E-2</v>
      </c>
    </row>
    <row r="880" spans="1:15" s="2" customFormat="1" x14ac:dyDescent="0.5">
      <c r="A880" s="6">
        <v>41631</v>
      </c>
      <c r="B880" s="1">
        <v>144.85000600000001</v>
      </c>
      <c r="C880" s="1">
        <v>146.240005</v>
      </c>
      <c r="D880" s="1">
        <v>142.60000600000001</v>
      </c>
      <c r="E880" s="1">
        <v>143.550003</v>
      </c>
      <c r="F880" s="1">
        <v>143.550003</v>
      </c>
      <c r="G880" s="2">
        <v>5385500</v>
      </c>
      <c r="H880" s="2">
        <f t="shared" si="104"/>
        <v>2013</v>
      </c>
      <c r="I880" s="2">
        <f t="shared" si="105"/>
        <v>12</v>
      </c>
      <c r="J880" s="2">
        <f t="shared" si="106"/>
        <v>23</v>
      </c>
      <c r="K880" s="2">
        <f t="shared" si="107"/>
        <v>2</v>
      </c>
      <c r="L880" s="2">
        <f t="shared" si="108"/>
        <v>13</v>
      </c>
      <c r="M880" s="3">
        <f t="shared" si="109"/>
        <v>143.240005</v>
      </c>
      <c r="N880" s="1">
        <f t="shared" ca="1" si="110"/>
        <v>143.240005</v>
      </c>
      <c r="O880" s="5">
        <f t="shared" si="111"/>
        <v>2.1641859060252955E-3</v>
      </c>
    </row>
    <row r="881" spans="1:15" s="2" customFormat="1" x14ac:dyDescent="0.5">
      <c r="A881" s="6">
        <v>41632</v>
      </c>
      <c r="B881" s="1">
        <v>150</v>
      </c>
      <c r="C881" s="1">
        <v>154.970001</v>
      </c>
      <c r="D881" s="1">
        <v>149.820007</v>
      </c>
      <c r="E881" s="1">
        <v>151.41000399999999</v>
      </c>
      <c r="F881" s="1">
        <v>151.41000399999999</v>
      </c>
      <c r="G881" s="2">
        <v>9941500</v>
      </c>
      <c r="H881" s="2">
        <f t="shared" si="104"/>
        <v>2013</v>
      </c>
      <c r="I881" s="2">
        <f t="shared" si="105"/>
        <v>12</v>
      </c>
      <c r="J881" s="2">
        <f t="shared" si="106"/>
        <v>24</v>
      </c>
      <c r="K881" s="2">
        <f t="shared" si="107"/>
        <v>3</v>
      </c>
      <c r="L881" s="2">
        <f t="shared" si="108"/>
        <v>13</v>
      </c>
      <c r="M881" s="3">
        <f t="shared" si="109"/>
        <v>143.550003</v>
      </c>
      <c r="N881" s="1">
        <f t="shared" ca="1" si="110"/>
        <v>143.550003</v>
      </c>
      <c r="O881" s="5">
        <f t="shared" si="111"/>
        <v>5.4754446783257693E-2</v>
      </c>
    </row>
    <row r="882" spans="1:15" s="2" customFormat="1" x14ac:dyDescent="0.5">
      <c r="A882" s="6">
        <v>41634</v>
      </c>
      <c r="B882" s="1">
        <v>155.03999300000001</v>
      </c>
      <c r="C882" s="1">
        <v>158</v>
      </c>
      <c r="D882" s="1">
        <v>154.28999300000001</v>
      </c>
      <c r="E882" s="1">
        <v>155.5</v>
      </c>
      <c r="F882" s="1">
        <v>155.5</v>
      </c>
      <c r="G882" s="2">
        <v>7129500</v>
      </c>
      <c r="H882" s="2">
        <f t="shared" si="104"/>
        <v>2013</v>
      </c>
      <c r="I882" s="2">
        <f t="shared" si="105"/>
        <v>12</v>
      </c>
      <c r="J882" s="2">
        <f t="shared" si="106"/>
        <v>26</v>
      </c>
      <c r="K882" s="2">
        <f t="shared" si="107"/>
        <v>5</v>
      </c>
      <c r="L882" s="2">
        <f t="shared" si="108"/>
        <v>13</v>
      </c>
      <c r="M882" s="3">
        <f t="shared" si="109"/>
        <v>151.41000399999999</v>
      </c>
      <c r="N882" s="1">
        <f t="shared" ca="1" si="110"/>
        <v>151.41000399999999</v>
      </c>
      <c r="O882" s="5">
        <f t="shared" si="111"/>
        <v>2.7012719714346156E-2</v>
      </c>
    </row>
    <row r="883" spans="1:15" s="2" customFormat="1" x14ac:dyDescent="0.5">
      <c r="A883" s="6">
        <v>41635</v>
      </c>
      <c r="B883" s="1">
        <v>155.300003</v>
      </c>
      <c r="C883" s="1">
        <v>155.5</v>
      </c>
      <c r="D883" s="1">
        <v>150.800003</v>
      </c>
      <c r="E883" s="1">
        <v>151.11999499999999</v>
      </c>
      <c r="F883" s="1">
        <v>151.11999499999999</v>
      </c>
      <c r="G883" s="2">
        <v>5460200</v>
      </c>
      <c r="H883" s="2">
        <f t="shared" si="104"/>
        <v>2013</v>
      </c>
      <c r="I883" s="2">
        <f t="shared" si="105"/>
        <v>12</v>
      </c>
      <c r="J883" s="2">
        <f t="shared" si="106"/>
        <v>27</v>
      </c>
      <c r="K883" s="2">
        <f t="shared" si="107"/>
        <v>6</v>
      </c>
      <c r="L883" s="2">
        <f t="shared" si="108"/>
        <v>13</v>
      </c>
      <c r="M883" s="3">
        <f t="shared" si="109"/>
        <v>155.5</v>
      </c>
      <c r="N883" s="1">
        <f t="shared" ca="1" si="110"/>
        <v>155.5</v>
      </c>
      <c r="O883" s="5">
        <f t="shared" si="111"/>
        <v>-2.816723472668814E-2</v>
      </c>
    </row>
    <row r="884" spans="1:15" s="2" customFormat="1" x14ac:dyDescent="0.5">
      <c r="A884" s="6">
        <v>41638</v>
      </c>
      <c r="B884" s="1">
        <v>151.11999499999999</v>
      </c>
      <c r="C884" s="1">
        <v>154.80999800000001</v>
      </c>
      <c r="D884" s="1">
        <v>150.75</v>
      </c>
      <c r="E884" s="1">
        <v>152.44000199999999</v>
      </c>
      <c r="F884" s="1">
        <v>152.44000199999999</v>
      </c>
      <c r="G884" s="2">
        <v>4467500</v>
      </c>
      <c r="H884" s="2">
        <f t="shared" si="104"/>
        <v>2013</v>
      </c>
      <c r="I884" s="2">
        <f t="shared" si="105"/>
        <v>12</v>
      </c>
      <c r="J884" s="2">
        <f t="shared" si="106"/>
        <v>30</v>
      </c>
      <c r="K884" s="2">
        <f t="shared" si="107"/>
        <v>2</v>
      </c>
      <c r="L884" s="2">
        <f t="shared" si="108"/>
        <v>13</v>
      </c>
      <c r="M884" s="3">
        <f t="shared" si="109"/>
        <v>151.11999499999999</v>
      </c>
      <c r="N884" s="1">
        <f t="shared" ca="1" si="110"/>
        <v>151.11999499999999</v>
      </c>
      <c r="O884" s="5">
        <f t="shared" si="111"/>
        <v>8.7348269168483483E-3</v>
      </c>
    </row>
    <row r="885" spans="1:15" s="2" customFormat="1" x14ac:dyDescent="0.5">
      <c r="A885" s="6">
        <v>41639</v>
      </c>
      <c r="B885" s="1">
        <v>152.320007</v>
      </c>
      <c r="C885" s="1">
        <v>153.199997</v>
      </c>
      <c r="D885" s="1">
        <v>148.66000399999999</v>
      </c>
      <c r="E885" s="1">
        <v>150.429993</v>
      </c>
      <c r="F885" s="1">
        <v>150.429993</v>
      </c>
      <c r="G885" s="2">
        <v>4262400</v>
      </c>
      <c r="H885" s="2">
        <f t="shared" si="104"/>
        <v>2013</v>
      </c>
      <c r="I885" s="2">
        <f t="shared" si="105"/>
        <v>12</v>
      </c>
      <c r="J885" s="2">
        <f t="shared" si="106"/>
        <v>31</v>
      </c>
      <c r="K885" s="2">
        <f t="shared" si="107"/>
        <v>3</v>
      </c>
      <c r="L885" s="2">
        <f t="shared" si="108"/>
        <v>13</v>
      </c>
      <c r="M885" s="3">
        <f t="shared" si="109"/>
        <v>152.44000199999999</v>
      </c>
      <c r="N885" s="1">
        <f t="shared" ca="1" si="110"/>
        <v>152.44000199999999</v>
      </c>
      <c r="O885" s="5">
        <f t="shared" si="111"/>
        <v>-1.3185574479328555E-2</v>
      </c>
    </row>
    <row r="886" spans="1:15" s="2" customFormat="1" x14ac:dyDescent="0.5">
      <c r="A886" s="6">
        <v>41641</v>
      </c>
      <c r="B886" s="1">
        <v>149.800003</v>
      </c>
      <c r="C886" s="1">
        <v>152.479996</v>
      </c>
      <c r="D886" s="1">
        <v>146.550003</v>
      </c>
      <c r="E886" s="1">
        <v>150.10000600000001</v>
      </c>
      <c r="F886" s="1">
        <v>150.10000600000001</v>
      </c>
      <c r="G886" s="2">
        <v>6188400</v>
      </c>
      <c r="H886" s="2">
        <f t="shared" si="104"/>
        <v>2014</v>
      </c>
      <c r="I886" s="2">
        <f t="shared" si="105"/>
        <v>1</v>
      </c>
      <c r="J886" s="2">
        <f t="shared" si="106"/>
        <v>2</v>
      </c>
      <c r="K886" s="2">
        <f t="shared" si="107"/>
        <v>5</v>
      </c>
      <c r="L886" s="2">
        <f t="shared" si="108"/>
        <v>2</v>
      </c>
      <c r="M886" s="3">
        <f t="shared" si="109"/>
        <v>150.429993</v>
      </c>
      <c r="N886" s="1">
        <f t="shared" ca="1" si="110"/>
        <v>150.429993</v>
      </c>
      <c r="O886" s="5">
        <f t="shared" si="111"/>
        <v>-2.1936250439098526E-3</v>
      </c>
    </row>
    <row r="887" spans="1:15" s="2" customFormat="1" x14ac:dyDescent="0.5">
      <c r="A887" s="6">
        <v>41642</v>
      </c>
      <c r="B887" s="1">
        <v>150</v>
      </c>
      <c r="C887" s="1">
        <v>152.19000199999999</v>
      </c>
      <c r="D887" s="1">
        <v>148.60000600000001</v>
      </c>
      <c r="E887" s="1">
        <v>149.55999800000001</v>
      </c>
      <c r="F887" s="1">
        <v>149.55999800000001</v>
      </c>
      <c r="G887" s="2">
        <v>4695000</v>
      </c>
      <c r="H887" s="2">
        <f t="shared" si="104"/>
        <v>2014</v>
      </c>
      <c r="I887" s="2">
        <f t="shared" si="105"/>
        <v>1</v>
      </c>
      <c r="J887" s="2">
        <f t="shared" si="106"/>
        <v>3</v>
      </c>
      <c r="K887" s="2">
        <f t="shared" si="107"/>
        <v>6</v>
      </c>
      <c r="L887" s="2">
        <f t="shared" si="108"/>
        <v>2</v>
      </c>
      <c r="M887" s="3">
        <f t="shared" si="109"/>
        <v>150.10000600000001</v>
      </c>
      <c r="N887" s="1">
        <f t="shared" ca="1" si="110"/>
        <v>150.10000600000001</v>
      </c>
      <c r="O887" s="5">
        <f t="shared" si="111"/>
        <v>-3.5976547529251723E-3</v>
      </c>
    </row>
    <row r="888" spans="1:15" s="2" customFormat="1" x14ac:dyDescent="0.5">
      <c r="A888" s="6">
        <v>41645</v>
      </c>
      <c r="B888" s="1">
        <v>150</v>
      </c>
      <c r="C888" s="1">
        <v>150.39999399999999</v>
      </c>
      <c r="D888" s="1">
        <v>145.240005</v>
      </c>
      <c r="E888" s="1">
        <v>147</v>
      </c>
      <c r="F888" s="1">
        <v>147</v>
      </c>
      <c r="G888" s="2">
        <v>5361100</v>
      </c>
      <c r="H888" s="2">
        <f t="shared" si="104"/>
        <v>2014</v>
      </c>
      <c r="I888" s="2">
        <f t="shared" si="105"/>
        <v>1</v>
      </c>
      <c r="J888" s="2">
        <f t="shared" si="106"/>
        <v>6</v>
      </c>
      <c r="K888" s="2">
        <f t="shared" si="107"/>
        <v>2</v>
      </c>
      <c r="L888" s="2">
        <f t="shared" si="108"/>
        <v>2</v>
      </c>
      <c r="M888" s="3">
        <f t="shared" si="109"/>
        <v>149.55999800000001</v>
      </c>
      <c r="N888" s="1">
        <f t="shared" ca="1" si="110"/>
        <v>149.55999800000001</v>
      </c>
      <c r="O888" s="5">
        <f t="shared" si="111"/>
        <v>-1.711686302643578E-2</v>
      </c>
    </row>
    <row r="889" spans="1:15" s="2" customFormat="1" x14ac:dyDescent="0.5">
      <c r="A889" s="6">
        <v>41646</v>
      </c>
      <c r="B889" s="1">
        <v>147.61999499999999</v>
      </c>
      <c r="C889" s="1">
        <v>150.39999399999999</v>
      </c>
      <c r="D889" s="1">
        <v>145.25</v>
      </c>
      <c r="E889" s="1">
        <v>149.36000100000001</v>
      </c>
      <c r="F889" s="1">
        <v>149.36000100000001</v>
      </c>
      <c r="G889" s="2">
        <v>5034100</v>
      </c>
      <c r="H889" s="2">
        <f t="shared" si="104"/>
        <v>2014</v>
      </c>
      <c r="I889" s="2">
        <f t="shared" si="105"/>
        <v>1</v>
      </c>
      <c r="J889" s="2">
        <f t="shared" si="106"/>
        <v>7</v>
      </c>
      <c r="K889" s="2">
        <f t="shared" si="107"/>
        <v>3</v>
      </c>
      <c r="L889" s="2">
        <f t="shared" si="108"/>
        <v>2</v>
      </c>
      <c r="M889" s="3">
        <f t="shared" si="109"/>
        <v>147</v>
      </c>
      <c r="N889" s="1">
        <f t="shared" ca="1" si="110"/>
        <v>147</v>
      </c>
      <c r="O889" s="5">
        <f t="shared" si="111"/>
        <v>1.6054428571428581E-2</v>
      </c>
    </row>
    <row r="890" spans="1:15" s="2" customFormat="1" x14ac:dyDescent="0.5">
      <c r="A890" s="6">
        <v>41647</v>
      </c>
      <c r="B890" s="1">
        <v>148.85000600000001</v>
      </c>
      <c r="C890" s="1">
        <v>153.699997</v>
      </c>
      <c r="D890" s="1">
        <v>148.759995</v>
      </c>
      <c r="E890" s="1">
        <v>151.279999</v>
      </c>
      <c r="F890" s="1">
        <v>151.279999</v>
      </c>
      <c r="G890" s="2">
        <v>6163200</v>
      </c>
      <c r="H890" s="2">
        <f t="shared" si="104"/>
        <v>2014</v>
      </c>
      <c r="I890" s="2">
        <f t="shared" si="105"/>
        <v>1</v>
      </c>
      <c r="J890" s="2">
        <f t="shared" si="106"/>
        <v>8</v>
      </c>
      <c r="K890" s="2">
        <f t="shared" si="107"/>
        <v>4</v>
      </c>
      <c r="L890" s="2">
        <f t="shared" si="108"/>
        <v>2</v>
      </c>
      <c r="M890" s="3">
        <f t="shared" si="109"/>
        <v>149.36000100000001</v>
      </c>
      <c r="N890" s="1">
        <f t="shared" ca="1" si="110"/>
        <v>149.36000100000001</v>
      </c>
      <c r="O890" s="5">
        <f t="shared" si="111"/>
        <v>1.2854833872155691E-2</v>
      </c>
    </row>
    <row r="891" spans="1:15" s="2" customFormat="1" x14ac:dyDescent="0.5">
      <c r="A891" s="6">
        <v>41648</v>
      </c>
      <c r="B891" s="1">
        <v>152.5</v>
      </c>
      <c r="C891" s="1">
        <v>153.429993</v>
      </c>
      <c r="D891" s="1">
        <v>146.85000600000001</v>
      </c>
      <c r="E891" s="1">
        <v>147.529999</v>
      </c>
      <c r="F891" s="1">
        <v>147.529999</v>
      </c>
      <c r="G891" s="2">
        <v>5382000</v>
      </c>
      <c r="H891" s="2">
        <f t="shared" si="104"/>
        <v>2014</v>
      </c>
      <c r="I891" s="2">
        <f t="shared" si="105"/>
        <v>1</v>
      </c>
      <c r="J891" s="2">
        <f t="shared" si="106"/>
        <v>9</v>
      </c>
      <c r="K891" s="2">
        <f t="shared" si="107"/>
        <v>5</v>
      </c>
      <c r="L891" s="2">
        <f t="shared" si="108"/>
        <v>2</v>
      </c>
      <c r="M891" s="3">
        <f t="shared" si="109"/>
        <v>151.279999</v>
      </c>
      <c r="N891" s="1">
        <f t="shared" ca="1" si="110"/>
        <v>151.279999</v>
      </c>
      <c r="O891" s="5">
        <f t="shared" si="111"/>
        <v>-2.4788471871949214E-2</v>
      </c>
    </row>
    <row r="892" spans="1:15" s="2" customFormat="1" x14ac:dyDescent="0.5">
      <c r="A892" s="6">
        <v>41649</v>
      </c>
      <c r="B892" s="1">
        <v>148.46000699999999</v>
      </c>
      <c r="C892" s="1">
        <v>148.89999399999999</v>
      </c>
      <c r="D892" s="1">
        <v>142.25</v>
      </c>
      <c r="E892" s="1">
        <v>145.720001</v>
      </c>
      <c r="F892" s="1">
        <v>145.720001</v>
      </c>
      <c r="G892" s="2">
        <v>7446100</v>
      </c>
      <c r="H892" s="2">
        <f t="shared" si="104"/>
        <v>2014</v>
      </c>
      <c r="I892" s="2">
        <f t="shared" si="105"/>
        <v>1</v>
      </c>
      <c r="J892" s="2">
        <f t="shared" si="106"/>
        <v>10</v>
      </c>
      <c r="K892" s="2">
        <f t="shared" si="107"/>
        <v>6</v>
      </c>
      <c r="L892" s="2">
        <f t="shared" si="108"/>
        <v>2</v>
      </c>
      <c r="M892" s="3">
        <f t="shared" si="109"/>
        <v>147.529999</v>
      </c>
      <c r="N892" s="1">
        <f t="shared" ca="1" si="110"/>
        <v>147.529999</v>
      </c>
      <c r="O892" s="5">
        <f t="shared" si="111"/>
        <v>-1.2268677640267622E-2</v>
      </c>
    </row>
    <row r="893" spans="1:15" s="2" customFormat="1" x14ac:dyDescent="0.5">
      <c r="A893" s="6">
        <v>41652</v>
      </c>
      <c r="B893" s="1">
        <v>145.779999</v>
      </c>
      <c r="C893" s="1">
        <v>147</v>
      </c>
      <c r="D893" s="1">
        <v>137.820007</v>
      </c>
      <c r="E893" s="1">
        <v>139.33999600000001</v>
      </c>
      <c r="F893" s="1">
        <v>139.33999600000001</v>
      </c>
      <c r="G893" s="2">
        <v>6316100</v>
      </c>
      <c r="H893" s="2">
        <f t="shared" si="104"/>
        <v>2014</v>
      </c>
      <c r="I893" s="2">
        <f t="shared" si="105"/>
        <v>1</v>
      </c>
      <c r="J893" s="2">
        <f t="shared" si="106"/>
        <v>13</v>
      </c>
      <c r="K893" s="2">
        <f t="shared" si="107"/>
        <v>2</v>
      </c>
      <c r="L893" s="2">
        <f t="shared" si="108"/>
        <v>2</v>
      </c>
      <c r="M893" s="3">
        <f t="shared" si="109"/>
        <v>145.720001</v>
      </c>
      <c r="N893" s="1">
        <f t="shared" ca="1" si="110"/>
        <v>145.720001</v>
      </c>
      <c r="O893" s="5">
        <f t="shared" si="111"/>
        <v>-4.3782630772833842E-2</v>
      </c>
    </row>
    <row r="894" spans="1:15" s="2" customFormat="1" x14ac:dyDescent="0.5">
      <c r="A894" s="6">
        <v>41653</v>
      </c>
      <c r="B894" s="1">
        <v>140.5</v>
      </c>
      <c r="C894" s="1">
        <v>162</v>
      </c>
      <c r="D894" s="1">
        <v>136.66999799999999</v>
      </c>
      <c r="E894" s="1">
        <v>161.270004</v>
      </c>
      <c r="F894" s="1">
        <v>161.270004</v>
      </c>
      <c r="G894" s="2">
        <v>27607000</v>
      </c>
      <c r="H894" s="2">
        <f t="shared" si="104"/>
        <v>2014</v>
      </c>
      <c r="I894" s="2">
        <f t="shared" si="105"/>
        <v>1</v>
      </c>
      <c r="J894" s="2">
        <f t="shared" si="106"/>
        <v>14</v>
      </c>
      <c r="K894" s="2">
        <f t="shared" si="107"/>
        <v>3</v>
      </c>
      <c r="L894" s="2">
        <f t="shared" si="108"/>
        <v>2</v>
      </c>
      <c r="M894" s="3">
        <f t="shared" si="109"/>
        <v>139.33999600000001</v>
      </c>
      <c r="N894" s="1">
        <f t="shared" ca="1" si="110"/>
        <v>139.33999600000001</v>
      </c>
      <c r="O894" s="5">
        <f t="shared" si="111"/>
        <v>0.15738487605525675</v>
      </c>
    </row>
    <row r="895" spans="1:15" s="2" customFormat="1" x14ac:dyDescent="0.5">
      <c r="A895" s="6">
        <v>41654</v>
      </c>
      <c r="B895" s="1">
        <v>168.449997</v>
      </c>
      <c r="C895" s="1">
        <v>172.229996</v>
      </c>
      <c r="D895" s="1">
        <v>162.10000600000001</v>
      </c>
      <c r="E895" s="1">
        <v>164.13000500000001</v>
      </c>
      <c r="F895" s="1">
        <v>164.13000500000001</v>
      </c>
      <c r="G895" s="2">
        <v>20465600</v>
      </c>
      <c r="H895" s="2">
        <f t="shared" si="104"/>
        <v>2014</v>
      </c>
      <c r="I895" s="2">
        <f t="shared" si="105"/>
        <v>1</v>
      </c>
      <c r="J895" s="2">
        <f t="shared" si="106"/>
        <v>15</v>
      </c>
      <c r="K895" s="2">
        <f t="shared" si="107"/>
        <v>4</v>
      </c>
      <c r="L895" s="2">
        <f t="shared" si="108"/>
        <v>2</v>
      </c>
      <c r="M895" s="3">
        <f t="shared" si="109"/>
        <v>161.270004</v>
      </c>
      <c r="N895" s="1">
        <f t="shared" ca="1" si="110"/>
        <v>161.270004</v>
      </c>
      <c r="O895" s="5">
        <f t="shared" si="111"/>
        <v>1.7734240274465574E-2</v>
      </c>
    </row>
    <row r="896" spans="1:15" s="2" customFormat="1" x14ac:dyDescent="0.5">
      <c r="A896" s="6">
        <v>41655</v>
      </c>
      <c r="B896" s="1">
        <v>162.5</v>
      </c>
      <c r="C896" s="1">
        <v>172.699997</v>
      </c>
      <c r="D896" s="1">
        <v>162.39999399999999</v>
      </c>
      <c r="E896" s="1">
        <v>170.970001</v>
      </c>
      <c r="F896" s="1">
        <v>170.970001</v>
      </c>
      <c r="G896" s="2">
        <v>11959400</v>
      </c>
      <c r="H896" s="2">
        <f t="shared" si="104"/>
        <v>2014</v>
      </c>
      <c r="I896" s="2">
        <f t="shared" si="105"/>
        <v>1</v>
      </c>
      <c r="J896" s="2">
        <f t="shared" si="106"/>
        <v>16</v>
      </c>
      <c r="K896" s="2">
        <f t="shared" si="107"/>
        <v>5</v>
      </c>
      <c r="L896" s="2">
        <f t="shared" si="108"/>
        <v>2</v>
      </c>
      <c r="M896" s="3">
        <f t="shared" si="109"/>
        <v>164.13000500000001</v>
      </c>
      <c r="N896" s="1">
        <f t="shared" ca="1" si="110"/>
        <v>164.13000500000001</v>
      </c>
      <c r="O896" s="5">
        <f t="shared" si="111"/>
        <v>4.1674256940405163E-2</v>
      </c>
    </row>
    <row r="897" spans="1:15" s="2" customFormat="1" x14ac:dyDescent="0.5">
      <c r="A897" s="6">
        <v>41656</v>
      </c>
      <c r="B897" s="1">
        <v>170.19000199999999</v>
      </c>
      <c r="C897" s="1">
        <v>173.199997</v>
      </c>
      <c r="D897" s="1">
        <v>167.949997</v>
      </c>
      <c r="E897" s="1">
        <v>170.009995</v>
      </c>
      <c r="F897" s="1">
        <v>170.009995</v>
      </c>
      <c r="G897" s="2">
        <v>9206200</v>
      </c>
      <c r="H897" s="2">
        <f t="shared" si="104"/>
        <v>2014</v>
      </c>
      <c r="I897" s="2">
        <f t="shared" si="105"/>
        <v>1</v>
      </c>
      <c r="J897" s="2">
        <f t="shared" si="106"/>
        <v>17</v>
      </c>
      <c r="K897" s="2">
        <f t="shared" si="107"/>
        <v>6</v>
      </c>
      <c r="L897" s="2">
        <f t="shared" si="108"/>
        <v>2</v>
      </c>
      <c r="M897" s="3">
        <f t="shared" si="109"/>
        <v>170.970001</v>
      </c>
      <c r="N897" s="1">
        <f t="shared" ca="1" si="110"/>
        <v>170.970001</v>
      </c>
      <c r="O897" s="5">
        <f t="shared" si="111"/>
        <v>-5.6150552400124898E-3</v>
      </c>
    </row>
    <row r="898" spans="1:15" s="2" customFormat="1" x14ac:dyDescent="0.5">
      <c r="A898" s="6">
        <v>41660</v>
      </c>
      <c r="B898" s="1">
        <v>171.240005</v>
      </c>
      <c r="C898" s="1">
        <v>177.28999300000001</v>
      </c>
      <c r="D898" s="1">
        <v>170.80999800000001</v>
      </c>
      <c r="E898" s="1">
        <v>176.679993</v>
      </c>
      <c r="F898" s="1">
        <v>176.679993</v>
      </c>
      <c r="G898" s="2">
        <v>9734700</v>
      </c>
      <c r="H898" s="2">
        <f t="shared" ref="H898:H961" si="112">YEAR(A898)</f>
        <v>2014</v>
      </c>
      <c r="I898" s="2">
        <f t="shared" ref="I898:I961" si="113">MONTH(A898)</f>
        <v>1</v>
      </c>
      <c r="J898" s="2">
        <f t="shared" ref="J898:J961" si="114">DAY(A898)</f>
        <v>21</v>
      </c>
      <c r="K898" s="2">
        <f t="shared" ref="K898:K961" si="115">WEEKDAY(A898)</f>
        <v>3</v>
      </c>
      <c r="L898" s="2">
        <f t="shared" si="108"/>
        <v>2</v>
      </c>
      <c r="M898" s="3">
        <f t="shared" si="109"/>
        <v>170.009995</v>
      </c>
      <c r="N898" s="1">
        <f t="shared" ca="1" si="110"/>
        <v>170.009995</v>
      </c>
      <c r="O898" s="5">
        <f t="shared" si="111"/>
        <v>3.9232975684753146E-2</v>
      </c>
    </row>
    <row r="899" spans="1:15" s="2" customFormat="1" x14ac:dyDescent="0.5">
      <c r="A899" s="6">
        <v>41661</v>
      </c>
      <c r="B899" s="1">
        <v>177.80999800000001</v>
      </c>
      <c r="C899" s="1">
        <v>180.320007</v>
      </c>
      <c r="D899" s="1">
        <v>174.759995</v>
      </c>
      <c r="E899" s="1">
        <v>178.55999800000001</v>
      </c>
      <c r="F899" s="1">
        <v>178.55999800000001</v>
      </c>
      <c r="G899" s="2">
        <v>7022600</v>
      </c>
      <c r="H899" s="2">
        <f t="shared" si="112"/>
        <v>2014</v>
      </c>
      <c r="I899" s="2">
        <f t="shared" si="113"/>
        <v>1</v>
      </c>
      <c r="J899" s="2">
        <f t="shared" si="114"/>
        <v>22</v>
      </c>
      <c r="K899" s="2">
        <f t="shared" si="115"/>
        <v>4</v>
      </c>
      <c r="L899" s="2">
        <f t="shared" ref="L899:L962" si="116">I899+1</f>
        <v>2</v>
      </c>
      <c r="M899" s="3">
        <f t="shared" ref="M899:M962" si="117">F898</f>
        <v>176.679993</v>
      </c>
      <c r="N899" s="1">
        <f t="shared" ref="N899:N962" ca="1" si="118">OFFSET(F899, -1, 0)</f>
        <v>176.679993</v>
      </c>
      <c r="O899" s="5">
        <f t="shared" ref="O899:O962" si="119">(F899/M899)-1</f>
        <v>1.0640735083117248E-2</v>
      </c>
    </row>
    <row r="900" spans="1:15" s="2" customFormat="1" x14ac:dyDescent="0.5">
      <c r="A900" s="6">
        <v>41662</v>
      </c>
      <c r="B900" s="1">
        <v>177.229996</v>
      </c>
      <c r="C900" s="1">
        <v>182.38000500000001</v>
      </c>
      <c r="D900" s="1">
        <v>173.41999799999999</v>
      </c>
      <c r="E900" s="1">
        <v>181.5</v>
      </c>
      <c r="F900" s="1">
        <v>181.5</v>
      </c>
      <c r="G900" s="2">
        <v>7867400</v>
      </c>
      <c r="H900" s="2">
        <f t="shared" si="112"/>
        <v>2014</v>
      </c>
      <c r="I900" s="2">
        <f t="shared" si="113"/>
        <v>1</v>
      </c>
      <c r="J900" s="2">
        <f t="shared" si="114"/>
        <v>23</v>
      </c>
      <c r="K900" s="2">
        <f t="shared" si="115"/>
        <v>5</v>
      </c>
      <c r="L900" s="2">
        <f t="shared" si="116"/>
        <v>2</v>
      </c>
      <c r="M900" s="3">
        <f t="shared" si="117"/>
        <v>178.55999800000001</v>
      </c>
      <c r="N900" s="1">
        <f t="shared" ca="1" si="118"/>
        <v>178.55999800000001</v>
      </c>
      <c r="O900" s="5">
        <f t="shared" si="119"/>
        <v>1.6465065148578262E-2</v>
      </c>
    </row>
    <row r="901" spans="1:15" s="2" customFormat="1" x14ac:dyDescent="0.5">
      <c r="A901" s="6">
        <v>41663</v>
      </c>
      <c r="B901" s="1">
        <v>177.85000600000001</v>
      </c>
      <c r="C901" s="1">
        <v>180.479996</v>
      </c>
      <c r="D901" s="1">
        <v>173.529999</v>
      </c>
      <c r="E901" s="1">
        <v>174.60000600000001</v>
      </c>
      <c r="F901" s="1">
        <v>174.60000600000001</v>
      </c>
      <c r="G901" s="2">
        <v>7664300</v>
      </c>
      <c r="H901" s="2">
        <f t="shared" si="112"/>
        <v>2014</v>
      </c>
      <c r="I901" s="2">
        <f t="shared" si="113"/>
        <v>1</v>
      </c>
      <c r="J901" s="2">
        <f t="shared" si="114"/>
        <v>24</v>
      </c>
      <c r="K901" s="2">
        <f t="shared" si="115"/>
        <v>6</v>
      </c>
      <c r="L901" s="2">
        <f t="shared" si="116"/>
        <v>2</v>
      </c>
      <c r="M901" s="3">
        <f t="shared" si="117"/>
        <v>181.5</v>
      </c>
      <c r="N901" s="1">
        <f t="shared" ca="1" si="118"/>
        <v>181.5</v>
      </c>
      <c r="O901" s="5">
        <f t="shared" si="119"/>
        <v>-3.8016495867768563E-2</v>
      </c>
    </row>
    <row r="902" spans="1:15" s="2" customFormat="1" x14ac:dyDescent="0.5">
      <c r="A902" s="6">
        <v>41666</v>
      </c>
      <c r="B902" s="1">
        <v>175.16000399999999</v>
      </c>
      <c r="C902" s="1">
        <v>177.91999799999999</v>
      </c>
      <c r="D902" s="1">
        <v>164.71000699999999</v>
      </c>
      <c r="E902" s="1">
        <v>169.61999499999999</v>
      </c>
      <c r="F902" s="1">
        <v>169.61999499999999</v>
      </c>
      <c r="G902" s="2">
        <v>8716400</v>
      </c>
      <c r="H902" s="2">
        <f t="shared" si="112"/>
        <v>2014</v>
      </c>
      <c r="I902" s="2">
        <f t="shared" si="113"/>
        <v>1</v>
      </c>
      <c r="J902" s="2">
        <f t="shared" si="114"/>
        <v>27</v>
      </c>
      <c r="K902" s="2">
        <f t="shared" si="115"/>
        <v>2</v>
      </c>
      <c r="L902" s="2">
        <f t="shared" si="116"/>
        <v>2</v>
      </c>
      <c r="M902" s="3">
        <f t="shared" si="117"/>
        <v>174.60000600000001</v>
      </c>
      <c r="N902" s="1">
        <f t="shared" ca="1" si="118"/>
        <v>174.60000600000001</v>
      </c>
      <c r="O902" s="5">
        <f t="shared" si="119"/>
        <v>-2.8522398790753911E-2</v>
      </c>
    </row>
    <row r="903" spans="1:15" s="2" customFormat="1" x14ac:dyDescent="0.5">
      <c r="A903" s="6">
        <v>41667</v>
      </c>
      <c r="B903" s="1">
        <v>171.5</v>
      </c>
      <c r="C903" s="1">
        <v>178.979996</v>
      </c>
      <c r="D903" s="1">
        <v>171</v>
      </c>
      <c r="E903" s="1">
        <v>178.38000500000001</v>
      </c>
      <c r="F903" s="1">
        <v>178.38000500000001</v>
      </c>
      <c r="G903" s="2">
        <v>6093400</v>
      </c>
      <c r="H903" s="2">
        <f t="shared" si="112"/>
        <v>2014</v>
      </c>
      <c r="I903" s="2">
        <f t="shared" si="113"/>
        <v>1</v>
      </c>
      <c r="J903" s="2">
        <f t="shared" si="114"/>
        <v>28</v>
      </c>
      <c r="K903" s="2">
        <f t="shared" si="115"/>
        <v>3</v>
      </c>
      <c r="L903" s="2">
        <f t="shared" si="116"/>
        <v>2</v>
      </c>
      <c r="M903" s="3">
        <f t="shared" si="117"/>
        <v>169.61999499999999</v>
      </c>
      <c r="N903" s="1">
        <f t="shared" ca="1" si="118"/>
        <v>169.61999499999999</v>
      </c>
      <c r="O903" s="5">
        <f t="shared" si="119"/>
        <v>5.1644913678956517E-2</v>
      </c>
    </row>
    <row r="904" spans="1:15" s="2" customFormat="1" x14ac:dyDescent="0.5">
      <c r="A904" s="6">
        <v>41668</v>
      </c>
      <c r="B904" s="1">
        <v>175.300003</v>
      </c>
      <c r="C904" s="1">
        <v>179.08999600000001</v>
      </c>
      <c r="D904" s="1">
        <v>173.13000500000001</v>
      </c>
      <c r="E904" s="1">
        <v>175.229996</v>
      </c>
      <c r="F904" s="1">
        <v>175.229996</v>
      </c>
      <c r="G904" s="2">
        <v>5935500</v>
      </c>
      <c r="H904" s="2">
        <f t="shared" si="112"/>
        <v>2014</v>
      </c>
      <c r="I904" s="2">
        <f t="shared" si="113"/>
        <v>1</v>
      </c>
      <c r="J904" s="2">
        <f t="shared" si="114"/>
        <v>29</v>
      </c>
      <c r="K904" s="2">
        <f t="shared" si="115"/>
        <v>4</v>
      </c>
      <c r="L904" s="2">
        <f t="shared" si="116"/>
        <v>2</v>
      </c>
      <c r="M904" s="3">
        <f t="shared" si="117"/>
        <v>178.38000500000001</v>
      </c>
      <c r="N904" s="1">
        <f t="shared" ca="1" si="118"/>
        <v>178.38000500000001</v>
      </c>
      <c r="O904" s="5">
        <f t="shared" si="119"/>
        <v>-1.7658980332465046E-2</v>
      </c>
    </row>
    <row r="905" spans="1:15" s="2" customFormat="1" x14ac:dyDescent="0.5">
      <c r="A905" s="6">
        <v>41669</v>
      </c>
      <c r="B905" s="1">
        <v>178</v>
      </c>
      <c r="C905" s="1">
        <v>184.779999</v>
      </c>
      <c r="D905" s="1">
        <v>177.009995</v>
      </c>
      <c r="E905" s="1">
        <v>182.83999600000001</v>
      </c>
      <c r="F905" s="1">
        <v>182.83999600000001</v>
      </c>
      <c r="G905" s="2">
        <v>8565000</v>
      </c>
      <c r="H905" s="2">
        <f t="shared" si="112"/>
        <v>2014</v>
      </c>
      <c r="I905" s="2">
        <f t="shared" si="113"/>
        <v>1</v>
      </c>
      <c r="J905" s="2">
        <f t="shared" si="114"/>
        <v>30</v>
      </c>
      <c r="K905" s="2">
        <f t="shared" si="115"/>
        <v>5</v>
      </c>
      <c r="L905" s="2">
        <f t="shared" si="116"/>
        <v>2</v>
      </c>
      <c r="M905" s="3">
        <f t="shared" si="117"/>
        <v>175.229996</v>
      </c>
      <c r="N905" s="1">
        <f t="shared" ca="1" si="118"/>
        <v>175.229996</v>
      </c>
      <c r="O905" s="5">
        <f t="shared" si="119"/>
        <v>4.342863764032745E-2</v>
      </c>
    </row>
    <row r="906" spans="1:15" s="2" customFormat="1" x14ac:dyDescent="0.5">
      <c r="A906" s="6">
        <v>41670</v>
      </c>
      <c r="B906" s="1">
        <v>178.85000600000001</v>
      </c>
      <c r="C906" s="1">
        <v>186</v>
      </c>
      <c r="D906" s="1">
        <v>178.509995</v>
      </c>
      <c r="E906" s="1">
        <v>181.41000399999999</v>
      </c>
      <c r="F906" s="1">
        <v>181.41000399999999</v>
      </c>
      <c r="G906" s="2">
        <v>6508800</v>
      </c>
      <c r="H906" s="2">
        <f t="shared" si="112"/>
        <v>2014</v>
      </c>
      <c r="I906" s="2">
        <f t="shared" si="113"/>
        <v>1</v>
      </c>
      <c r="J906" s="2">
        <f t="shared" si="114"/>
        <v>31</v>
      </c>
      <c r="K906" s="2">
        <f t="shared" si="115"/>
        <v>6</v>
      </c>
      <c r="L906" s="2">
        <f t="shared" si="116"/>
        <v>2</v>
      </c>
      <c r="M906" s="3">
        <f t="shared" si="117"/>
        <v>182.83999600000001</v>
      </c>
      <c r="N906" s="1">
        <f t="shared" ca="1" si="118"/>
        <v>182.83999600000001</v>
      </c>
      <c r="O906" s="5">
        <f t="shared" si="119"/>
        <v>-7.821002140035227E-3</v>
      </c>
    </row>
    <row r="907" spans="1:15" s="2" customFormat="1" x14ac:dyDescent="0.5">
      <c r="A907" s="6">
        <v>41673</v>
      </c>
      <c r="B907" s="1">
        <v>182.88999899999999</v>
      </c>
      <c r="C907" s="1">
        <v>184.88000500000001</v>
      </c>
      <c r="D907" s="1">
        <v>175.16000399999999</v>
      </c>
      <c r="E907" s="1">
        <v>177.11000100000001</v>
      </c>
      <c r="F907" s="1">
        <v>177.11000100000001</v>
      </c>
      <c r="G907" s="2">
        <v>6764900</v>
      </c>
      <c r="H907" s="2">
        <f t="shared" si="112"/>
        <v>2014</v>
      </c>
      <c r="I907" s="2">
        <f t="shared" si="113"/>
        <v>2</v>
      </c>
      <c r="J907" s="2">
        <f t="shared" si="114"/>
        <v>3</v>
      </c>
      <c r="K907" s="2">
        <f t="shared" si="115"/>
        <v>2</v>
      </c>
      <c r="L907" s="2">
        <f t="shared" si="116"/>
        <v>3</v>
      </c>
      <c r="M907" s="3">
        <f t="shared" si="117"/>
        <v>181.41000399999999</v>
      </c>
      <c r="N907" s="1">
        <f t="shared" ca="1" si="118"/>
        <v>181.41000399999999</v>
      </c>
      <c r="O907" s="5">
        <f t="shared" si="119"/>
        <v>-2.370322972927108E-2</v>
      </c>
    </row>
    <row r="908" spans="1:15" s="2" customFormat="1" x14ac:dyDescent="0.5">
      <c r="A908" s="6">
        <v>41674</v>
      </c>
      <c r="B908" s="1">
        <v>180.699997</v>
      </c>
      <c r="C908" s="1">
        <v>181.60000600000001</v>
      </c>
      <c r="D908" s="1">
        <v>176.199997</v>
      </c>
      <c r="E908" s="1">
        <v>178.729996</v>
      </c>
      <c r="F908" s="1">
        <v>178.729996</v>
      </c>
      <c r="G908" s="2">
        <v>4686300</v>
      </c>
      <c r="H908" s="2">
        <f t="shared" si="112"/>
        <v>2014</v>
      </c>
      <c r="I908" s="2">
        <f t="shared" si="113"/>
        <v>2</v>
      </c>
      <c r="J908" s="2">
        <f t="shared" si="114"/>
        <v>4</v>
      </c>
      <c r="K908" s="2">
        <f t="shared" si="115"/>
        <v>3</v>
      </c>
      <c r="L908" s="2">
        <f t="shared" si="116"/>
        <v>3</v>
      </c>
      <c r="M908" s="3">
        <f t="shared" si="117"/>
        <v>177.11000100000001</v>
      </c>
      <c r="N908" s="1">
        <f t="shared" ca="1" si="118"/>
        <v>177.11000100000001</v>
      </c>
      <c r="O908" s="5">
        <f t="shared" si="119"/>
        <v>9.1468296022423345E-3</v>
      </c>
    </row>
    <row r="909" spans="1:15" s="2" customFormat="1" x14ac:dyDescent="0.5">
      <c r="A909" s="6">
        <v>41675</v>
      </c>
      <c r="B909" s="1">
        <v>178.300003</v>
      </c>
      <c r="C909" s="1">
        <v>180.58999600000001</v>
      </c>
      <c r="D909" s="1">
        <v>169.36000100000001</v>
      </c>
      <c r="E909" s="1">
        <v>174.41999799999999</v>
      </c>
      <c r="F909" s="1">
        <v>174.41999799999999</v>
      </c>
      <c r="G909" s="2">
        <v>7268000</v>
      </c>
      <c r="H909" s="2">
        <f t="shared" si="112"/>
        <v>2014</v>
      </c>
      <c r="I909" s="2">
        <f t="shared" si="113"/>
        <v>2</v>
      </c>
      <c r="J909" s="2">
        <f t="shared" si="114"/>
        <v>5</v>
      </c>
      <c r="K909" s="2">
        <f t="shared" si="115"/>
        <v>4</v>
      </c>
      <c r="L909" s="2">
        <f t="shared" si="116"/>
        <v>3</v>
      </c>
      <c r="M909" s="3">
        <f t="shared" si="117"/>
        <v>178.729996</v>
      </c>
      <c r="N909" s="1">
        <f t="shared" ca="1" si="118"/>
        <v>178.729996</v>
      </c>
      <c r="O909" s="5">
        <f t="shared" si="119"/>
        <v>-2.4114575597036336E-2</v>
      </c>
    </row>
    <row r="910" spans="1:15" s="2" customFormat="1" x14ac:dyDescent="0.5">
      <c r="A910" s="6">
        <v>41676</v>
      </c>
      <c r="B910" s="1">
        <v>176.300003</v>
      </c>
      <c r="C910" s="1">
        <v>180.11000100000001</v>
      </c>
      <c r="D910" s="1">
        <v>176</v>
      </c>
      <c r="E910" s="1">
        <v>178.38000500000001</v>
      </c>
      <c r="F910" s="1">
        <v>178.38000500000001</v>
      </c>
      <c r="G910" s="2">
        <v>5841600</v>
      </c>
      <c r="H910" s="2">
        <f t="shared" si="112"/>
        <v>2014</v>
      </c>
      <c r="I910" s="2">
        <f t="shared" si="113"/>
        <v>2</v>
      </c>
      <c r="J910" s="2">
        <f t="shared" si="114"/>
        <v>6</v>
      </c>
      <c r="K910" s="2">
        <f t="shared" si="115"/>
        <v>5</v>
      </c>
      <c r="L910" s="2">
        <f t="shared" si="116"/>
        <v>3</v>
      </c>
      <c r="M910" s="3">
        <f t="shared" si="117"/>
        <v>174.41999799999999</v>
      </c>
      <c r="N910" s="1">
        <f t="shared" ca="1" si="118"/>
        <v>174.41999799999999</v>
      </c>
      <c r="O910" s="5">
        <f t="shared" si="119"/>
        <v>2.270385876280101E-2</v>
      </c>
    </row>
    <row r="911" spans="1:15" s="2" customFormat="1" x14ac:dyDescent="0.5">
      <c r="A911" s="6">
        <v>41677</v>
      </c>
      <c r="B911" s="1">
        <v>181.009995</v>
      </c>
      <c r="C911" s="1">
        <v>186.63000500000001</v>
      </c>
      <c r="D911" s="1">
        <v>179.60000600000001</v>
      </c>
      <c r="E911" s="1">
        <v>186.529999</v>
      </c>
      <c r="F911" s="1">
        <v>186.529999</v>
      </c>
      <c r="G911" s="2">
        <v>8928500</v>
      </c>
      <c r="H911" s="2">
        <f t="shared" si="112"/>
        <v>2014</v>
      </c>
      <c r="I911" s="2">
        <f t="shared" si="113"/>
        <v>2</v>
      </c>
      <c r="J911" s="2">
        <f t="shared" si="114"/>
        <v>7</v>
      </c>
      <c r="K911" s="2">
        <f t="shared" si="115"/>
        <v>6</v>
      </c>
      <c r="L911" s="2">
        <f t="shared" si="116"/>
        <v>3</v>
      </c>
      <c r="M911" s="3">
        <f t="shared" si="117"/>
        <v>178.38000500000001</v>
      </c>
      <c r="N911" s="1">
        <f t="shared" ca="1" si="118"/>
        <v>178.38000500000001</v>
      </c>
      <c r="O911" s="5">
        <f t="shared" si="119"/>
        <v>4.568894366832188E-2</v>
      </c>
    </row>
    <row r="912" spans="1:15" s="2" customFormat="1" x14ac:dyDescent="0.5">
      <c r="A912" s="6">
        <v>41680</v>
      </c>
      <c r="B912" s="1">
        <v>189.33999600000001</v>
      </c>
      <c r="C912" s="1">
        <v>199.300003</v>
      </c>
      <c r="D912" s="1">
        <v>189.320007</v>
      </c>
      <c r="E912" s="1">
        <v>196.55999800000001</v>
      </c>
      <c r="F912" s="1">
        <v>196.55999800000001</v>
      </c>
      <c r="G912" s="2">
        <v>12970700</v>
      </c>
      <c r="H912" s="2">
        <f t="shared" si="112"/>
        <v>2014</v>
      </c>
      <c r="I912" s="2">
        <f t="shared" si="113"/>
        <v>2</v>
      </c>
      <c r="J912" s="2">
        <f t="shared" si="114"/>
        <v>10</v>
      </c>
      <c r="K912" s="2">
        <f t="shared" si="115"/>
        <v>2</v>
      </c>
      <c r="L912" s="2">
        <f t="shared" si="116"/>
        <v>3</v>
      </c>
      <c r="M912" s="3">
        <f t="shared" si="117"/>
        <v>186.529999</v>
      </c>
      <c r="N912" s="1">
        <f t="shared" ca="1" si="118"/>
        <v>186.529999</v>
      </c>
      <c r="O912" s="5">
        <f t="shared" si="119"/>
        <v>5.3771506212252795E-2</v>
      </c>
    </row>
    <row r="913" spans="1:15" s="2" customFormat="1" x14ac:dyDescent="0.5">
      <c r="A913" s="6">
        <v>41681</v>
      </c>
      <c r="B913" s="1">
        <v>198.970001</v>
      </c>
      <c r="C913" s="1">
        <v>202.199997</v>
      </c>
      <c r="D913" s="1">
        <v>192.699997</v>
      </c>
      <c r="E913" s="1">
        <v>196.61999499999999</v>
      </c>
      <c r="F913" s="1">
        <v>196.61999499999999</v>
      </c>
      <c r="G913" s="2">
        <v>10709900</v>
      </c>
      <c r="H913" s="2">
        <f t="shared" si="112"/>
        <v>2014</v>
      </c>
      <c r="I913" s="2">
        <f t="shared" si="113"/>
        <v>2</v>
      </c>
      <c r="J913" s="2">
        <f t="shared" si="114"/>
        <v>11</v>
      </c>
      <c r="K913" s="2">
        <f t="shared" si="115"/>
        <v>3</v>
      </c>
      <c r="L913" s="2">
        <f t="shared" si="116"/>
        <v>3</v>
      </c>
      <c r="M913" s="3">
        <f t="shared" si="117"/>
        <v>196.55999800000001</v>
      </c>
      <c r="N913" s="1">
        <f t="shared" ca="1" si="118"/>
        <v>196.55999800000001</v>
      </c>
      <c r="O913" s="5">
        <f t="shared" si="119"/>
        <v>3.0523504584079042E-4</v>
      </c>
    </row>
    <row r="914" spans="1:15" s="2" customFormat="1" x14ac:dyDescent="0.5">
      <c r="A914" s="6">
        <v>41682</v>
      </c>
      <c r="B914" s="1">
        <v>195.779999</v>
      </c>
      <c r="C914" s="1">
        <v>198.270004</v>
      </c>
      <c r="D914" s="1">
        <v>194.320007</v>
      </c>
      <c r="E914" s="1">
        <v>195.320007</v>
      </c>
      <c r="F914" s="1">
        <v>195.320007</v>
      </c>
      <c r="G914" s="2">
        <v>5173700</v>
      </c>
      <c r="H914" s="2">
        <f t="shared" si="112"/>
        <v>2014</v>
      </c>
      <c r="I914" s="2">
        <f t="shared" si="113"/>
        <v>2</v>
      </c>
      <c r="J914" s="2">
        <f t="shared" si="114"/>
        <v>12</v>
      </c>
      <c r="K914" s="2">
        <f t="shared" si="115"/>
        <v>4</v>
      </c>
      <c r="L914" s="2">
        <f t="shared" si="116"/>
        <v>3</v>
      </c>
      <c r="M914" s="3">
        <f t="shared" si="117"/>
        <v>196.61999499999999</v>
      </c>
      <c r="N914" s="1">
        <f t="shared" ca="1" si="118"/>
        <v>196.61999499999999</v>
      </c>
      <c r="O914" s="5">
        <f t="shared" si="119"/>
        <v>-6.6116775153004514E-3</v>
      </c>
    </row>
    <row r="915" spans="1:15" s="2" customFormat="1" x14ac:dyDescent="0.5">
      <c r="A915" s="6">
        <v>41683</v>
      </c>
      <c r="B915" s="1">
        <v>193.33999600000001</v>
      </c>
      <c r="C915" s="1">
        <v>202.720001</v>
      </c>
      <c r="D915" s="1">
        <v>193.25</v>
      </c>
      <c r="E915" s="1">
        <v>199.63000500000001</v>
      </c>
      <c r="F915" s="1">
        <v>199.63000500000001</v>
      </c>
      <c r="G915" s="2">
        <v>8029300</v>
      </c>
      <c r="H915" s="2">
        <f t="shared" si="112"/>
        <v>2014</v>
      </c>
      <c r="I915" s="2">
        <f t="shared" si="113"/>
        <v>2</v>
      </c>
      <c r="J915" s="2">
        <f t="shared" si="114"/>
        <v>13</v>
      </c>
      <c r="K915" s="2">
        <f t="shared" si="115"/>
        <v>5</v>
      </c>
      <c r="L915" s="2">
        <f t="shared" si="116"/>
        <v>3</v>
      </c>
      <c r="M915" s="3">
        <f t="shared" si="117"/>
        <v>195.320007</v>
      </c>
      <c r="N915" s="1">
        <f t="shared" ca="1" si="118"/>
        <v>195.320007</v>
      </c>
      <c r="O915" s="5">
        <f t="shared" si="119"/>
        <v>2.2066341621624019E-2</v>
      </c>
    </row>
    <row r="916" spans="1:15" s="2" customFormat="1" x14ac:dyDescent="0.5">
      <c r="A916" s="6">
        <v>41684</v>
      </c>
      <c r="B916" s="1">
        <v>198.10000600000001</v>
      </c>
      <c r="C916" s="1">
        <v>201.88000500000001</v>
      </c>
      <c r="D916" s="1">
        <v>197</v>
      </c>
      <c r="E916" s="1">
        <v>198.229996</v>
      </c>
      <c r="F916" s="1">
        <v>198.229996</v>
      </c>
      <c r="G916" s="2">
        <v>6158000</v>
      </c>
      <c r="H916" s="2">
        <f t="shared" si="112"/>
        <v>2014</v>
      </c>
      <c r="I916" s="2">
        <f t="shared" si="113"/>
        <v>2</v>
      </c>
      <c r="J916" s="2">
        <f t="shared" si="114"/>
        <v>14</v>
      </c>
      <c r="K916" s="2">
        <f t="shared" si="115"/>
        <v>6</v>
      </c>
      <c r="L916" s="2">
        <f t="shared" si="116"/>
        <v>3</v>
      </c>
      <c r="M916" s="3">
        <f t="shared" si="117"/>
        <v>199.63000500000001</v>
      </c>
      <c r="N916" s="1">
        <f t="shared" ca="1" si="118"/>
        <v>199.63000500000001</v>
      </c>
      <c r="O916" s="5">
        <f t="shared" si="119"/>
        <v>-7.0130189096574425E-3</v>
      </c>
    </row>
    <row r="917" spans="1:15" s="2" customFormat="1" x14ac:dyDescent="0.5">
      <c r="A917" s="6">
        <v>41688</v>
      </c>
      <c r="B917" s="1">
        <v>205.240005</v>
      </c>
      <c r="C917" s="1">
        <v>206</v>
      </c>
      <c r="D917" s="1">
        <v>201.36000100000001</v>
      </c>
      <c r="E917" s="1">
        <v>203.699997</v>
      </c>
      <c r="F917" s="1">
        <v>203.699997</v>
      </c>
      <c r="G917" s="2">
        <v>9332800</v>
      </c>
      <c r="H917" s="2">
        <f t="shared" si="112"/>
        <v>2014</v>
      </c>
      <c r="I917" s="2">
        <f t="shared" si="113"/>
        <v>2</v>
      </c>
      <c r="J917" s="2">
        <f t="shared" si="114"/>
        <v>18</v>
      </c>
      <c r="K917" s="2">
        <f t="shared" si="115"/>
        <v>3</v>
      </c>
      <c r="L917" s="2">
        <f t="shared" si="116"/>
        <v>3</v>
      </c>
      <c r="M917" s="3">
        <f t="shared" si="117"/>
        <v>198.229996</v>
      </c>
      <c r="N917" s="1">
        <f t="shared" ca="1" si="118"/>
        <v>198.229996</v>
      </c>
      <c r="O917" s="5">
        <f t="shared" si="119"/>
        <v>2.7594214348871882E-2</v>
      </c>
    </row>
    <row r="918" spans="1:15" s="2" customFormat="1" x14ac:dyDescent="0.5">
      <c r="A918" s="6">
        <v>41689</v>
      </c>
      <c r="B918" s="1">
        <v>203.699997</v>
      </c>
      <c r="C918" s="1">
        <v>203.699997</v>
      </c>
      <c r="D918" s="1">
        <v>193.41000399999999</v>
      </c>
      <c r="E918" s="1">
        <v>193.63999899999999</v>
      </c>
      <c r="F918" s="1">
        <v>193.63999899999999</v>
      </c>
      <c r="G918" s="2">
        <v>16169000</v>
      </c>
      <c r="H918" s="2">
        <f t="shared" si="112"/>
        <v>2014</v>
      </c>
      <c r="I918" s="2">
        <f t="shared" si="113"/>
        <v>2</v>
      </c>
      <c r="J918" s="2">
        <f t="shared" si="114"/>
        <v>19</v>
      </c>
      <c r="K918" s="2">
        <f t="shared" si="115"/>
        <v>4</v>
      </c>
      <c r="L918" s="2">
        <f t="shared" si="116"/>
        <v>3</v>
      </c>
      <c r="M918" s="3">
        <f t="shared" si="117"/>
        <v>203.699997</v>
      </c>
      <c r="N918" s="1">
        <f t="shared" ca="1" si="118"/>
        <v>203.699997</v>
      </c>
      <c r="O918" s="5">
        <f t="shared" si="119"/>
        <v>-4.9386343388115095E-2</v>
      </c>
    </row>
    <row r="919" spans="1:15" s="2" customFormat="1" x14ac:dyDescent="0.5">
      <c r="A919" s="6">
        <v>41690</v>
      </c>
      <c r="B919" s="1">
        <v>215.009995</v>
      </c>
      <c r="C919" s="1">
        <v>215.21000699999999</v>
      </c>
      <c r="D919" s="1">
        <v>206.270004</v>
      </c>
      <c r="E919" s="1">
        <v>209.970001</v>
      </c>
      <c r="F919" s="1">
        <v>209.970001</v>
      </c>
      <c r="G919" s="2">
        <v>18002300</v>
      </c>
      <c r="H919" s="2">
        <f t="shared" si="112"/>
        <v>2014</v>
      </c>
      <c r="I919" s="2">
        <f t="shared" si="113"/>
        <v>2</v>
      </c>
      <c r="J919" s="2">
        <f t="shared" si="114"/>
        <v>20</v>
      </c>
      <c r="K919" s="2">
        <f t="shared" si="115"/>
        <v>5</v>
      </c>
      <c r="L919" s="2">
        <f t="shared" si="116"/>
        <v>3</v>
      </c>
      <c r="M919" s="3">
        <f t="shared" si="117"/>
        <v>193.63999899999999</v>
      </c>
      <c r="N919" s="1">
        <f t="shared" ca="1" si="118"/>
        <v>193.63999899999999</v>
      </c>
      <c r="O919" s="5">
        <f t="shared" si="119"/>
        <v>8.4331760402456935E-2</v>
      </c>
    </row>
    <row r="920" spans="1:15" s="2" customFormat="1" x14ac:dyDescent="0.5">
      <c r="A920" s="6">
        <v>41691</v>
      </c>
      <c r="B920" s="1">
        <v>211.63999899999999</v>
      </c>
      <c r="C920" s="1">
        <v>213.979996</v>
      </c>
      <c r="D920" s="1">
        <v>209.19000199999999</v>
      </c>
      <c r="E920" s="1">
        <v>209.60000600000001</v>
      </c>
      <c r="F920" s="1">
        <v>209.60000600000001</v>
      </c>
      <c r="G920" s="2">
        <v>7818800</v>
      </c>
      <c r="H920" s="2">
        <f t="shared" si="112"/>
        <v>2014</v>
      </c>
      <c r="I920" s="2">
        <f t="shared" si="113"/>
        <v>2</v>
      </c>
      <c r="J920" s="2">
        <f t="shared" si="114"/>
        <v>21</v>
      </c>
      <c r="K920" s="2">
        <f t="shared" si="115"/>
        <v>6</v>
      </c>
      <c r="L920" s="2">
        <f t="shared" si="116"/>
        <v>3</v>
      </c>
      <c r="M920" s="3">
        <f t="shared" si="117"/>
        <v>209.970001</v>
      </c>
      <c r="N920" s="1">
        <f t="shared" ca="1" si="118"/>
        <v>209.970001</v>
      </c>
      <c r="O920" s="5">
        <f t="shared" si="119"/>
        <v>-1.7621326772293555E-3</v>
      </c>
    </row>
    <row r="921" spans="1:15" s="2" customFormat="1" x14ac:dyDescent="0.5">
      <c r="A921" s="6">
        <v>41694</v>
      </c>
      <c r="B921" s="1">
        <v>208.759995</v>
      </c>
      <c r="C921" s="1">
        <v>218.36000100000001</v>
      </c>
      <c r="D921" s="1">
        <v>208.320007</v>
      </c>
      <c r="E921" s="1">
        <v>217.64999399999999</v>
      </c>
      <c r="F921" s="1">
        <v>217.64999399999999</v>
      </c>
      <c r="G921" s="2">
        <v>8278400</v>
      </c>
      <c r="H921" s="2">
        <f t="shared" si="112"/>
        <v>2014</v>
      </c>
      <c r="I921" s="2">
        <f t="shared" si="113"/>
        <v>2</v>
      </c>
      <c r="J921" s="2">
        <f t="shared" si="114"/>
        <v>24</v>
      </c>
      <c r="K921" s="2">
        <f t="shared" si="115"/>
        <v>2</v>
      </c>
      <c r="L921" s="2">
        <f t="shared" si="116"/>
        <v>3</v>
      </c>
      <c r="M921" s="3">
        <f t="shared" si="117"/>
        <v>209.60000600000001</v>
      </c>
      <c r="N921" s="1">
        <f t="shared" ca="1" si="118"/>
        <v>209.60000600000001</v>
      </c>
      <c r="O921" s="5">
        <f t="shared" si="119"/>
        <v>3.8406430198289154E-2</v>
      </c>
    </row>
    <row r="922" spans="1:15" s="2" customFormat="1" x14ac:dyDescent="0.5">
      <c r="A922" s="6">
        <v>41695</v>
      </c>
      <c r="B922" s="1">
        <v>230</v>
      </c>
      <c r="C922" s="1">
        <v>259.20001200000002</v>
      </c>
      <c r="D922" s="1">
        <v>228.449997</v>
      </c>
      <c r="E922" s="1">
        <v>248</v>
      </c>
      <c r="F922" s="1">
        <v>248</v>
      </c>
      <c r="G922" s="2">
        <v>32681700</v>
      </c>
      <c r="H922" s="2">
        <f t="shared" si="112"/>
        <v>2014</v>
      </c>
      <c r="I922" s="2">
        <f t="shared" si="113"/>
        <v>2</v>
      </c>
      <c r="J922" s="2">
        <f t="shared" si="114"/>
        <v>25</v>
      </c>
      <c r="K922" s="2">
        <f t="shared" si="115"/>
        <v>3</v>
      </c>
      <c r="L922" s="2">
        <f t="shared" si="116"/>
        <v>3</v>
      </c>
      <c r="M922" s="3">
        <f t="shared" si="117"/>
        <v>217.64999399999999</v>
      </c>
      <c r="N922" s="1">
        <f t="shared" ca="1" si="118"/>
        <v>217.64999399999999</v>
      </c>
      <c r="O922" s="5">
        <f t="shared" si="119"/>
        <v>0.13944409297801319</v>
      </c>
    </row>
    <row r="923" spans="1:15" s="2" customFormat="1" x14ac:dyDescent="0.5">
      <c r="A923" s="6">
        <v>41696</v>
      </c>
      <c r="B923" s="1">
        <v>258.57998700000002</v>
      </c>
      <c r="C923" s="1">
        <v>265</v>
      </c>
      <c r="D923" s="1">
        <v>247.5</v>
      </c>
      <c r="E923" s="1">
        <v>253</v>
      </c>
      <c r="F923" s="1">
        <v>253</v>
      </c>
      <c r="G923" s="2">
        <v>24604600</v>
      </c>
      <c r="H923" s="2">
        <f t="shared" si="112"/>
        <v>2014</v>
      </c>
      <c r="I923" s="2">
        <f t="shared" si="113"/>
        <v>2</v>
      </c>
      <c r="J923" s="2">
        <f t="shared" si="114"/>
        <v>26</v>
      </c>
      <c r="K923" s="2">
        <f t="shared" si="115"/>
        <v>4</v>
      </c>
      <c r="L923" s="2">
        <f t="shared" si="116"/>
        <v>3</v>
      </c>
      <c r="M923" s="3">
        <f t="shared" si="117"/>
        <v>248</v>
      </c>
      <c r="N923" s="1">
        <f t="shared" ca="1" si="118"/>
        <v>248</v>
      </c>
      <c r="O923" s="5">
        <f t="shared" si="119"/>
        <v>2.0161290322580738E-2</v>
      </c>
    </row>
    <row r="924" spans="1:15" s="2" customFormat="1" x14ac:dyDescent="0.5">
      <c r="A924" s="6">
        <v>41697</v>
      </c>
      <c r="B924" s="1">
        <v>261.25</v>
      </c>
      <c r="C924" s="1">
        <v>261.89999399999999</v>
      </c>
      <c r="D924" s="1">
        <v>248.33000200000001</v>
      </c>
      <c r="E924" s="1">
        <v>252.53999300000001</v>
      </c>
      <c r="F924" s="1">
        <v>252.53999300000001</v>
      </c>
      <c r="G924" s="2">
        <v>17945800</v>
      </c>
      <c r="H924" s="2">
        <f t="shared" si="112"/>
        <v>2014</v>
      </c>
      <c r="I924" s="2">
        <f t="shared" si="113"/>
        <v>2</v>
      </c>
      <c r="J924" s="2">
        <f t="shared" si="114"/>
        <v>27</v>
      </c>
      <c r="K924" s="2">
        <f t="shared" si="115"/>
        <v>5</v>
      </c>
      <c r="L924" s="2">
        <f t="shared" si="116"/>
        <v>3</v>
      </c>
      <c r="M924" s="3">
        <f t="shared" si="117"/>
        <v>253</v>
      </c>
      <c r="N924" s="1">
        <f t="shared" ca="1" si="118"/>
        <v>253</v>
      </c>
      <c r="O924" s="5">
        <f t="shared" si="119"/>
        <v>-1.8182094861659559E-3</v>
      </c>
    </row>
    <row r="925" spans="1:15" s="2" customFormat="1" x14ac:dyDescent="0.5">
      <c r="A925" s="6">
        <v>41698</v>
      </c>
      <c r="B925" s="1">
        <v>249.64999399999999</v>
      </c>
      <c r="C925" s="1">
        <v>252.679993</v>
      </c>
      <c r="D925" s="1">
        <v>242.550003</v>
      </c>
      <c r="E925" s="1">
        <v>244.80999800000001</v>
      </c>
      <c r="F925" s="1">
        <v>244.80999800000001</v>
      </c>
      <c r="G925" s="2">
        <v>14589800</v>
      </c>
      <c r="H925" s="2">
        <f t="shared" si="112"/>
        <v>2014</v>
      </c>
      <c r="I925" s="2">
        <f t="shared" si="113"/>
        <v>2</v>
      </c>
      <c r="J925" s="2">
        <f t="shared" si="114"/>
        <v>28</v>
      </c>
      <c r="K925" s="2">
        <f t="shared" si="115"/>
        <v>6</v>
      </c>
      <c r="L925" s="2">
        <f t="shared" si="116"/>
        <v>3</v>
      </c>
      <c r="M925" s="3">
        <f t="shared" si="117"/>
        <v>252.53999300000001</v>
      </c>
      <c r="N925" s="1">
        <f t="shared" ca="1" si="118"/>
        <v>252.53999300000001</v>
      </c>
      <c r="O925" s="5">
        <f t="shared" si="119"/>
        <v>-3.0608993483261848E-2</v>
      </c>
    </row>
    <row r="926" spans="1:15" s="2" customFormat="1" x14ac:dyDescent="0.5">
      <c r="A926" s="6">
        <v>41701</v>
      </c>
      <c r="B926" s="1">
        <v>237.259995</v>
      </c>
      <c r="C926" s="1">
        <v>251.64999399999999</v>
      </c>
      <c r="D926" s="1">
        <v>234.990005</v>
      </c>
      <c r="E926" s="1">
        <v>250.55999800000001</v>
      </c>
      <c r="F926" s="1">
        <v>250.55999800000001</v>
      </c>
      <c r="G926" s="2">
        <v>13089300</v>
      </c>
      <c r="H926" s="2">
        <f t="shared" si="112"/>
        <v>2014</v>
      </c>
      <c r="I926" s="2">
        <f t="shared" si="113"/>
        <v>3</v>
      </c>
      <c r="J926" s="2">
        <f t="shared" si="114"/>
        <v>3</v>
      </c>
      <c r="K926" s="2">
        <f t="shared" si="115"/>
        <v>2</v>
      </c>
      <c r="L926" s="2">
        <f t="shared" si="116"/>
        <v>4</v>
      </c>
      <c r="M926" s="3">
        <f t="shared" si="117"/>
        <v>244.80999800000001</v>
      </c>
      <c r="N926" s="1">
        <f t="shared" ca="1" si="118"/>
        <v>244.80999800000001</v>
      </c>
      <c r="O926" s="5">
        <f t="shared" si="119"/>
        <v>2.3487602822495735E-2</v>
      </c>
    </row>
    <row r="927" spans="1:15" s="2" customFormat="1" x14ac:dyDescent="0.5">
      <c r="A927" s="6">
        <v>41702</v>
      </c>
      <c r="B927" s="1">
        <v>258.48001099999999</v>
      </c>
      <c r="C927" s="1">
        <v>260</v>
      </c>
      <c r="D927" s="1">
        <v>252.83000200000001</v>
      </c>
      <c r="E927" s="1">
        <v>254.83999600000001</v>
      </c>
      <c r="F927" s="1">
        <v>254.83999600000001</v>
      </c>
      <c r="G927" s="2">
        <v>8745600</v>
      </c>
      <c r="H927" s="2">
        <f t="shared" si="112"/>
        <v>2014</v>
      </c>
      <c r="I927" s="2">
        <f t="shared" si="113"/>
        <v>3</v>
      </c>
      <c r="J927" s="2">
        <f t="shared" si="114"/>
        <v>4</v>
      </c>
      <c r="K927" s="2">
        <f t="shared" si="115"/>
        <v>3</v>
      </c>
      <c r="L927" s="2">
        <f t="shared" si="116"/>
        <v>4</v>
      </c>
      <c r="M927" s="3">
        <f t="shared" si="117"/>
        <v>250.55999800000001</v>
      </c>
      <c r="N927" s="1">
        <f t="shared" ca="1" si="118"/>
        <v>250.55999800000001</v>
      </c>
      <c r="O927" s="5">
        <f t="shared" si="119"/>
        <v>1.7081729063551432E-2</v>
      </c>
    </row>
    <row r="928" spans="1:15" s="2" customFormat="1" x14ac:dyDescent="0.5">
      <c r="A928" s="6">
        <v>41703</v>
      </c>
      <c r="B928" s="1">
        <v>256.72000100000002</v>
      </c>
      <c r="C928" s="1">
        <v>256.98998999999998</v>
      </c>
      <c r="D928" s="1">
        <v>251.800003</v>
      </c>
      <c r="E928" s="1">
        <v>252.66000399999999</v>
      </c>
      <c r="F928" s="1">
        <v>252.66000399999999</v>
      </c>
      <c r="G928" s="2">
        <v>5935700</v>
      </c>
      <c r="H928" s="2">
        <f t="shared" si="112"/>
        <v>2014</v>
      </c>
      <c r="I928" s="2">
        <f t="shared" si="113"/>
        <v>3</v>
      </c>
      <c r="J928" s="2">
        <f t="shared" si="114"/>
        <v>5</v>
      </c>
      <c r="K928" s="2">
        <f t="shared" si="115"/>
        <v>4</v>
      </c>
      <c r="L928" s="2">
        <f t="shared" si="116"/>
        <v>4</v>
      </c>
      <c r="M928" s="3">
        <f t="shared" si="117"/>
        <v>254.83999600000001</v>
      </c>
      <c r="N928" s="1">
        <f t="shared" ca="1" si="118"/>
        <v>254.83999600000001</v>
      </c>
      <c r="O928" s="5">
        <f t="shared" si="119"/>
        <v>-8.5543558084187898E-3</v>
      </c>
    </row>
    <row r="929" spans="1:15" s="2" customFormat="1" x14ac:dyDescent="0.5">
      <c r="A929" s="6">
        <v>41704</v>
      </c>
      <c r="B929" s="1">
        <v>254.13999899999999</v>
      </c>
      <c r="C929" s="1">
        <v>257.5</v>
      </c>
      <c r="D929" s="1">
        <v>249.449997</v>
      </c>
      <c r="E929" s="1">
        <v>252.94000199999999</v>
      </c>
      <c r="F929" s="1">
        <v>252.94000199999999</v>
      </c>
      <c r="G929" s="2">
        <v>7361100</v>
      </c>
      <c r="H929" s="2">
        <f t="shared" si="112"/>
        <v>2014</v>
      </c>
      <c r="I929" s="2">
        <f t="shared" si="113"/>
        <v>3</v>
      </c>
      <c r="J929" s="2">
        <f t="shared" si="114"/>
        <v>6</v>
      </c>
      <c r="K929" s="2">
        <f t="shared" si="115"/>
        <v>5</v>
      </c>
      <c r="L929" s="2">
        <f t="shared" si="116"/>
        <v>4</v>
      </c>
      <c r="M929" s="3">
        <f t="shared" si="117"/>
        <v>252.66000399999999</v>
      </c>
      <c r="N929" s="1">
        <f t="shared" ca="1" si="118"/>
        <v>252.66000399999999</v>
      </c>
      <c r="O929" s="5">
        <f t="shared" si="119"/>
        <v>1.1082007265383886E-3</v>
      </c>
    </row>
    <row r="930" spans="1:15" s="2" customFormat="1" x14ac:dyDescent="0.5">
      <c r="A930" s="6">
        <v>41705</v>
      </c>
      <c r="B930" s="1">
        <v>252.94000199999999</v>
      </c>
      <c r="C930" s="1">
        <v>254.85000600000001</v>
      </c>
      <c r="D930" s="1">
        <v>244.41000399999999</v>
      </c>
      <c r="E930" s="1">
        <v>246.21000699999999</v>
      </c>
      <c r="F930" s="1">
        <v>246.21000699999999</v>
      </c>
      <c r="G930" s="2">
        <v>7812300</v>
      </c>
      <c r="H930" s="2">
        <f t="shared" si="112"/>
        <v>2014</v>
      </c>
      <c r="I930" s="2">
        <f t="shared" si="113"/>
        <v>3</v>
      </c>
      <c r="J930" s="2">
        <f t="shared" si="114"/>
        <v>7</v>
      </c>
      <c r="K930" s="2">
        <f t="shared" si="115"/>
        <v>6</v>
      </c>
      <c r="L930" s="2">
        <f t="shared" si="116"/>
        <v>4</v>
      </c>
      <c r="M930" s="3">
        <f t="shared" si="117"/>
        <v>252.94000199999999</v>
      </c>
      <c r="N930" s="1">
        <f t="shared" ca="1" si="118"/>
        <v>252.94000199999999</v>
      </c>
      <c r="O930" s="5">
        <f t="shared" si="119"/>
        <v>-2.6607080520225534E-2</v>
      </c>
    </row>
    <row r="931" spans="1:15" s="2" customFormat="1" x14ac:dyDescent="0.5">
      <c r="A931" s="6">
        <v>41708</v>
      </c>
      <c r="B931" s="1">
        <v>242.699997</v>
      </c>
      <c r="C931" s="1">
        <v>243</v>
      </c>
      <c r="D931" s="1">
        <v>236.05999800000001</v>
      </c>
      <c r="E931" s="1">
        <v>238.83999600000001</v>
      </c>
      <c r="F931" s="1">
        <v>238.83999600000001</v>
      </c>
      <c r="G931" s="2">
        <v>7728100</v>
      </c>
      <c r="H931" s="2">
        <f t="shared" si="112"/>
        <v>2014</v>
      </c>
      <c r="I931" s="2">
        <f t="shared" si="113"/>
        <v>3</v>
      </c>
      <c r="J931" s="2">
        <f t="shared" si="114"/>
        <v>10</v>
      </c>
      <c r="K931" s="2">
        <f t="shared" si="115"/>
        <v>2</v>
      </c>
      <c r="L931" s="2">
        <f t="shared" si="116"/>
        <v>4</v>
      </c>
      <c r="M931" s="3">
        <f t="shared" si="117"/>
        <v>246.21000699999999</v>
      </c>
      <c r="N931" s="1">
        <f t="shared" ca="1" si="118"/>
        <v>246.21000699999999</v>
      </c>
      <c r="O931" s="5">
        <f t="shared" si="119"/>
        <v>-2.9933840178965498E-2</v>
      </c>
    </row>
    <row r="932" spans="1:15" s="2" customFormat="1" x14ac:dyDescent="0.5">
      <c r="A932" s="6">
        <v>41709</v>
      </c>
      <c r="B932" s="1">
        <v>236.5</v>
      </c>
      <c r="C932" s="1">
        <v>244.60000600000001</v>
      </c>
      <c r="D932" s="1">
        <v>232.429993</v>
      </c>
      <c r="E932" s="1">
        <v>234.41000399999999</v>
      </c>
      <c r="F932" s="1">
        <v>234.41000399999999</v>
      </c>
      <c r="G932" s="2">
        <v>8810100</v>
      </c>
      <c r="H932" s="2">
        <f t="shared" si="112"/>
        <v>2014</v>
      </c>
      <c r="I932" s="2">
        <f t="shared" si="113"/>
        <v>3</v>
      </c>
      <c r="J932" s="2">
        <f t="shared" si="114"/>
        <v>11</v>
      </c>
      <c r="K932" s="2">
        <f t="shared" si="115"/>
        <v>3</v>
      </c>
      <c r="L932" s="2">
        <f t="shared" si="116"/>
        <v>4</v>
      </c>
      <c r="M932" s="3">
        <f t="shared" si="117"/>
        <v>238.83999600000001</v>
      </c>
      <c r="N932" s="1">
        <f t="shared" ca="1" si="118"/>
        <v>238.83999600000001</v>
      </c>
      <c r="O932" s="5">
        <f t="shared" si="119"/>
        <v>-1.8547948727984487E-2</v>
      </c>
    </row>
    <row r="933" spans="1:15" s="2" customFormat="1" x14ac:dyDescent="0.5">
      <c r="A933" s="6">
        <v>41710</v>
      </c>
      <c r="B933" s="1">
        <v>231.5</v>
      </c>
      <c r="C933" s="1">
        <v>247.5</v>
      </c>
      <c r="D933" s="1">
        <v>231.11000100000001</v>
      </c>
      <c r="E933" s="1">
        <v>241.490005</v>
      </c>
      <c r="F933" s="1">
        <v>241.490005</v>
      </c>
      <c r="G933" s="2">
        <v>9754400</v>
      </c>
      <c r="H933" s="2">
        <f t="shared" si="112"/>
        <v>2014</v>
      </c>
      <c r="I933" s="2">
        <f t="shared" si="113"/>
        <v>3</v>
      </c>
      <c r="J933" s="2">
        <f t="shared" si="114"/>
        <v>12</v>
      </c>
      <c r="K933" s="2">
        <f t="shared" si="115"/>
        <v>4</v>
      </c>
      <c r="L933" s="2">
        <f t="shared" si="116"/>
        <v>4</v>
      </c>
      <c r="M933" s="3">
        <f t="shared" si="117"/>
        <v>234.41000399999999</v>
      </c>
      <c r="N933" s="1">
        <f t="shared" ca="1" si="118"/>
        <v>234.41000399999999</v>
      </c>
      <c r="O933" s="5">
        <f t="shared" si="119"/>
        <v>3.0203493362851663E-2</v>
      </c>
    </row>
    <row r="934" spans="1:15" s="2" customFormat="1" x14ac:dyDescent="0.5">
      <c r="A934" s="6">
        <v>41711</v>
      </c>
      <c r="B934" s="1">
        <v>243.78999300000001</v>
      </c>
      <c r="C934" s="1">
        <v>244.19000199999999</v>
      </c>
      <c r="D934" s="1">
        <v>234</v>
      </c>
      <c r="E934" s="1">
        <v>237.78999300000001</v>
      </c>
      <c r="F934" s="1">
        <v>237.78999300000001</v>
      </c>
      <c r="G934" s="2">
        <v>6236300</v>
      </c>
      <c r="H934" s="2">
        <f t="shared" si="112"/>
        <v>2014</v>
      </c>
      <c r="I934" s="2">
        <f t="shared" si="113"/>
        <v>3</v>
      </c>
      <c r="J934" s="2">
        <f t="shared" si="114"/>
        <v>13</v>
      </c>
      <c r="K934" s="2">
        <f t="shared" si="115"/>
        <v>5</v>
      </c>
      <c r="L934" s="2">
        <f t="shared" si="116"/>
        <v>4</v>
      </c>
      <c r="M934" s="3">
        <f t="shared" si="117"/>
        <v>241.490005</v>
      </c>
      <c r="N934" s="1">
        <f t="shared" ca="1" si="118"/>
        <v>241.490005</v>
      </c>
      <c r="O934" s="5">
        <f t="shared" si="119"/>
        <v>-1.5321594779875047E-2</v>
      </c>
    </row>
    <row r="935" spans="1:15" s="2" customFormat="1" x14ac:dyDescent="0.5">
      <c r="A935" s="6">
        <v>41712</v>
      </c>
      <c r="B935" s="1">
        <v>235.28999300000001</v>
      </c>
      <c r="C935" s="1">
        <v>236.94000199999999</v>
      </c>
      <c r="D935" s="1">
        <v>228.320007</v>
      </c>
      <c r="E935" s="1">
        <v>230.970001</v>
      </c>
      <c r="F935" s="1">
        <v>230.970001</v>
      </c>
      <c r="G935" s="2">
        <v>8289700</v>
      </c>
      <c r="H935" s="2">
        <f t="shared" si="112"/>
        <v>2014</v>
      </c>
      <c r="I935" s="2">
        <f t="shared" si="113"/>
        <v>3</v>
      </c>
      <c r="J935" s="2">
        <f t="shared" si="114"/>
        <v>14</v>
      </c>
      <c r="K935" s="2">
        <f t="shared" si="115"/>
        <v>6</v>
      </c>
      <c r="L935" s="2">
        <f t="shared" si="116"/>
        <v>4</v>
      </c>
      <c r="M935" s="3">
        <f t="shared" si="117"/>
        <v>237.78999300000001</v>
      </c>
      <c r="N935" s="1">
        <f t="shared" ca="1" si="118"/>
        <v>237.78999300000001</v>
      </c>
      <c r="O935" s="5">
        <f t="shared" si="119"/>
        <v>-2.86807359466974E-2</v>
      </c>
    </row>
    <row r="936" spans="1:15" s="2" customFormat="1" x14ac:dyDescent="0.5">
      <c r="A936" s="6">
        <v>41715</v>
      </c>
      <c r="B936" s="1">
        <v>234.949997</v>
      </c>
      <c r="C936" s="1">
        <v>237.929993</v>
      </c>
      <c r="D936" s="1">
        <v>230.5</v>
      </c>
      <c r="E936" s="1">
        <v>233.979996</v>
      </c>
      <c r="F936" s="1">
        <v>233.979996</v>
      </c>
      <c r="G936" s="2">
        <v>5912600</v>
      </c>
      <c r="H936" s="2">
        <f t="shared" si="112"/>
        <v>2014</v>
      </c>
      <c r="I936" s="2">
        <f t="shared" si="113"/>
        <v>3</v>
      </c>
      <c r="J936" s="2">
        <f t="shared" si="114"/>
        <v>17</v>
      </c>
      <c r="K936" s="2">
        <f t="shared" si="115"/>
        <v>2</v>
      </c>
      <c r="L936" s="2">
        <f t="shared" si="116"/>
        <v>4</v>
      </c>
      <c r="M936" s="3">
        <f t="shared" si="117"/>
        <v>230.970001</v>
      </c>
      <c r="N936" s="1">
        <f t="shared" ca="1" si="118"/>
        <v>230.970001</v>
      </c>
      <c r="O936" s="5">
        <f t="shared" si="119"/>
        <v>1.3031973792994922E-2</v>
      </c>
    </row>
    <row r="937" spans="1:15" s="2" customFormat="1" x14ac:dyDescent="0.5">
      <c r="A937" s="6">
        <v>41716</v>
      </c>
      <c r="B937" s="1">
        <v>236.949997</v>
      </c>
      <c r="C937" s="1">
        <v>241.5</v>
      </c>
      <c r="D937" s="1">
        <v>235.020004</v>
      </c>
      <c r="E937" s="1">
        <v>240.03999300000001</v>
      </c>
      <c r="F937" s="1">
        <v>240.03999300000001</v>
      </c>
      <c r="G937" s="2">
        <v>6242300</v>
      </c>
      <c r="H937" s="2">
        <f t="shared" si="112"/>
        <v>2014</v>
      </c>
      <c r="I937" s="2">
        <f t="shared" si="113"/>
        <v>3</v>
      </c>
      <c r="J937" s="2">
        <f t="shared" si="114"/>
        <v>18</v>
      </c>
      <c r="K937" s="2">
        <f t="shared" si="115"/>
        <v>3</v>
      </c>
      <c r="L937" s="2">
        <f t="shared" si="116"/>
        <v>4</v>
      </c>
      <c r="M937" s="3">
        <f t="shared" si="117"/>
        <v>233.979996</v>
      </c>
      <c r="N937" s="1">
        <f t="shared" ca="1" si="118"/>
        <v>233.979996</v>
      </c>
      <c r="O937" s="5">
        <f t="shared" si="119"/>
        <v>2.5899637163854017E-2</v>
      </c>
    </row>
    <row r="938" spans="1:15" s="2" customFormat="1" x14ac:dyDescent="0.5">
      <c r="A938" s="6">
        <v>41717</v>
      </c>
      <c r="B938" s="1">
        <v>241.38999899999999</v>
      </c>
      <c r="C938" s="1">
        <v>241.550003</v>
      </c>
      <c r="D938" s="1">
        <v>233.509995</v>
      </c>
      <c r="E938" s="1">
        <v>235.83999600000001</v>
      </c>
      <c r="F938" s="1">
        <v>235.83999600000001</v>
      </c>
      <c r="G938" s="2">
        <v>5071300</v>
      </c>
      <c r="H938" s="2">
        <f t="shared" si="112"/>
        <v>2014</v>
      </c>
      <c r="I938" s="2">
        <f t="shared" si="113"/>
        <v>3</v>
      </c>
      <c r="J938" s="2">
        <f t="shared" si="114"/>
        <v>19</v>
      </c>
      <c r="K938" s="2">
        <f t="shared" si="115"/>
        <v>4</v>
      </c>
      <c r="L938" s="2">
        <f t="shared" si="116"/>
        <v>4</v>
      </c>
      <c r="M938" s="3">
        <f t="shared" si="117"/>
        <v>240.03999300000001</v>
      </c>
      <c r="N938" s="1">
        <f t="shared" ca="1" si="118"/>
        <v>240.03999300000001</v>
      </c>
      <c r="O938" s="5">
        <f t="shared" si="119"/>
        <v>-1.7497071831692579E-2</v>
      </c>
    </row>
    <row r="939" spans="1:15" s="2" customFormat="1" x14ac:dyDescent="0.5">
      <c r="A939" s="6">
        <v>41718</v>
      </c>
      <c r="B939" s="1">
        <v>236.16000399999999</v>
      </c>
      <c r="C939" s="1">
        <v>239.25</v>
      </c>
      <c r="D939" s="1">
        <v>233.36000100000001</v>
      </c>
      <c r="E939" s="1">
        <v>234.91000399999999</v>
      </c>
      <c r="F939" s="1">
        <v>234.91000399999999</v>
      </c>
      <c r="G939" s="2">
        <v>3817900</v>
      </c>
      <c r="H939" s="2">
        <f t="shared" si="112"/>
        <v>2014</v>
      </c>
      <c r="I939" s="2">
        <f t="shared" si="113"/>
        <v>3</v>
      </c>
      <c r="J939" s="2">
        <f t="shared" si="114"/>
        <v>20</v>
      </c>
      <c r="K939" s="2">
        <f t="shared" si="115"/>
        <v>5</v>
      </c>
      <c r="L939" s="2">
        <f t="shared" si="116"/>
        <v>4</v>
      </c>
      <c r="M939" s="3">
        <f t="shared" si="117"/>
        <v>235.83999600000001</v>
      </c>
      <c r="N939" s="1">
        <f t="shared" ca="1" si="118"/>
        <v>235.83999600000001</v>
      </c>
      <c r="O939" s="5">
        <f t="shared" si="119"/>
        <v>-3.9433175702734413E-3</v>
      </c>
    </row>
    <row r="940" spans="1:15" s="2" customFormat="1" x14ac:dyDescent="0.5">
      <c r="A940" s="6">
        <v>41719</v>
      </c>
      <c r="B940" s="1">
        <v>236.020004</v>
      </c>
      <c r="C940" s="1">
        <v>236.199997</v>
      </c>
      <c r="D940" s="1">
        <v>227.5</v>
      </c>
      <c r="E940" s="1">
        <v>228.88999899999999</v>
      </c>
      <c r="F940" s="1">
        <v>228.88999899999999</v>
      </c>
      <c r="G940" s="2">
        <v>8216900</v>
      </c>
      <c r="H940" s="2">
        <f t="shared" si="112"/>
        <v>2014</v>
      </c>
      <c r="I940" s="2">
        <f t="shared" si="113"/>
        <v>3</v>
      </c>
      <c r="J940" s="2">
        <f t="shared" si="114"/>
        <v>21</v>
      </c>
      <c r="K940" s="2">
        <f t="shared" si="115"/>
        <v>6</v>
      </c>
      <c r="L940" s="2">
        <f t="shared" si="116"/>
        <v>4</v>
      </c>
      <c r="M940" s="3">
        <f t="shared" si="117"/>
        <v>234.91000399999999</v>
      </c>
      <c r="N940" s="1">
        <f t="shared" ca="1" si="118"/>
        <v>234.91000399999999</v>
      </c>
      <c r="O940" s="5">
        <f t="shared" si="119"/>
        <v>-2.5626856657837371E-2</v>
      </c>
    </row>
    <row r="941" spans="1:15" s="2" customFormat="1" x14ac:dyDescent="0.5">
      <c r="A941" s="6">
        <v>41722</v>
      </c>
      <c r="B941" s="1">
        <v>229.75</v>
      </c>
      <c r="C941" s="1">
        <v>229.89999399999999</v>
      </c>
      <c r="D941" s="1">
        <v>210.270004</v>
      </c>
      <c r="E941" s="1">
        <v>220.16999799999999</v>
      </c>
      <c r="F941" s="1">
        <v>220.16999799999999</v>
      </c>
      <c r="G941" s="2">
        <v>11328800</v>
      </c>
      <c r="H941" s="2">
        <f t="shared" si="112"/>
        <v>2014</v>
      </c>
      <c r="I941" s="2">
        <f t="shared" si="113"/>
        <v>3</v>
      </c>
      <c r="J941" s="2">
        <f t="shared" si="114"/>
        <v>24</v>
      </c>
      <c r="K941" s="2">
        <f t="shared" si="115"/>
        <v>2</v>
      </c>
      <c r="L941" s="2">
        <f t="shared" si="116"/>
        <v>4</v>
      </c>
      <c r="M941" s="3">
        <f t="shared" si="117"/>
        <v>228.88999899999999</v>
      </c>
      <c r="N941" s="1">
        <f t="shared" ca="1" si="118"/>
        <v>228.88999899999999</v>
      </c>
      <c r="O941" s="5">
        <f t="shared" si="119"/>
        <v>-3.8096906977573952E-2</v>
      </c>
    </row>
    <row r="942" spans="1:15" s="2" customFormat="1" x14ac:dyDescent="0.5">
      <c r="A942" s="6">
        <v>41723</v>
      </c>
      <c r="B942" s="1">
        <v>224.13999899999999</v>
      </c>
      <c r="C942" s="1">
        <v>227.050003</v>
      </c>
      <c r="D942" s="1">
        <v>217.89999399999999</v>
      </c>
      <c r="E942" s="1">
        <v>220.44000199999999</v>
      </c>
      <c r="F942" s="1">
        <v>220.44000199999999</v>
      </c>
      <c r="G942" s="2">
        <v>7865400</v>
      </c>
      <c r="H942" s="2">
        <f t="shared" si="112"/>
        <v>2014</v>
      </c>
      <c r="I942" s="2">
        <f t="shared" si="113"/>
        <v>3</v>
      </c>
      <c r="J942" s="2">
        <f t="shared" si="114"/>
        <v>25</v>
      </c>
      <c r="K942" s="2">
        <f t="shared" si="115"/>
        <v>3</v>
      </c>
      <c r="L942" s="2">
        <f t="shared" si="116"/>
        <v>4</v>
      </c>
      <c r="M942" s="3">
        <f t="shared" si="117"/>
        <v>220.16999799999999</v>
      </c>
      <c r="N942" s="1">
        <f t="shared" ca="1" si="118"/>
        <v>220.16999799999999</v>
      </c>
      <c r="O942" s="5">
        <f t="shared" si="119"/>
        <v>1.2263432913326433E-3</v>
      </c>
    </row>
    <row r="943" spans="1:15" s="2" customFormat="1" x14ac:dyDescent="0.5">
      <c r="A943" s="6">
        <v>41724</v>
      </c>
      <c r="B943" s="1">
        <v>221.949997</v>
      </c>
      <c r="C943" s="1">
        <v>222.60000600000001</v>
      </c>
      <c r="D943" s="1">
        <v>211.35000600000001</v>
      </c>
      <c r="E943" s="1">
        <v>212.96000699999999</v>
      </c>
      <c r="F943" s="1">
        <v>212.96000699999999</v>
      </c>
      <c r="G943" s="2">
        <v>6907300</v>
      </c>
      <c r="H943" s="2">
        <f t="shared" si="112"/>
        <v>2014</v>
      </c>
      <c r="I943" s="2">
        <f t="shared" si="113"/>
        <v>3</v>
      </c>
      <c r="J943" s="2">
        <f t="shared" si="114"/>
        <v>26</v>
      </c>
      <c r="K943" s="2">
        <f t="shared" si="115"/>
        <v>4</v>
      </c>
      <c r="L943" s="2">
        <f t="shared" si="116"/>
        <v>4</v>
      </c>
      <c r="M943" s="3">
        <f t="shared" si="117"/>
        <v>220.44000199999999</v>
      </c>
      <c r="N943" s="1">
        <f t="shared" ca="1" si="118"/>
        <v>220.44000199999999</v>
      </c>
      <c r="O943" s="5">
        <f t="shared" si="119"/>
        <v>-3.3932112738775944E-2</v>
      </c>
    </row>
    <row r="944" spans="1:15" s="2" customFormat="1" x14ac:dyDescent="0.5">
      <c r="A944" s="6">
        <v>41725</v>
      </c>
      <c r="B944" s="1">
        <v>212.36999499999999</v>
      </c>
      <c r="C944" s="1">
        <v>213.60000600000001</v>
      </c>
      <c r="D944" s="1">
        <v>203</v>
      </c>
      <c r="E944" s="1">
        <v>207.320007</v>
      </c>
      <c r="F944" s="1">
        <v>207.320007</v>
      </c>
      <c r="G944" s="2">
        <v>9495700</v>
      </c>
      <c r="H944" s="2">
        <f t="shared" si="112"/>
        <v>2014</v>
      </c>
      <c r="I944" s="2">
        <f t="shared" si="113"/>
        <v>3</v>
      </c>
      <c r="J944" s="2">
        <f t="shared" si="114"/>
        <v>27</v>
      </c>
      <c r="K944" s="2">
        <f t="shared" si="115"/>
        <v>5</v>
      </c>
      <c r="L944" s="2">
        <f t="shared" si="116"/>
        <v>4</v>
      </c>
      <c r="M944" s="3">
        <f t="shared" si="117"/>
        <v>212.96000699999999</v>
      </c>
      <c r="N944" s="1">
        <f t="shared" ca="1" si="118"/>
        <v>212.96000699999999</v>
      </c>
      <c r="O944" s="5">
        <f t="shared" si="119"/>
        <v>-2.6483845861255961E-2</v>
      </c>
    </row>
    <row r="945" spans="1:15" s="2" customFormat="1" x14ac:dyDescent="0.5">
      <c r="A945" s="6">
        <v>41726</v>
      </c>
      <c r="B945" s="1">
        <v>212.800003</v>
      </c>
      <c r="C945" s="1">
        <v>216.720001</v>
      </c>
      <c r="D945" s="1">
        <v>210.270004</v>
      </c>
      <c r="E945" s="1">
        <v>212.36999499999999</v>
      </c>
      <c r="F945" s="1">
        <v>212.36999499999999</v>
      </c>
      <c r="G945" s="2">
        <v>9684800</v>
      </c>
      <c r="H945" s="2">
        <f t="shared" si="112"/>
        <v>2014</v>
      </c>
      <c r="I945" s="2">
        <f t="shared" si="113"/>
        <v>3</v>
      </c>
      <c r="J945" s="2">
        <f t="shared" si="114"/>
        <v>28</v>
      </c>
      <c r="K945" s="2">
        <f t="shared" si="115"/>
        <v>6</v>
      </c>
      <c r="L945" s="2">
        <f t="shared" si="116"/>
        <v>4</v>
      </c>
      <c r="M945" s="3">
        <f t="shared" si="117"/>
        <v>207.320007</v>
      </c>
      <c r="N945" s="1">
        <f t="shared" ca="1" si="118"/>
        <v>207.320007</v>
      </c>
      <c r="O945" s="5">
        <f t="shared" si="119"/>
        <v>2.4358420941014147E-2</v>
      </c>
    </row>
    <row r="946" spans="1:15" s="2" customFormat="1" x14ac:dyDescent="0.5">
      <c r="A946" s="6">
        <v>41729</v>
      </c>
      <c r="B946" s="1">
        <v>216.5</v>
      </c>
      <c r="C946" s="1">
        <v>216.75</v>
      </c>
      <c r="D946" s="1">
        <v>206.38999899999999</v>
      </c>
      <c r="E946" s="1">
        <v>208.449997</v>
      </c>
      <c r="F946" s="1">
        <v>208.449997</v>
      </c>
      <c r="G946" s="2">
        <v>8380000</v>
      </c>
      <c r="H946" s="2">
        <f t="shared" si="112"/>
        <v>2014</v>
      </c>
      <c r="I946" s="2">
        <f t="shared" si="113"/>
        <v>3</v>
      </c>
      <c r="J946" s="2">
        <f t="shared" si="114"/>
        <v>31</v>
      </c>
      <c r="K946" s="2">
        <f t="shared" si="115"/>
        <v>2</v>
      </c>
      <c r="L946" s="2">
        <f t="shared" si="116"/>
        <v>4</v>
      </c>
      <c r="M946" s="3">
        <f t="shared" si="117"/>
        <v>212.36999499999999</v>
      </c>
      <c r="N946" s="1">
        <f t="shared" ca="1" si="118"/>
        <v>212.36999499999999</v>
      </c>
      <c r="O946" s="5">
        <f t="shared" si="119"/>
        <v>-1.8458342008248363E-2</v>
      </c>
    </row>
    <row r="947" spans="1:15" s="2" customFormat="1" x14ac:dyDescent="0.5">
      <c r="A947" s="6">
        <v>41730</v>
      </c>
      <c r="B947" s="1">
        <v>209.020004</v>
      </c>
      <c r="C947" s="1">
        <v>218.16000399999999</v>
      </c>
      <c r="D947" s="1">
        <v>208.58000200000001</v>
      </c>
      <c r="E947" s="1">
        <v>216.970001</v>
      </c>
      <c r="F947" s="1">
        <v>216.970001</v>
      </c>
      <c r="G947" s="2">
        <v>7371400</v>
      </c>
      <c r="H947" s="2">
        <f t="shared" si="112"/>
        <v>2014</v>
      </c>
      <c r="I947" s="2">
        <f t="shared" si="113"/>
        <v>4</v>
      </c>
      <c r="J947" s="2">
        <f t="shared" si="114"/>
        <v>1</v>
      </c>
      <c r="K947" s="2">
        <f t="shared" si="115"/>
        <v>3</v>
      </c>
      <c r="L947" s="2">
        <f t="shared" si="116"/>
        <v>5</v>
      </c>
      <c r="M947" s="3">
        <f t="shared" si="117"/>
        <v>208.449997</v>
      </c>
      <c r="N947" s="1">
        <f t="shared" ca="1" si="118"/>
        <v>208.449997</v>
      </c>
      <c r="O947" s="5">
        <f t="shared" si="119"/>
        <v>4.0873130835305416E-2</v>
      </c>
    </row>
    <row r="948" spans="1:15" s="2" customFormat="1" x14ac:dyDescent="0.5">
      <c r="A948" s="6">
        <v>41731</v>
      </c>
      <c r="B948" s="1">
        <v>220</v>
      </c>
      <c r="C948" s="1">
        <v>230.88999899999999</v>
      </c>
      <c r="D948" s="1">
        <v>218.050003</v>
      </c>
      <c r="E948" s="1">
        <v>230.28999300000001</v>
      </c>
      <c r="F948" s="1">
        <v>230.28999300000001</v>
      </c>
      <c r="G948" s="2">
        <v>10782300</v>
      </c>
      <c r="H948" s="2">
        <f t="shared" si="112"/>
        <v>2014</v>
      </c>
      <c r="I948" s="2">
        <f t="shared" si="113"/>
        <v>4</v>
      </c>
      <c r="J948" s="2">
        <f t="shared" si="114"/>
        <v>2</v>
      </c>
      <c r="K948" s="2">
        <f t="shared" si="115"/>
        <v>4</v>
      </c>
      <c r="L948" s="2">
        <f t="shared" si="116"/>
        <v>5</v>
      </c>
      <c r="M948" s="3">
        <f t="shared" si="117"/>
        <v>216.970001</v>
      </c>
      <c r="N948" s="1">
        <f t="shared" ca="1" si="118"/>
        <v>216.970001</v>
      </c>
      <c r="O948" s="5">
        <f t="shared" si="119"/>
        <v>6.1390938556524333E-2</v>
      </c>
    </row>
    <row r="949" spans="1:15" s="2" customFormat="1" x14ac:dyDescent="0.5">
      <c r="A949" s="6">
        <v>41732</v>
      </c>
      <c r="B949" s="1">
        <v>230.300003</v>
      </c>
      <c r="C949" s="1">
        <v>235.729996</v>
      </c>
      <c r="D949" s="1">
        <v>222</v>
      </c>
      <c r="E949" s="1">
        <v>225.39999399999999</v>
      </c>
      <c r="F949" s="1">
        <v>225.39999399999999</v>
      </c>
      <c r="G949" s="2">
        <v>10923700</v>
      </c>
      <c r="H949" s="2">
        <f t="shared" si="112"/>
        <v>2014</v>
      </c>
      <c r="I949" s="2">
        <f t="shared" si="113"/>
        <v>4</v>
      </c>
      <c r="J949" s="2">
        <f t="shared" si="114"/>
        <v>3</v>
      </c>
      <c r="K949" s="2">
        <f t="shared" si="115"/>
        <v>5</v>
      </c>
      <c r="L949" s="2">
        <f t="shared" si="116"/>
        <v>5</v>
      </c>
      <c r="M949" s="3">
        <f t="shared" si="117"/>
        <v>230.28999300000001</v>
      </c>
      <c r="N949" s="1">
        <f t="shared" ca="1" si="118"/>
        <v>230.28999300000001</v>
      </c>
      <c r="O949" s="5">
        <f t="shared" si="119"/>
        <v>-2.1234092442740327E-2</v>
      </c>
    </row>
    <row r="950" spans="1:15" s="2" customFormat="1" x14ac:dyDescent="0.5">
      <c r="A950" s="6">
        <v>41733</v>
      </c>
      <c r="B950" s="1">
        <v>226.009995</v>
      </c>
      <c r="C950" s="1">
        <v>228.270004</v>
      </c>
      <c r="D950" s="1">
        <v>211.25</v>
      </c>
      <c r="E950" s="1">
        <v>212.229996</v>
      </c>
      <c r="F950" s="1">
        <v>212.229996</v>
      </c>
      <c r="G950" s="2">
        <v>11345600</v>
      </c>
      <c r="H950" s="2">
        <f t="shared" si="112"/>
        <v>2014</v>
      </c>
      <c r="I950" s="2">
        <f t="shared" si="113"/>
        <v>4</v>
      </c>
      <c r="J950" s="2">
        <f t="shared" si="114"/>
        <v>4</v>
      </c>
      <c r="K950" s="2">
        <f t="shared" si="115"/>
        <v>6</v>
      </c>
      <c r="L950" s="2">
        <f t="shared" si="116"/>
        <v>5</v>
      </c>
      <c r="M950" s="3">
        <f t="shared" si="117"/>
        <v>225.39999399999999</v>
      </c>
      <c r="N950" s="1">
        <f t="shared" ca="1" si="118"/>
        <v>225.39999399999999</v>
      </c>
      <c r="O950" s="5">
        <f t="shared" si="119"/>
        <v>-5.8429451422256862E-2</v>
      </c>
    </row>
    <row r="951" spans="1:15" s="2" customFormat="1" x14ac:dyDescent="0.5">
      <c r="A951" s="6">
        <v>41736</v>
      </c>
      <c r="B951" s="1">
        <v>205.80999800000001</v>
      </c>
      <c r="C951" s="1">
        <v>216.199997</v>
      </c>
      <c r="D951" s="1">
        <v>203.509995</v>
      </c>
      <c r="E951" s="1">
        <v>207.520004</v>
      </c>
      <c r="F951" s="1">
        <v>207.520004</v>
      </c>
      <c r="G951" s="2">
        <v>9855500</v>
      </c>
      <c r="H951" s="2">
        <f t="shared" si="112"/>
        <v>2014</v>
      </c>
      <c r="I951" s="2">
        <f t="shared" si="113"/>
        <v>4</v>
      </c>
      <c r="J951" s="2">
        <f t="shared" si="114"/>
        <v>7</v>
      </c>
      <c r="K951" s="2">
        <f t="shared" si="115"/>
        <v>2</v>
      </c>
      <c r="L951" s="2">
        <f t="shared" si="116"/>
        <v>5</v>
      </c>
      <c r="M951" s="3">
        <f t="shared" si="117"/>
        <v>212.229996</v>
      </c>
      <c r="N951" s="1">
        <f t="shared" ca="1" si="118"/>
        <v>212.229996</v>
      </c>
      <c r="O951" s="5">
        <f t="shared" si="119"/>
        <v>-2.2192866648312992E-2</v>
      </c>
    </row>
    <row r="952" spans="1:15" s="2" customFormat="1" x14ac:dyDescent="0.5">
      <c r="A952" s="6">
        <v>41737</v>
      </c>
      <c r="B952" s="1">
        <v>210.050003</v>
      </c>
      <c r="C952" s="1">
        <v>216.490005</v>
      </c>
      <c r="D952" s="1">
        <v>206.41999799999999</v>
      </c>
      <c r="E952" s="1">
        <v>215.46000699999999</v>
      </c>
      <c r="F952" s="1">
        <v>215.46000699999999</v>
      </c>
      <c r="G952" s="2">
        <v>6889300</v>
      </c>
      <c r="H952" s="2">
        <f t="shared" si="112"/>
        <v>2014</v>
      </c>
      <c r="I952" s="2">
        <f t="shared" si="113"/>
        <v>4</v>
      </c>
      <c r="J952" s="2">
        <f t="shared" si="114"/>
        <v>8</v>
      </c>
      <c r="K952" s="2">
        <f t="shared" si="115"/>
        <v>3</v>
      </c>
      <c r="L952" s="2">
        <f t="shared" si="116"/>
        <v>5</v>
      </c>
      <c r="M952" s="3">
        <f t="shared" si="117"/>
        <v>207.520004</v>
      </c>
      <c r="N952" s="1">
        <f t="shared" ca="1" si="118"/>
        <v>207.520004</v>
      </c>
      <c r="O952" s="5">
        <f t="shared" si="119"/>
        <v>3.8261386116781315E-2</v>
      </c>
    </row>
    <row r="953" spans="1:15" s="2" customFormat="1" x14ac:dyDescent="0.5">
      <c r="A953" s="6">
        <v>41738</v>
      </c>
      <c r="B953" s="1">
        <v>216.759995</v>
      </c>
      <c r="C953" s="1">
        <v>218.449997</v>
      </c>
      <c r="D953" s="1">
        <v>210.88999899999999</v>
      </c>
      <c r="E953" s="1">
        <v>216.929993</v>
      </c>
      <c r="F953" s="1">
        <v>216.929993</v>
      </c>
      <c r="G953" s="2">
        <v>5157900</v>
      </c>
      <c r="H953" s="2">
        <f t="shared" si="112"/>
        <v>2014</v>
      </c>
      <c r="I953" s="2">
        <f t="shared" si="113"/>
        <v>4</v>
      </c>
      <c r="J953" s="2">
        <f t="shared" si="114"/>
        <v>9</v>
      </c>
      <c r="K953" s="2">
        <f t="shared" si="115"/>
        <v>4</v>
      </c>
      <c r="L953" s="2">
        <f t="shared" si="116"/>
        <v>5</v>
      </c>
      <c r="M953" s="3">
        <f t="shared" si="117"/>
        <v>215.46000699999999</v>
      </c>
      <c r="N953" s="1">
        <f t="shared" ca="1" si="118"/>
        <v>215.46000699999999</v>
      </c>
      <c r="O953" s="5">
        <f t="shared" si="119"/>
        <v>6.8225468868567951E-3</v>
      </c>
    </row>
    <row r="954" spans="1:15" s="2" customFormat="1" x14ac:dyDescent="0.5">
      <c r="A954" s="6">
        <v>41739</v>
      </c>
      <c r="B954" s="1">
        <v>216.820007</v>
      </c>
      <c r="C954" s="1">
        <v>217.5</v>
      </c>
      <c r="D954" s="1">
        <v>203.78999300000001</v>
      </c>
      <c r="E954" s="1">
        <v>204.19000199999999</v>
      </c>
      <c r="F954" s="1">
        <v>204.19000199999999</v>
      </c>
      <c r="G954" s="2">
        <v>7211500</v>
      </c>
      <c r="H954" s="2">
        <f t="shared" si="112"/>
        <v>2014</v>
      </c>
      <c r="I954" s="2">
        <f t="shared" si="113"/>
        <v>4</v>
      </c>
      <c r="J954" s="2">
        <f t="shared" si="114"/>
        <v>10</v>
      </c>
      <c r="K954" s="2">
        <f t="shared" si="115"/>
        <v>5</v>
      </c>
      <c r="L954" s="2">
        <f t="shared" si="116"/>
        <v>5</v>
      </c>
      <c r="M954" s="3">
        <f t="shared" si="117"/>
        <v>216.929993</v>
      </c>
      <c r="N954" s="1">
        <f t="shared" ca="1" si="118"/>
        <v>216.929993</v>
      </c>
      <c r="O954" s="5">
        <f t="shared" si="119"/>
        <v>-5.8728582543217112E-2</v>
      </c>
    </row>
    <row r="955" spans="1:15" s="2" customFormat="1" x14ac:dyDescent="0.5">
      <c r="A955" s="6">
        <v>41740</v>
      </c>
      <c r="B955" s="1">
        <v>200.61000100000001</v>
      </c>
      <c r="C955" s="1">
        <v>207</v>
      </c>
      <c r="D955" s="1">
        <v>198.60000600000001</v>
      </c>
      <c r="E955" s="1">
        <v>203.779999</v>
      </c>
      <c r="F955" s="1">
        <v>203.779999</v>
      </c>
      <c r="G955" s="2">
        <v>9067200</v>
      </c>
      <c r="H955" s="2">
        <f t="shared" si="112"/>
        <v>2014</v>
      </c>
      <c r="I955" s="2">
        <f t="shared" si="113"/>
        <v>4</v>
      </c>
      <c r="J955" s="2">
        <f t="shared" si="114"/>
        <v>11</v>
      </c>
      <c r="K955" s="2">
        <f t="shared" si="115"/>
        <v>6</v>
      </c>
      <c r="L955" s="2">
        <f t="shared" si="116"/>
        <v>5</v>
      </c>
      <c r="M955" s="3">
        <f t="shared" si="117"/>
        <v>204.19000199999999</v>
      </c>
      <c r="N955" s="1">
        <f t="shared" ca="1" si="118"/>
        <v>204.19000199999999</v>
      </c>
      <c r="O955" s="5">
        <f t="shared" si="119"/>
        <v>-2.0079484596899899E-3</v>
      </c>
    </row>
    <row r="956" spans="1:15" s="2" customFormat="1" x14ac:dyDescent="0.5">
      <c r="A956" s="6">
        <v>41743</v>
      </c>
      <c r="B956" s="1">
        <v>207.60000600000001</v>
      </c>
      <c r="C956" s="1">
        <v>208.44000199999999</v>
      </c>
      <c r="D956" s="1">
        <v>194.41000399999999</v>
      </c>
      <c r="E956" s="1">
        <v>198.08999600000001</v>
      </c>
      <c r="F956" s="1">
        <v>198.08999600000001</v>
      </c>
      <c r="G956" s="2">
        <v>7703000</v>
      </c>
      <c r="H956" s="2">
        <f t="shared" si="112"/>
        <v>2014</v>
      </c>
      <c r="I956" s="2">
        <f t="shared" si="113"/>
        <v>4</v>
      </c>
      <c r="J956" s="2">
        <f t="shared" si="114"/>
        <v>14</v>
      </c>
      <c r="K956" s="2">
        <f t="shared" si="115"/>
        <v>2</v>
      </c>
      <c r="L956" s="2">
        <f t="shared" si="116"/>
        <v>5</v>
      </c>
      <c r="M956" s="3">
        <f t="shared" si="117"/>
        <v>203.779999</v>
      </c>
      <c r="N956" s="1">
        <f t="shared" ca="1" si="118"/>
        <v>203.779999</v>
      </c>
      <c r="O956" s="5">
        <f t="shared" si="119"/>
        <v>-2.7922283972530493E-2</v>
      </c>
    </row>
    <row r="957" spans="1:15" s="2" customFormat="1" x14ac:dyDescent="0.5">
      <c r="A957" s="6">
        <v>41744</v>
      </c>
      <c r="B957" s="1">
        <v>199.08999600000001</v>
      </c>
      <c r="C957" s="1">
        <v>199.28999300000001</v>
      </c>
      <c r="D957" s="1">
        <v>184.320007</v>
      </c>
      <c r="E957" s="1">
        <v>193.91000399999999</v>
      </c>
      <c r="F957" s="1">
        <v>193.91000399999999</v>
      </c>
      <c r="G957" s="2">
        <v>13659300</v>
      </c>
      <c r="H957" s="2">
        <f t="shared" si="112"/>
        <v>2014</v>
      </c>
      <c r="I957" s="2">
        <f t="shared" si="113"/>
        <v>4</v>
      </c>
      <c r="J957" s="2">
        <f t="shared" si="114"/>
        <v>15</v>
      </c>
      <c r="K957" s="2">
        <f t="shared" si="115"/>
        <v>3</v>
      </c>
      <c r="L957" s="2">
        <f t="shared" si="116"/>
        <v>5</v>
      </c>
      <c r="M957" s="3">
        <f t="shared" si="117"/>
        <v>198.08999600000001</v>
      </c>
      <c r="N957" s="1">
        <f t="shared" ca="1" si="118"/>
        <v>198.08999600000001</v>
      </c>
      <c r="O957" s="5">
        <f t="shared" si="119"/>
        <v>-2.1101479551748903E-2</v>
      </c>
    </row>
    <row r="958" spans="1:15" s="2" customFormat="1" x14ac:dyDescent="0.5">
      <c r="A958" s="6">
        <v>41745</v>
      </c>
      <c r="B958" s="1">
        <v>197</v>
      </c>
      <c r="C958" s="1">
        <v>199.990005</v>
      </c>
      <c r="D958" s="1">
        <v>190.820007</v>
      </c>
      <c r="E958" s="1">
        <v>199.11000100000001</v>
      </c>
      <c r="F958" s="1">
        <v>199.11000100000001</v>
      </c>
      <c r="G958" s="2">
        <v>7202200</v>
      </c>
      <c r="H958" s="2">
        <f t="shared" si="112"/>
        <v>2014</v>
      </c>
      <c r="I958" s="2">
        <f t="shared" si="113"/>
        <v>4</v>
      </c>
      <c r="J958" s="2">
        <f t="shared" si="114"/>
        <v>16</v>
      </c>
      <c r="K958" s="2">
        <f t="shared" si="115"/>
        <v>4</v>
      </c>
      <c r="L958" s="2">
        <f t="shared" si="116"/>
        <v>5</v>
      </c>
      <c r="M958" s="3">
        <f t="shared" si="117"/>
        <v>193.91000399999999</v>
      </c>
      <c r="N958" s="1">
        <f t="shared" ca="1" si="118"/>
        <v>193.91000399999999</v>
      </c>
      <c r="O958" s="5">
        <f t="shared" si="119"/>
        <v>2.6816548361269898E-2</v>
      </c>
    </row>
    <row r="959" spans="1:15" s="2" customFormat="1" x14ac:dyDescent="0.5">
      <c r="A959" s="6">
        <v>41746</v>
      </c>
      <c r="B959" s="1">
        <v>199.61000100000001</v>
      </c>
      <c r="C959" s="1">
        <v>202.28999300000001</v>
      </c>
      <c r="D959" s="1">
        <v>194.08000200000001</v>
      </c>
      <c r="E959" s="1">
        <v>198.11999499999999</v>
      </c>
      <c r="F959" s="1">
        <v>198.11999499999999</v>
      </c>
      <c r="G959" s="2">
        <v>5926800</v>
      </c>
      <c r="H959" s="2">
        <f t="shared" si="112"/>
        <v>2014</v>
      </c>
      <c r="I959" s="2">
        <f t="shared" si="113"/>
        <v>4</v>
      </c>
      <c r="J959" s="2">
        <f t="shared" si="114"/>
        <v>17</v>
      </c>
      <c r="K959" s="2">
        <f t="shared" si="115"/>
        <v>5</v>
      </c>
      <c r="L959" s="2">
        <f t="shared" si="116"/>
        <v>5</v>
      </c>
      <c r="M959" s="3">
        <f t="shared" si="117"/>
        <v>199.11000100000001</v>
      </c>
      <c r="N959" s="1">
        <f t="shared" ca="1" si="118"/>
        <v>199.11000100000001</v>
      </c>
      <c r="O959" s="5">
        <f t="shared" si="119"/>
        <v>-4.9721560696492917E-3</v>
      </c>
    </row>
    <row r="960" spans="1:15" s="2" customFormat="1" x14ac:dyDescent="0.5">
      <c r="A960" s="6">
        <v>41750</v>
      </c>
      <c r="B960" s="1">
        <v>197.08000200000001</v>
      </c>
      <c r="C960" s="1">
        <v>206.199997</v>
      </c>
      <c r="D960" s="1">
        <v>194</v>
      </c>
      <c r="E960" s="1">
        <v>204.38000500000001</v>
      </c>
      <c r="F960" s="1">
        <v>204.38000500000001</v>
      </c>
      <c r="G960" s="2">
        <v>5258200</v>
      </c>
      <c r="H960" s="2">
        <f t="shared" si="112"/>
        <v>2014</v>
      </c>
      <c r="I960" s="2">
        <f t="shared" si="113"/>
        <v>4</v>
      </c>
      <c r="J960" s="2">
        <f t="shared" si="114"/>
        <v>21</v>
      </c>
      <c r="K960" s="2">
        <f t="shared" si="115"/>
        <v>2</v>
      </c>
      <c r="L960" s="2">
        <f t="shared" si="116"/>
        <v>5</v>
      </c>
      <c r="M960" s="3">
        <f t="shared" si="117"/>
        <v>198.11999499999999</v>
      </c>
      <c r="N960" s="1">
        <f t="shared" ca="1" si="118"/>
        <v>198.11999499999999</v>
      </c>
      <c r="O960" s="5">
        <f t="shared" si="119"/>
        <v>3.1597063183854912E-2</v>
      </c>
    </row>
    <row r="961" spans="1:15" s="2" customFormat="1" x14ac:dyDescent="0.5">
      <c r="A961" s="6">
        <v>41751</v>
      </c>
      <c r="B961" s="1">
        <v>206.36000100000001</v>
      </c>
      <c r="C961" s="1">
        <v>219.33000200000001</v>
      </c>
      <c r="D961" s="1">
        <v>205.009995</v>
      </c>
      <c r="E961" s="1">
        <v>218.63999899999999</v>
      </c>
      <c r="F961" s="1">
        <v>218.63999899999999</v>
      </c>
      <c r="G961" s="2">
        <v>9804700</v>
      </c>
      <c r="H961" s="2">
        <f t="shared" si="112"/>
        <v>2014</v>
      </c>
      <c r="I961" s="2">
        <f t="shared" si="113"/>
        <v>4</v>
      </c>
      <c r="J961" s="2">
        <f t="shared" si="114"/>
        <v>22</v>
      </c>
      <c r="K961" s="2">
        <f t="shared" si="115"/>
        <v>3</v>
      </c>
      <c r="L961" s="2">
        <f t="shared" si="116"/>
        <v>5</v>
      </c>
      <c r="M961" s="3">
        <f t="shared" si="117"/>
        <v>204.38000500000001</v>
      </c>
      <c r="N961" s="1">
        <f t="shared" ca="1" si="118"/>
        <v>204.38000500000001</v>
      </c>
      <c r="O961" s="5">
        <f t="shared" si="119"/>
        <v>6.9771962281730993E-2</v>
      </c>
    </row>
    <row r="962" spans="1:15" s="2" customFormat="1" x14ac:dyDescent="0.5">
      <c r="A962" s="6">
        <v>41752</v>
      </c>
      <c r="B962" s="1">
        <v>216.33000200000001</v>
      </c>
      <c r="C962" s="1">
        <v>216.740005</v>
      </c>
      <c r="D962" s="1">
        <v>207</v>
      </c>
      <c r="E962" s="1">
        <v>207.990005</v>
      </c>
      <c r="F962" s="1">
        <v>207.990005</v>
      </c>
      <c r="G962" s="2">
        <v>7295600</v>
      </c>
      <c r="H962" s="2">
        <f t="shared" ref="H962:H1025" si="120">YEAR(A962)</f>
        <v>2014</v>
      </c>
      <c r="I962" s="2">
        <f t="shared" ref="I962:I1025" si="121">MONTH(A962)</f>
        <v>4</v>
      </c>
      <c r="J962" s="2">
        <f t="shared" ref="J962:J1025" si="122">DAY(A962)</f>
        <v>23</v>
      </c>
      <c r="K962" s="2">
        <f t="shared" ref="K962:K1025" si="123">WEEKDAY(A962)</f>
        <v>4</v>
      </c>
      <c r="L962" s="2">
        <f t="shared" si="116"/>
        <v>5</v>
      </c>
      <c r="M962" s="3">
        <f t="shared" si="117"/>
        <v>218.63999899999999</v>
      </c>
      <c r="N962" s="1">
        <f t="shared" ca="1" si="118"/>
        <v>218.63999899999999</v>
      </c>
      <c r="O962" s="5">
        <f t="shared" si="119"/>
        <v>-4.8710181342435876E-2</v>
      </c>
    </row>
    <row r="963" spans="1:15" s="2" customFormat="1" x14ac:dyDescent="0.5">
      <c r="A963" s="6">
        <v>41753</v>
      </c>
      <c r="B963" s="1">
        <v>210.80999800000001</v>
      </c>
      <c r="C963" s="1">
        <v>212.800003</v>
      </c>
      <c r="D963" s="1">
        <v>203.199997</v>
      </c>
      <c r="E963" s="1">
        <v>207.86000100000001</v>
      </c>
      <c r="F963" s="1">
        <v>207.86000100000001</v>
      </c>
      <c r="G963" s="2">
        <v>5495200</v>
      </c>
      <c r="H963" s="2">
        <f t="shared" si="120"/>
        <v>2014</v>
      </c>
      <c r="I963" s="2">
        <f t="shared" si="121"/>
        <v>4</v>
      </c>
      <c r="J963" s="2">
        <f t="shared" si="122"/>
        <v>24</v>
      </c>
      <c r="K963" s="2">
        <f t="shared" si="123"/>
        <v>5</v>
      </c>
      <c r="L963" s="2">
        <f t="shared" ref="L963:L1026" si="124">I963+1</f>
        <v>5</v>
      </c>
      <c r="M963" s="3">
        <f t="shared" ref="M963:M1026" si="125">F962</f>
        <v>207.990005</v>
      </c>
      <c r="N963" s="1">
        <f t="shared" ref="N963:N1026" ca="1" si="126">OFFSET(F963, -1, 0)</f>
        <v>207.990005</v>
      </c>
      <c r="O963" s="5">
        <f t="shared" ref="O963:O1026" si="127">(F963/M963)-1</f>
        <v>-6.2504926618944801E-4</v>
      </c>
    </row>
    <row r="964" spans="1:15" s="2" customFormat="1" x14ac:dyDescent="0.5">
      <c r="A964" s="6">
        <v>41754</v>
      </c>
      <c r="B964" s="1">
        <v>202</v>
      </c>
      <c r="C964" s="1">
        <v>206.699997</v>
      </c>
      <c r="D964" s="1">
        <v>197.64999399999999</v>
      </c>
      <c r="E964" s="1">
        <v>199.85000600000001</v>
      </c>
      <c r="F964" s="1">
        <v>199.85000600000001</v>
      </c>
      <c r="G964" s="2">
        <v>6996700</v>
      </c>
      <c r="H964" s="2">
        <f t="shared" si="120"/>
        <v>2014</v>
      </c>
      <c r="I964" s="2">
        <f t="shared" si="121"/>
        <v>4</v>
      </c>
      <c r="J964" s="2">
        <f t="shared" si="122"/>
        <v>25</v>
      </c>
      <c r="K964" s="2">
        <f t="shared" si="123"/>
        <v>6</v>
      </c>
      <c r="L964" s="2">
        <f t="shared" si="124"/>
        <v>5</v>
      </c>
      <c r="M964" s="3">
        <f t="shared" si="125"/>
        <v>207.86000100000001</v>
      </c>
      <c r="N964" s="1">
        <f t="shared" ca="1" si="126"/>
        <v>207.86000100000001</v>
      </c>
      <c r="O964" s="5">
        <f t="shared" si="127"/>
        <v>-3.8535528535862951E-2</v>
      </c>
    </row>
    <row r="965" spans="1:15" s="2" customFormat="1" x14ac:dyDescent="0.5">
      <c r="A965" s="6">
        <v>41757</v>
      </c>
      <c r="B965" s="1">
        <v>200</v>
      </c>
      <c r="C965" s="1">
        <v>203.78999300000001</v>
      </c>
      <c r="D965" s="1">
        <v>190.5</v>
      </c>
      <c r="E965" s="1">
        <v>198.509995</v>
      </c>
      <c r="F965" s="1">
        <v>198.509995</v>
      </c>
      <c r="G965" s="2">
        <v>7042000</v>
      </c>
      <c r="H965" s="2">
        <f t="shared" si="120"/>
        <v>2014</v>
      </c>
      <c r="I965" s="2">
        <f t="shared" si="121"/>
        <v>4</v>
      </c>
      <c r="J965" s="2">
        <f t="shared" si="122"/>
        <v>28</v>
      </c>
      <c r="K965" s="2">
        <f t="shared" si="123"/>
        <v>2</v>
      </c>
      <c r="L965" s="2">
        <f t="shared" si="124"/>
        <v>5</v>
      </c>
      <c r="M965" s="3">
        <f t="shared" si="125"/>
        <v>199.85000600000001</v>
      </c>
      <c r="N965" s="1">
        <f t="shared" ca="1" si="126"/>
        <v>199.85000600000001</v>
      </c>
      <c r="O965" s="5">
        <f t="shared" si="127"/>
        <v>-6.7050836115561951E-3</v>
      </c>
    </row>
    <row r="966" spans="1:15" s="2" customFormat="1" x14ac:dyDescent="0.5">
      <c r="A966" s="6">
        <v>41758</v>
      </c>
      <c r="B966" s="1">
        <v>198.21000699999999</v>
      </c>
      <c r="C966" s="1">
        <v>207.14999399999999</v>
      </c>
      <c r="D966" s="1">
        <v>195.529999</v>
      </c>
      <c r="E966" s="1">
        <v>206.91999799999999</v>
      </c>
      <c r="F966" s="1">
        <v>206.91999799999999</v>
      </c>
      <c r="G966" s="2">
        <v>5779100</v>
      </c>
      <c r="H966" s="2">
        <f t="shared" si="120"/>
        <v>2014</v>
      </c>
      <c r="I966" s="2">
        <f t="shared" si="121"/>
        <v>4</v>
      </c>
      <c r="J966" s="2">
        <f t="shared" si="122"/>
        <v>29</v>
      </c>
      <c r="K966" s="2">
        <f t="shared" si="123"/>
        <v>3</v>
      </c>
      <c r="L966" s="2">
        <f t="shared" si="124"/>
        <v>5</v>
      </c>
      <c r="M966" s="3">
        <f t="shared" si="125"/>
        <v>198.509995</v>
      </c>
      <c r="N966" s="1">
        <f t="shared" ca="1" si="126"/>
        <v>198.509995</v>
      </c>
      <c r="O966" s="5">
        <f t="shared" si="127"/>
        <v>4.2365640077719924E-2</v>
      </c>
    </row>
    <row r="967" spans="1:15" s="2" customFormat="1" x14ac:dyDescent="0.5">
      <c r="A967" s="6">
        <v>41759</v>
      </c>
      <c r="B967" s="1">
        <v>203.60000600000001</v>
      </c>
      <c r="C967" s="1">
        <v>208.16000399999999</v>
      </c>
      <c r="D967" s="1">
        <v>201.279999</v>
      </c>
      <c r="E967" s="1">
        <v>207.88999899999999</v>
      </c>
      <c r="F967" s="1">
        <v>207.88999899999999</v>
      </c>
      <c r="G967" s="2">
        <v>4440600</v>
      </c>
      <c r="H967" s="2">
        <f t="shared" si="120"/>
        <v>2014</v>
      </c>
      <c r="I967" s="2">
        <f t="shared" si="121"/>
        <v>4</v>
      </c>
      <c r="J967" s="2">
        <f t="shared" si="122"/>
        <v>30</v>
      </c>
      <c r="K967" s="2">
        <f t="shared" si="123"/>
        <v>4</v>
      </c>
      <c r="L967" s="2">
        <f t="shared" si="124"/>
        <v>5</v>
      </c>
      <c r="M967" s="3">
        <f t="shared" si="125"/>
        <v>206.91999799999999</v>
      </c>
      <c r="N967" s="1">
        <f t="shared" ca="1" si="126"/>
        <v>206.91999799999999</v>
      </c>
      <c r="O967" s="5">
        <f t="shared" si="127"/>
        <v>4.6878069271969469E-3</v>
      </c>
    </row>
    <row r="968" spans="1:15" s="2" customFormat="1" x14ac:dyDescent="0.5">
      <c r="A968" s="6">
        <v>41760</v>
      </c>
      <c r="B968" s="1">
        <v>207.08000200000001</v>
      </c>
      <c r="C968" s="1">
        <v>214.020004</v>
      </c>
      <c r="D968" s="1">
        <v>205.69000199999999</v>
      </c>
      <c r="E968" s="1">
        <v>207.729996</v>
      </c>
      <c r="F968" s="1">
        <v>207.729996</v>
      </c>
      <c r="G968" s="2">
        <v>5439900</v>
      </c>
      <c r="H968" s="2">
        <f t="shared" si="120"/>
        <v>2014</v>
      </c>
      <c r="I968" s="2">
        <f t="shared" si="121"/>
        <v>5</v>
      </c>
      <c r="J968" s="2">
        <f t="shared" si="122"/>
        <v>1</v>
      </c>
      <c r="K968" s="2">
        <f t="shared" si="123"/>
        <v>5</v>
      </c>
      <c r="L968" s="2">
        <f t="shared" si="124"/>
        <v>6</v>
      </c>
      <c r="M968" s="3">
        <f t="shared" si="125"/>
        <v>207.88999899999999</v>
      </c>
      <c r="N968" s="1">
        <f t="shared" ca="1" si="126"/>
        <v>207.88999899999999</v>
      </c>
      <c r="O968" s="5">
        <f t="shared" si="127"/>
        <v>-7.6965222362612717E-4</v>
      </c>
    </row>
    <row r="969" spans="1:15" s="2" customFormat="1" x14ac:dyDescent="0.5">
      <c r="A969" s="6">
        <v>41761</v>
      </c>
      <c r="B969" s="1">
        <v>208.60000600000001</v>
      </c>
      <c r="C969" s="1">
        <v>211.36000100000001</v>
      </c>
      <c r="D969" s="1">
        <v>206.520004</v>
      </c>
      <c r="E969" s="1">
        <v>210.91000399999999</v>
      </c>
      <c r="F969" s="1">
        <v>210.91000399999999</v>
      </c>
      <c r="G969" s="2">
        <v>4086800</v>
      </c>
      <c r="H969" s="2">
        <f t="shared" si="120"/>
        <v>2014</v>
      </c>
      <c r="I969" s="2">
        <f t="shared" si="121"/>
        <v>5</v>
      </c>
      <c r="J969" s="2">
        <f t="shared" si="122"/>
        <v>2</v>
      </c>
      <c r="K969" s="2">
        <f t="shared" si="123"/>
        <v>6</v>
      </c>
      <c r="L969" s="2">
        <f t="shared" si="124"/>
        <v>6</v>
      </c>
      <c r="M969" s="3">
        <f t="shared" si="125"/>
        <v>207.729996</v>
      </c>
      <c r="N969" s="1">
        <f t="shared" ca="1" si="126"/>
        <v>207.729996</v>
      </c>
      <c r="O969" s="5">
        <f t="shared" si="127"/>
        <v>1.5308371738475213E-2</v>
      </c>
    </row>
    <row r="970" spans="1:15" s="2" customFormat="1" x14ac:dyDescent="0.5">
      <c r="A970" s="6">
        <v>41764</v>
      </c>
      <c r="B970" s="1">
        <v>209.479996</v>
      </c>
      <c r="C970" s="1">
        <v>217.69000199999999</v>
      </c>
      <c r="D970" s="1">
        <v>208.520004</v>
      </c>
      <c r="E970" s="1">
        <v>216.61000100000001</v>
      </c>
      <c r="F970" s="1">
        <v>216.61000100000001</v>
      </c>
      <c r="G970" s="2">
        <v>5147000</v>
      </c>
      <c r="H970" s="2">
        <f t="shared" si="120"/>
        <v>2014</v>
      </c>
      <c r="I970" s="2">
        <f t="shared" si="121"/>
        <v>5</v>
      </c>
      <c r="J970" s="2">
        <f t="shared" si="122"/>
        <v>5</v>
      </c>
      <c r="K970" s="2">
        <f t="shared" si="123"/>
        <v>2</v>
      </c>
      <c r="L970" s="2">
        <f t="shared" si="124"/>
        <v>6</v>
      </c>
      <c r="M970" s="3">
        <f t="shared" si="125"/>
        <v>210.91000399999999</v>
      </c>
      <c r="N970" s="1">
        <f t="shared" ca="1" si="126"/>
        <v>210.91000399999999</v>
      </c>
      <c r="O970" s="5">
        <f t="shared" si="127"/>
        <v>2.7025730842051621E-2</v>
      </c>
    </row>
    <row r="971" spans="1:15" s="2" customFormat="1" x14ac:dyDescent="0.5">
      <c r="A971" s="6">
        <v>41765</v>
      </c>
      <c r="B971" s="1">
        <v>216.60000600000001</v>
      </c>
      <c r="C971" s="1">
        <v>218.66000399999999</v>
      </c>
      <c r="D971" s="1">
        <v>206.85000600000001</v>
      </c>
      <c r="E971" s="1">
        <v>207.279999</v>
      </c>
      <c r="F971" s="1">
        <v>207.279999</v>
      </c>
      <c r="G971" s="2">
        <v>5636700</v>
      </c>
      <c r="H971" s="2">
        <f t="shared" si="120"/>
        <v>2014</v>
      </c>
      <c r="I971" s="2">
        <f t="shared" si="121"/>
        <v>5</v>
      </c>
      <c r="J971" s="2">
        <f t="shared" si="122"/>
        <v>6</v>
      </c>
      <c r="K971" s="2">
        <f t="shared" si="123"/>
        <v>3</v>
      </c>
      <c r="L971" s="2">
        <f t="shared" si="124"/>
        <v>6</v>
      </c>
      <c r="M971" s="3">
        <f t="shared" si="125"/>
        <v>216.61000100000001</v>
      </c>
      <c r="N971" s="1">
        <f t="shared" ca="1" si="126"/>
        <v>216.61000100000001</v>
      </c>
      <c r="O971" s="5">
        <f t="shared" si="127"/>
        <v>-4.3072812690675422E-2</v>
      </c>
    </row>
    <row r="972" spans="1:15" s="2" customFormat="1" x14ac:dyDescent="0.5">
      <c r="A972" s="6">
        <v>41766</v>
      </c>
      <c r="B972" s="1">
        <v>209.63999899999999</v>
      </c>
      <c r="C972" s="1">
        <v>210.199997</v>
      </c>
      <c r="D972" s="1">
        <v>197.25</v>
      </c>
      <c r="E972" s="1">
        <v>201.35000600000001</v>
      </c>
      <c r="F972" s="1">
        <v>201.35000600000001</v>
      </c>
      <c r="G972" s="2">
        <v>10179300</v>
      </c>
      <c r="H972" s="2">
        <f t="shared" si="120"/>
        <v>2014</v>
      </c>
      <c r="I972" s="2">
        <f t="shared" si="121"/>
        <v>5</v>
      </c>
      <c r="J972" s="2">
        <f t="shared" si="122"/>
        <v>7</v>
      </c>
      <c r="K972" s="2">
        <f t="shared" si="123"/>
        <v>4</v>
      </c>
      <c r="L972" s="2">
        <f t="shared" si="124"/>
        <v>6</v>
      </c>
      <c r="M972" s="3">
        <f t="shared" si="125"/>
        <v>207.279999</v>
      </c>
      <c r="N972" s="1">
        <f t="shared" ca="1" si="126"/>
        <v>207.279999</v>
      </c>
      <c r="O972" s="5">
        <f t="shared" si="127"/>
        <v>-2.8608611677965134E-2</v>
      </c>
    </row>
    <row r="973" spans="1:15" s="2" customFormat="1" x14ac:dyDescent="0.5">
      <c r="A973" s="6">
        <v>41767</v>
      </c>
      <c r="B973" s="1">
        <v>182</v>
      </c>
      <c r="C973" s="1">
        <v>194.39999399999999</v>
      </c>
      <c r="D973" s="1">
        <v>178</v>
      </c>
      <c r="E973" s="1">
        <v>178.58999600000001</v>
      </c>
      <c r="F973" s="1">
        <v>178.58999600000001</v>
      </c>
      <c r="G973" s="2">
        <v>20056600</v>
      </c>
      <c r="H973" s="2">
        <f t="shared" si="120"/>
        <v>2014</v>
      </c>
      <c r="I973" s="2">
        <f t="shared" si="121"/>
        <v>5</v>
      </c>
      <c r="J973" s="2">
        <f t="shared" si="122"/>
        <v>8</v>
      </c>
      <c r="K973" s="2">
        <f t="shared" si="123"/>
        <v>5</v>
      </c>
      <c r="L973" s="2">
        <f t="shared" si="124"/>
        <v>6</v>
      </c>
      <c r="M973" s="3">
        <f t="shared" si="125"/>
        <v>201.35000600000001</v>
      </c>
      <c r="N973" s="1">
        <f t="shared" ca="1" si="126"/>
        <v>201.35000600000001</v>
      </c>
      <c r="O973" s="5">
        <f t="shared" si="127"/>
        <v>-0.11303704654471181</v>
      </c>
    </row>
    <row r="974" spans="1:15" s="2" customFormat="1" x14ac:dyDescent="0.5">
      <c r="A974" s="6">
        <v>41768</v>
      </c>
      <c r="B974" s="1">
        <v>179.86000100000001</v>
      </c>
      <c r="C974" s="1">
        <v>183.39999399999999</v>
      </c>
      <c r="D974" s="1">
        <v>177.220001</v>
      </c>
      <c r="E974" s="1">
        <v>182.259995</v>
      </c>
      <c r="F974" s="1">
        <v>182.259995</v>
      </c>
      <c r="G974" s="2">
        <v>8495200</v>
      </c>
      <c r="H974" s="2">
        <f t="shared" si="120"/>
        <v>2014</v>
      </c>
      <c r="I974" s="2">
        <f t="shared" si="121"/>
        <v>5</v>
      </c>
      <c r="J974" s="2">
        <f t="shared" si="122"/>
        <v>9</v>
      </c>
      <c r="K974" s="2">
        <f t="shared" si="123"/>
        <v>6</v>
      </c>
      <c r="L974" s="2">
        <f t="shared" si="124"/>
        <v>6</v>
      </c>
      <c r="M974" s="3">
        <f t="shared" si="125"/>
        <v>178.58999600000001</v>
      </c>
      <c r="N974" s="1">
        <f t="shared" ca="1" si="126"/>
        <v>178.58999600000001</v>
      </c>
      <c r="O974" s="5">
        <f t="shared" si="127"/>
        <v>2.0549857675118632E-2</v>
      </c>
    </row>
    <row r="975" spans="1:15" s="2" customFormat="1" x14ac:dyDescent="0.5">
      <c r="A975" s="6">
        <v>41771</v>
      </c>
      <c r="B975" s="1">
        <v>183.86999499999999</v>
      </c>
      <c r="C975" s="1">
        <v>187.19000199999999</v>
      </c>
      <c r="D975" s="1">
        <v>179.88000500000001</v>
      </c>
      <c r="E975" s="1">
        <v>184.66999799999999</v>
      </c>
      <c r="F975" s="1">
        <v>184.66999799999999</v>
      </c>
      <c r="G975" s="2">
        <v>7002300</v>
      </c>
      <c r="H975" s="2">
        <f t="shared" si="120"/>
        <v>2014</v>
      </c>
      <c r="I975" s="2">
        <f t="shared" si="121"/>
        <v>5</v>
      </c>
      <c r="J975" s="2">
        <f t="shared" si="122"/>
        <v>12</v>
      </c>
      <c r="K975" s="2">
        <f t="shared" si="123"/>
        <v>2</v>
      </c>
      <c r="L975" s="2">
        <f t="shared" si="124"/>
        <v>6</v>
      </c>
      <c r="M975" s="3">
        <f t="shared" si="125"/>
        <v>182.259995</v>
      </c>
      <c r="N975" s="1">
        <f t="shared" ca="1" si="126"/>
        <v>182.259995</v>
      </c>
      <c r="O975" s="5">
        <f t="shared" si="127"/>
        <v>1.3222885252465844E-2</v>
      </c>
    </row>
    <row r="976" spans="1:15" s="2" customFormat="1" x14ac:dyDescent="0.5">
      <c r="A976" s="6">
        <v>41772</v>
      </c>
      <c r="B976" s="1">
        <v>183.759995</v>
      </c>
      <c r="C976" s="1">
        <v>191.33999600000001</v>
      </c>
      <c r="D976" s="1">
        <v>183</v>
      </c>
      <c r="E976" s="1">
        <v>190.16000399999999</v>
      </c>
      <c r="F976" s="1">
        <v>190.16000399999999</v>
      </c>
      <c r="G976" s="2">
        <v>7097200</v>
      </c>
      <c r="H976" s="2">
        <f t="shared" si="120"/>
        <v>2014</v>
      </c>
      <c r="I976" s="2">
        <f t="shared" si="121"/>
        <v>5</v>
      </c>
      <c r="J976" s="2">
        <f t="shared" si="122"/>
        <v>13</v>
      </c>
      <c r="K976" s="2">
        <f t="shared" si="123"/>
        <v>3</v>
      </c>
      <c r="L976" s="2">
        <f t="shared" si="124"/>
        <v>6</v>
      </c>
      <c r="M976" s="3">
        <f t="shared" si="125"/>
        <v>184.66999799999999</v>
      </c>
      <c r="N976" s="1">
        <f t="shared" ca="1" si="126"/>
        <v>184.66999799999999</v>
      </c>
      <c r="O976" s="5">
        <f t="shared" si="127"/>
        <v>2.9728738070382121E-2</v>
      </c>
    </row>
    <row r="977" spans="1:15" s="2" customFormat="1" x14ac:dyDescent="0.5">
      <c r="A977" s="6">
        <v>41773</v>
      </c>
      <c r="B977" s="1">
        <v>188.949997</v>
      </c>
      <c r="C977" s="1">
        <v>193.479996</v>
      </c>
      <c r="D977" s="1">
        <v>187.10000600000001</v>
      </c>
      <c r="E977" s="1">
        <v>190.61999499999999</v>
      </c>
      <c r="F977" s="1">
        <v>190.61999499999999</v>
      </c>
      <c r="G977" s="2">
        <v>5406700</v>
      </c>
      <c r="H977" s="2">
        <f t="shared" si="120"/>
        <v>2014</v>
      </c>
      <c r="I977" s="2">
        <f t="shared" si="121"/>
        <v>5</v>
      </c>
      <c r="J977" s="2">
        <f t="shared" si="122"/>
        <v>14</v>
      </c>
      <c r="K977" s="2">
        <f t="shared" si="123"/>
        <v>4</v>
      </c>
      <c r="L977" s="2">
        <f t="shared" si="124"/>
        <v>6</v>
      </c>
      <c r="M977" s="3">
        <f t="shared" si="125"/>
        <v>190.16000399999999</v>
      </c>
      <c r="N977" s="1">
        <f t="shared" ca="1" si="126"/>
        <v>190.16000399999999</v>
      </c>
      <c r="O977" s="5">
        <f t="shared" si="127"/>
        <v>2.4189681863910906E-3</v>
      </c>
    </row>
    <row r="978" spans="1:15" s="2" customFormat="1" x14ac:dyDescent="0.5">
      <c r="A978" s="6">
        <v>41774</v>
      </c>
      <c r="B978" s="1">
        <v>189.979996</v>
      </c>
      <c r="C978" s="1">
        <v>192.66000399999999</v>
      </c>
      <c r="D978" s="1">
        <v>185.300003</v>
      </c>
      <c r="E978" s="1">
        <v>188.58999600000001</v>
      </c>
      <c r="F978" s="1">
        <v>188.58999600000001</v>
      </c>
      <c r="G978" s="2">
        <v>6040400</v>
      </c>
      <c r="H978" s="2">
        <f t="shared" si="120"/>
        <v>2014</v>
      </c>
      <c r="I978" s="2">
        <f t="shared" si="121"/>
        <v>5</v>
      </c>
      <c r="J978" s="2">
        <f t="shared" si="122"/>
        <v>15</v>
      </c>
      <c r="K978" s="2">
        <f t="shared" si="123"/>
        <v>5</v>
      </c>
      <c r="L978" s="2">
        <f t="shared" si="124"/>
        <v>6</v>
      </c>
      <c r="M978" s="3">
        <f t="shared" si="125"/>
        <v>190.61999499999999</v>
      </c>
      <c r="N978" s="1">
        <f t="shared" ca="1" si="126"/>
        <v>190.61999499999999</v>
      </c>
      <c r="O978" s="5">
        <f t="shared" si="127"/>
        <v>-1.0649454691256111E-2</v>
      </c>
    </row>
    <row r="979" spans="1:15" s="2" customFormat="1" x14ac:dyDescent="0.5">
      <c r="A979" s="6">
        <v>41775</v>
      </c>
      <c r="B979" s="1">
        <v>188.949997</v>
      </c>
      <c r="C979" s="1">
        <v>192.03999300000001</v>
      </c>
      <c r="D979" s="1">
        <v>187.720001</v>
      </c>
      <c r="E979" s="1">
        <v>191.55999800000001</v>
      </c>
      <c r="F979" s="1">
        <v>191.55999800000001</v>
      </c>
      <c r="G979" s="2">
        <v>4487700</v>
      </c>
      <c r="H979" s="2">
        <f t="shared" si="120"/>
        <v>2014</v>
      </c>
      <c r="I979" s="2">
        <f t="shared" si="121"/>
        <v>5</v>
      </c>
      <c r="J979" s="2">
        <f t="shared" si="122"/>
        <v>16</v>
      </c>
      <c r="K979" s="2">
        <f t="shared" si="123"/>
        <v>6</v>
      </c>
      <c r="L979" s="2">
        <f t="shared" si="124"/>
        <v>6</v>
      </c>
      <c r="M979" s="3">
        <f t="shared" si="125"/>
        <v>188.58999600000001</v>
      </c>
      <c r="N979" s="1">
        <f t="shared" ca="1" si="126"/>
        <v>188.58999600000001</v>
      </c>
      <c r="O979" s="5">
        <f t="shared" si="127"/>
        <v>1.5748459955426286E-2</v>
      </c>
    </row>
    <row r="980" spans="1:15" s="2" customFormat="1" x14ac:dyDescent="0.5">
      <c r="A980" s="6">
        <v>41778</v>
      </c>
      <c r="B980" s="1">
        <v>190.720001</v>
      </c>
      <c r="C980" s="1">
        <v>196.88999899999999</v>
      </c>
      <c r="D980" s="1">
        <v>190</v>
      </c>
      <c r="E980" s="1">
        <v>196.08999600000001</v>
      </c>
      <c r="F980" s="1">
        <v>196.08999600000001</v>
      </c>
      <c r="G980" s="2">
        <v>4571700</v>
      </c>
      <c r="H980" s="2">
        <f t="shared" si="120"/>
        <v>2014</v>
      </c>
      <c r="I980" s="2">
        <f t="shared" si="121"/>
        <v>5</v>
      </c>
      <c r="J980" s="2">
        <f t="shared" si="122"/>
        <v>19</v>
      </c>
      <c r="K980" s="2">
        <f t="shared" si="123"/>
        <v>2</v>
      </c>
      <c r="L980" s="2">
        <f t="shared" si="124"/>
        <v>6</v>
      </c>
      <c r="M980" s="3">
        <f t="shared" si="125"/>
        <v>191.55999800000001</v>
      </c>
      <c r="N980" s="1">
        <f t="shared" ca="1" si="126"/>
        <v>191.55999800000001</v>
      </c>
      <c r="O980" s="5">
        <f t="shared" si="127"/>
        <v>2.3647933009479427E-2</v>
      </c>
    </row>
    <row r="981" spans="1:15" s="2" customFormat="1" x14ac:dyDescent="0.5">
      <c r="A981" s="6">
        <v>41779</v>
      </c>
      <c r="B981" s="1">
        <v>196.94000199999999</v>
      </c>
      <c r="C981" s="1">
        <v>199.33000200000001</v>
      </c>
      <c r="D981" s="1">
        <v>193.070007</v>
      </c>
      <c r="E981" s="1">
        <v>195.300003</v>
      </c>
      <c r="F981" s="1">
        <v>195.300003</v>
      </c>
      <c r="G981" s="2">
        <v>5546100</v>
      </c>
      <c r="H981" s="2">
        <f t="shared" si="120"/>
        <v>2014</v>
      </c>
      <c r="I981" s="2">
        <f t="shared" si="121"/>
        <v>5</v>
      </c>
      <c r="J981" s="2">
        <f t="shared" si="122"/>
        <v>20</v>
      </c>
      <c r="K981" s="2">
        <f t="shared" si="123"/>
        <v>3</v>
      </c>
      <c r="L981" s="2">
        <f t="shared" si="124"/>
        <v>6</v>
      </c>
      <c r="M981" s="3">
        <f t="shared" si="125"/>
        <v>196.08999600000001</v>
      </c>
      <c r="N981" s="1">
        <f t="shared" ca="1" si="126"/>
        <v>196.08999600000001</v>
      </c>
      <c r="O981" s="5">
        <f t="shared" si="127"/>
        <v>-4.028726687311468E-3</v>
      </c>
    </row>
    <row r="982" spans="1:15" s="2" customFormat="1" x14ac:dyDescent="0.5">
      <c r="A982" s="6">
        <v>41780</v>
      </c>
      <c r="B982" s="1">
        <v>196.179993</v>
      </c>
      <c r="C982" s="1">
        <v>199.86999499999999</v>
      </c>
      <c r="D982" s="1">
        <v>194.78999300000001</v>
      </c>
      <c r="E982" s="1">
        <v>199.449997</v>
      </c>
      <c r="F982" s="1">
        <v>199.449997</v>
      </c>
      <c r="G982" s="2">
        <v>5285400</v>
      </c>
      <c r="H982" s="2">
        <f t="shared" si="120"/>
        <v>2014</v>
      </c>
      <c r="I982" s="2">
        <f t="shared" si="121"/>
        <v>5</v>
      </c>
      <c r="J982" s="2">
        <f t="shared" si="122"/>
        <v>21</v>
      </c>
      <c r="K982" s="2">
        <f t="shared" si="123"/>
        <v>4</v>
      </c>
      <c r="L982" s="2">
        <f t="shared" si="124"/>
        <v>6</v>
      </c>
      <c r="M982" s="3">
        <f t="shared" si="125"/>
        <v>195.300003</v>
      </c>
      <c r="N982" s="1">
        <f t="shared" ca="1" si="126"/>
        <v>195.300003</v>
      </c>
      <c r="O982" s="5">
        <f t="shared" si="127"/>
        <v>2.1249328910660559E-2</v>
      </c>
    </row>
    <row r="983" spans="1:15" s="2" customFormat="1" x14ac:dyDescent="0.5">
      <c r="A983" s="6">
        <v>41781</v>
      </c>
      <c r="B983" s="1">
        <v>200.35000600000001</v>
      </c>
      <c r="C983" s="1">
        <v>206.88000500000001</v>
      </c>
      <c r="D983" s="1">
        <v>199.55999800000001</v>
      </c>
      <c r="E983" s="1">
        <v>204.88000500000001</v>
      </c>
      <c r="F983" s="1">
        <v>204.88000500000001</v>
      </c>
      <c r="G983" s="2">
        <v>6214500</v>
      </c>
      <c r="H983" s="2">
        <f t="shared" si="120"/>
        <v>2014</v>
      </c>
      <c r="I983" s="2">
        <f t="shared" si="121"/>
        <v>5</v>
      </c>
      <c r="J983" s="2">
        <f t="shared" si="122"/>
        <v>22</v>
      </c>
      <c r="K983" s="2">
        <f t="shared" si="123"/>
        <v>5</v>
      </c>
      <c r="L983" s="2">
        <f t="shared" si="124"/>
        <v>6</v>
      </c>
      <c r="M983" s="3">
        <f t="shared" si="125"/>
        <v>199.449997</v>
      </c>
      <c r="N983" s="1">
        <f t="shared" ca="1" si="126"/>
        <v>199.449997</v>
      </c>
      <c r="O983" s="5">
        <f t="shared" si="127"/>
        <v>2.7224908907870438E-2</v>
      </c>
    </row>
    <row r="984" spans="1:15" s="2" customFormat="1" x14ac:dyDescent="0.5">
      <c r="A984" s="6">
        <v>41782</v>
      </c>
      <c r="B984" s="1">
        <v>204.529999</v>
      </c>
      <c r="C984" s="1">
        <v>207.759995</v>
      </c>
      <c r="D984" s="1">
        <v>202.5</v>
      </c>
      <c r="E984" s="1">
        <v>207.300003</v>
      </c>
      <c r="F984" s="1">
        <v>207.300003</v>
      </c>
      <c r="G984" s="2">
        <v>4006800</v>
      </c>
      <c r="H984" s="2">
        <f t="shared" si="120"/>
        <v>2014</v>
      </c>
      <c r="I984" s="2">
        <f t="shared" si="121"/>
        <v>5</v>
      </c>
      <c r="J984" s="2">
        <f t="shared" si="122"/>
        <v>23</v>
      </c>
      <c r="K984" s="2">
        <f t="shared" si="123"/>
        <v>6</v>
      </c>
      <c r="L984" s="2">
        <f t="shared" si="124"/>
        <v>6</v>
      </c>
      <c r="M984" s="3">
        <f t="shared" si="125"/>
        <v>204.88000500000001</v>
      </c>
      <c r="N984" s="1">
        <f t="shared" ca="1" si="126"/>
        <v>204.88000500000001</v>
      </c>
      <c r="O984" s="5">
        <f t="shared" si="127"/>
        <v>1.1811782218572153E-2</v>
      </c>
    </row>
    <row r="985" spans="1:15" s="2" customFormat="1" x14ac:dyDescent="0.5">
      <c r="A985" s="6">
        <v>41786</v>
      </c>
      <c r="B985" s="1">
        <v>208.520004</v>
      </c>
      <c r="C985" s="1">
        <v>213.86999499999999</v>
      </c>
      <c r="D985" s="1">
        <v>207.699997</v>
      </c>
      <c r="E985" s="1">
        <v>211.55999800000001</v>
      </c>
      <c r="F985" s="1">
        <v>211.55999800000001</v>
      </c>
      <c r="G985" s="2">
        <v>5341100</v>
      </c>
      <c r="H985" s="2">
        <f t="shared" si="120"/>
        <v>2014</v>
      </c>
      <c r="I985" s="2">
        <f t="shared" si="121"/>
        <v>5</v>
      </c>
      <c r="J985" s="2">
        <f t="shared" si="122"/>
        <v>27</v>
      </c>
      <c r="K985" s="2">
        <f t="shared" si="123"/>
        <v>3</v>
      </c>
      <c r="L985" s="2">
        <f t="shared" si="124"/>
        <v>6</v>
      </c>
      <c r="M985" s="3">
        <f t="shared" si="125"/>
        <v>207.300003</v>
      </c>
      <c r="N985" s="1">
        <f t="shared" ca="1" si="126"/>
        <v>207.300003</v>
      </c>
      <c r="O985" s="5">
        <f t="shared" si="127"/>
        <v>2.0549903224072796E-2</v>
      </c>
    </row>
    <row r="986" spans="1:15" s="2" customFormat="1" x14ac:dyDescent="0.5">
      <c r="A986" s="6">
        <v>41787</v>
      </c>
      <c r="B986" s="1">
        <v>210.020004</v>
      </c>
      <c r="C986" s="1">
        <v>212.770004</v>
      </c>
      <c r="D986" s="1">
        <v>205.259995</v>
      </c>
      <c r="E986" s="1">
        <v>210.240005</v>
      </c>
      <c r="F986" s="1">
        <v>210.240005</v>
      </c>
      <c r="G986" s="2">
        <v>5495100</v>
      </c>
      <c r="H986" s="2">
        <f t="shared" si="120"/>
        <v>2014</v>
      </c>
      <c r="I986" s="2">
        <f t="shared" si="121"/>
        <v>5</v>
      </c>
      <c r="J986" s="2">
        <f t="shared" si="122"/>
        <v>28</v>
      </c>
      <c r="K986" s="2">
        <f t="shared" si="123"/>
        <v>4</v>
      </c>
      <c r="L986" s="2">
        <f t="shared" si="124"/>
        <v>6</v>
      </c>
      <c r="M986" s="3">
        <f t="shared" si="125"/>
        <v>211.55999800000001</v>
      </c>
      <c r="N986" s="1">
        <f t="shared" ca="1" si="126"/>
        <v>211.55999800000001</v>
      </c>
      <c r="O986" s="5">
        <f t="shared" si="127"/>
        <v>-6.2393316906724783E-3</v>
      </c>
    </row>
    <row r="987" spans="1:15" s="2" customFormat="1" x14ac:dyDescent="0.5">
      <c r="A987" s="6">
        <v>41788</v>
      </c>
      <c r="B987" s="1">
        <v>210.570007</v>
      </c>
      <c r="C987" s="1">
        <v>212.490005</v>
      </c>
      <c r="D987" s="1">
        <v>207.720001</v>
      </c>
      <c r="E987" s="1">
        <v>210.240005</v>
      </c>
      <c r="F987" s="1">
        <v>210.240005</v>
      </c>
      <c r="G987" s="2">
        <v>3692500</v>
      </c>
      <c r="H987" s="2">
        <f t="shared" si="120"/>
        <v>2014</v>
      </c>
      <c r="I987" s="2">
        <f t="shared" si="121"/>
        <v>5</v>
      </c>
      <c r="J987" s="2">
        <f t="shared" si="122"/>
        <v>29</v>
      </c>
      <c r="K987" s="2">
        <f t="shared" si="123"/>
        <v>5</v>
      </c>
      <c r="L987" s="2">
        <f t="shared" si="124"/>
        <v>6</v>
      </c>
      <c r="M987" s="3">
        <f t="shared" si="125"/>
        <v>210.240005</v>
      </c>
      <c r="N987" s="1">
        <f t="shared" ca="1" si="126"/>
        <v>210.240005</v>
      </c>
      <c r="O987" s="5">
        <f t="shared" si="127"/>
        <v>0</v>
      </c>
    </row>
    <row r="988" spans="1:15" s="2" customFormat="1" x14ac:dyDescent="0.5">
      <c r="A988" s="6">
        <v>41789</v>
      </c>
      <c r="B988" s="1">
        <v>210.300003</v>
      </c>
      <c r="C988" s="1">
        <v>214.800003</v>
      </c>
      <c r="D988" s="1">
        <v>207.020004</v>
      </c>
      <c r="E988" s="1">
        <v>207.770004</v>
      </c>
      <c r="F988" s="1">
        <v>207.770004</v>
      </c>
      <c r="G988" s="2">
        <v>5581100</v>
      </c>
      <c r="H988" s="2">
        <f t="shared" si="120"/>
        <v>2014</v>
      </c>
      <c r="I988" s="2">
        <f t="shared" si="121"/>
        <v>5</v>
      </c>
      <c r="J988" s="2">
        <f t="shared" si="122"/>
        <v>30</v>
      </c>
      <c r="K988" s="2">
        <f t="shared" si="123"/>
        <v>6</v>
      </c>
      <c r="L988" s="2">
        <f t="shared" si="124"/>
        <v>6</v>
      </c>
      <c r="M988" s="3">
        <f t="shared" si="125"/>
        <v>210.240005</v>
      </c>
      <c r="N988" s="1">
        <f t="shared" ca="1" si="126"/>
        <v>210.240005</v>
      </c>
      <c r="O988" s="5">
        <f t="shared" si="127"/>
        <v>-1.1748482407047067E-2</v>
      </c>
    </row>
    <row r="989" spans="1:15" s="2" customFormat="1" x14ac:dyDescent="0.5">
      <c r="A989" s="6">
        <v>41792</v>
      </c>
      <c r="B989" s="1">
        <v>207.33000200000001</v>
      </c>
      <c r="C989" s="1">
        <v>209.35000600000001</v>
      </c>
      <c r="D989" s="1">
        <v>201.66999799999999</v>
      </c>
      <c r="E989" s="1">
        <v>204.699997</v>
      </c>
      <c r="F989" s="1">
        <v>204.699997</v>
      </c>
      <c r="G989" s="2">
        <v>4668100</v>
      </c>
      <c r="H989" s="2">
        <f t="shared" si="120"/>
        <v>2014</v>
      </c>
      <c r="I989" s="2">
        <f t="shared" si="121"/>
        <v>6</v>
      </c>
      <c r="J989" s="2">
        <f t="shared" si="122"/>
        <v>2</v>
      </c>
      <c r="K989" s="2">
        <f t="shared" si="123"/>
        <v>2</v>
      </c>
      <c r="L989" s="2">
        <f t="shared" si="124"/>
        <v>7</v>
      </c>
      <c r="M989" s="3">
        <f t="shared" si="125"/>
        <v>207.770004</v>
      </c>
      <c r="N989" s="1">
        <f t="shared" ca="1" si="126"/>
        <v>207.770004</v>
      </c>
      <c r="O989" s="5">
        <f t="shared" si="127"/>
        <v>-1.4775987586735595E-2</v>
      </c>
    </row>
    <row r="990" spans="1:15" s="2" customFormat="1" x14ac:dyDescent="0.5">
      <c r="A990" s="6">
        <v>41793</v>
      </c>
      <c r="B990" s="1">
        <v>203.490005</v>
      </c>
      <c r="C990" s="1">
        <v>208</v>
      </c>
      <c r="D990" s="1">
        <v>202.58999600000001</v>
      </c>
      <c r="E990" s="1">
        <v>204.94000199999999</v>
      </c>
      <c r="F990" s="1">
        <v>204.94000199999999</v>
      </c>
      <c r="G990" s="2">
        <v>3860800</v>
      </c>
      <c r="H990" s="2">
        <f t="shared" si="120"/>
        <v>2014</v>
      </c>
      <c r="I990" s="2">
        <f t="shared" si="121"/>
        <v>6</v>
      </c>
      <c r="J990" s="2">
        <f t="shared" si="122"/>
        <v>3</v>
      </c>
      <c r="K990" s="2">
        <f t="shared" si="123"/>
        <v>3</v>
      </c>
      <c r="L990" s="2">
        <f t="shared" si="124"/>
        <v>7</v>
      </c>
      <c r="M990" s="3">
        <f t="shared" si="125"/>
        <v>204.699997</v>
      </c>
      <c r="N990" s="1">
        <f t="shared" ca="1" si="126"/>
        <v>204.699997</v>
      </c>
      <c r="O990" s="5">
        <f t="shared" si="127"/>
        <v>1.1724719272956374E-3</v>
      </c>
    </row>
    <row r="991" spans="1:15" s="2" customFormat="1" x14ac:dyDescent="0.5">
      <c r="A991" s="6">
        <v>41794</v>
      </c>
      <c r="B991" s="1">
        <v>204.35000600000001</v>
      </c>
      <c r="C991" s="1">
        <v>206.259995</v>
      </c>
      <c r="D991" s="1">
        <v>200.39999399999999</v>
      </c>
      <c r="E991" s="1">
        <v>203.990005</v>
      </c>
      <c r="F991" s="1">
        <v>203.990005</v>
      </c>
      <c r="G991" s="2">
        <v>3427400</v>
      </c>
      <c r="H991" s="2">
        <f t="shared" si="120"/>
        <v>2014</v>
      </c>
      <c r="I991" s="2">
        <f t="shared" si="121"/>
        <v>6</v>
      </c>
      <c r="J991" s="2">
        <f t="shared" si="122"/>
        <v>4</v>
      </c>
      <c r="K991" s="2">
        <f t="shared" si="123"/>
        <v>4</v>
      </c>
      <c r="L991" s="2">
        <f t="shared" si="124"/>
        <v>7</v>
      </c>
      <c r="M991" s="3">
        <f t="shared" si="125"/>
        <v>204.94000199999999</v>
      </c>
      <c r="N991" s="1">
        <f t="shared" ca="1" si="126"/>
        <v>204.94000199999999</v>
      </c>
      <c r="O991" s="5">
        <f t="shared" si="127"/>
        <v>-4.635488390402176E-3</v>
      </c>
    </row>
    <row r="992" spans="1:15" s="2" customFormat="1" x14ac:dyDescent="0.5">
      <c r="A992" s="6">
        <v>41795</v>
      </c>
      <c r="B992" s="1">
        <v>204.470001</v>
      </c>
      <c r="C992" s="1">
        <v>209.199997</v>
      </c>
      <c r="D992" s="1">
        <v>204.050003</v>
      </c>
      <c r="E992" s="1">
        <v>206.89999399999999</v>
      </c>
      <c r="F992" s="1">
        <v>206.89999399999999</v>
      </c>
      <c r="G992" s="2">
        <v>4054600</v>
      </c>
      <c r="H992" s="2">
        <f t="shared" si="120"/>
        <v>2014</v>
      </c>
      <c r="I992" s="2">
        <f t="shared" si="121"/>
        <v>6</v>
      </c>
      <c r="J992" s="2">
        <f t="shared" si="122"/>
        <v>5</v>
      </c>
      <c r="K992" s="2">
        <f t="shared" si="123"/>
        <v>5</v>
      </c>
      <c r="L992" s="2">
        <f t="shared" si="124"/>
        <v>7</v>
      </c>
      <c r="M992" s="3">
        <f t="shared" si="125"/>
        <v>203.990005</v>
      </c>
      <c r="N992" s="1">
        <f t="shared" ca="1" si="126"/>
        <v>203.990005</v>
      </c>
      <c r="O992" s="5">
        <f t="shared" si="127"/>
        <v>1.4265350893049922E-2</v>
      </c>
    </row>
    <row r="993" spans="1:15" s="2" customFormat="1" x14ac:dyDescent="0.5">
      <c r="A993" s="6">
        <v>41796</v>
      </c>
      <c r="B993" s="1">
        <v>209.75</v>
      </c>
      <c r="C993" s="1">
        <v>210.80999800000001</v>
      </c>
      <c r="D993" s="1">
        <v>207.179993</v>
      </c>
      <c r="E993" s="1">
        <v>208.16999799999999</v>
      </c>
      <c r="F993" s="1">
        <v>208.16999799999999</v>
      </c>
      <c r="G993" s="2">
        <v>3073800</v>
      </c>
      <c r="H993" s="2">
        <f t="shared" si="120"/>
        <v>2014</v>
      </c>
      <c r="I993" s="2">
        <f t="shared" si="121"/>
        <v>6</v>
      </c>
      <c r="J993" s="2">
        <f t="shared" si="122"/>
        <v>6</v>
      </c>
      <c r="K993" s="2">
        <f t="shared" si="123"/>
        <v>6</v>
      </c>
      <c r="L993" s="2">
        <f t="shared" si="124"/>
        <v>7</v>
      </c>
      <c r="M993" s="3">
        <f t="shared" si="125"/>
        <v>206.89999399999999</v>
      </c>
      <c r="N993" s="1">
        <f t="shared" ca="1" si="126"/>
        <v>206.89999399999999</v>
      </c>
      <c r="O993" s="5">
        <f t="shared" si="127"/>
        <v>6.1382505405003229E-3</v>
      </c>
    </row>
    <row r="994" spans="1:15" s="2" customFormat="1" x14ac:dyDescent="0.5">
      <c r="A994" s="6">
        <v>41799</v>
      </c>
      <c r="B994" s="1">
        <v>207.949997</v>
      </c>
      <c r="C994" s="1">
        <v>209.990005</v>
      </c>
      <c r="D994" s="1">
        <v>204.199997</v>
      </c>
      <c r="E994" s="1">
        <v>205.30999800000001</v>
      </c>
      <c r="F994" s="1">
        <v>205.30999800000001</v>
      </c>
      <c r="G994" s="2">
        <v>2805700</v>
      </c>
      <c r="H994" s="2">
        <f t="shared" si="120"/>
        <v>2014</v>
      </c>
      <c r="I994" s="2">
        <f t="shared" si="121"/>
        <v>6</v>
      </c>
      <c r="J994" s="2">
        <f t="shared" si="122"/>
        <v>9</v>
      </c>
      <c r="K994" s="2">
        <f t="shared" si="123"/>
        <v>2</v>
      </c>
      <c r="L994" s="2">
        <f t="shared" si="124"/>
        <v>7</v>
      </c>
      <c r="M994" s="3">
        <f t="shared" si="125"/>
        <v>208.16999799999999</v>
      </c>
      <c r="N994" s="1">
        <f t="shared" ca="1" si="126"/>
        <v>208.16999799999999</v>
      </c>
      <c r="O994" s="5">
        <f t="shared" si="127"/>
        <v>-1.3738771328613786E-2</v>
      </c>
    </row>
    <row r="995" spans="1:15" s="2" customFormat="1" x14ac:dyDescent="0.5">
      <c r="A995" s="6">
        <v>41800</v>
      </c>
      <c r="B995" s="1">
        <v>204.429993</v>
      </c>
      <c r="C995" s="1">
        <v>206.970001</v>
      </c>
      <c r="D995" s="1">
        <v>201.550003</v>
      </c>
      <c r="E995" s="1">
        <v>202.300003</v>
      </c>
      <c r="F995" s="1">
        <v>202.300003</v>
      </c>
      <c r="G995" s="2">
        <v>3514700</v>
      </c>
      <c r="H995" s="2">
        <f t="shared" si="120"/>
        <v>2014</v>
      </c>
      <c r="I995" s="2">
        <f t="shared" si="121"/>
        <v>6</v>
      </c>
      <c r="J995" s="2">
        <f t="shared" si="122"/>
        <v>10</v>
      </c>
      <c r="K995" s="2">
        <f t="shared" si="123"/>
        <v>3</v>
      </c>
      <c r="L995" s="2">
        <f t="shared" si="124"/>
        <v>7</v>
      </c>
      <c r="M995" s="3">
        <f t="shared" si="125"/>
        <v>205.30999800000001</v>
      </c>
      <c r="N995" s="1">
        <f t="shared" ca="1" si="126"/>
        <v>205.30999800000001</v>
      </c>
      <c r="O995" s="5">
        <f t="shared" si="127"/>
        <v>-1.4660732693592471E-2</v>
      </c>
    </row>
    <row r="996" spans="1:15" s="2" customFormat="1" x14ac:dyDescent="0.5">
      <c r="A996" s="6">
        <v>41801</v>
      </c>
      <c r="B996" s="1">
        <v>201.5</v>
      </c>
      <c r="C996" s="1">
        <v>205</v>
      </c>
      <c r="D996" s="1">
        <v>199.25</v>
      </c>
      <c r="E996" s="1">
        <v>204.470001</v>
      </c>
      <c r="F996" s="1">
        <v>204.470001</v>
      </c>
      <c r="G996" s="2">
        <v>3977500</v>
      </c>
      <c r="H996" s="2">
        <f t="shared" si="120"/>
        <v>2014</v>
      </c>
      <c r="I996" s="2">
        <f t="shared" si="121"/>
        <v>6</v>
      </c>
      <c r="J996" s="2">
        <f t="shared" si="122"/>
        <v>11</v>
      </c>
      <c r="K996" s="2">
        <f t="shared" si="123"/>
        <v>4</v>
      </c>
      <c r="L996" s="2">
        <f t="shared" si="124"/>
        <v>7</v>
      </c>
      <c r="M996" s="3">
        <f t="shared" si="125"/>
        <v>202.300003</v>
      </c>
      <c r="N996" s="1">
        <f t="shared" ca="1" si="126"/>
        <v>202.300003</v>
      </c>
      <c r="O996" s="5">
        <f t="shared" si="127"/>
        <v>1.0726633553238329E-2</v>
      </c>
    </row>
    <row r="997" spans="1:15" s="2" customFormat="1" x14ac:dyDescent="0.5">
      <c r="A997" s="6">
        <v>41802</v>
      </c>
      <c r="B997" s="1">
        <v>205.10000600000001</v>
      </c>
      <c r="C997" s="1">
        <v>209.88000500000001</v>
      </c>
      <c r="D997" s="1">
        <v>202.71000699999999</v>
      </c>
      <c r="E997" s="1">
        <v>203.520004</v>
      </c>
      <c r="F997" s="1">
        <v>203.520004</v>
      </c>
      <c r="G997" s="2">
        <v>5993700</v>
      </c>
      <c r="H997" s="2">
        <f t="shared" si="120"/>
        <v>2014</v>
      </c>
      <c r="I997" s="2">
        <f t="shared" si="121"/>
        <v>6</v>
      </c>
      <c r="J997" s="2">
        <f t="shared" si="122"/>
        <v>12</v>
      </c>
      <c r="K997" s="2">
        <f t="shared" si="123"/>
        <v>5</v>
      </c>
      <c r="L997" s="2">
        <f t="shared" si="124"/>
        <v>7</v>
      </c>
      <c r="M997" s="3">
        <f t="shared" si="125"/>
        <v>204.470001</v>
      </c>
      <c r="N997" s="1">
        <f t="shared" ca="1" si="126"/>
        <v>204.470001</v>
      </c>
      <c r="O997" s="5">
        <f t="shared" si="127"/>
        <v>-4.6461436658378208E-3</v>
      </c>
    </row>
    <row r="998" spans="1:15" s="2" customFormat="1" x14ac:dyDescent="0.5">
      <c r="A998" s="6">
        <v>41803</v>
      </c>
      <c r="B998" s="1">
        <v>204.779999</v>
      </c>
      <c r="C998" s="1">
        <v>206.78999300000001</v>
      </c>
      <c r="D998" s="1">
        <v>201.58000200000001</v>
      </c>
      <c r="E998" s="1">
        <v>206.41999799999999</v>
      </c>
      <c r="F998" s="1">
        <v>206.41999799999999</v>
      </c>
      <c r="G998" s="2">
        <v>3544300</v>
      </c>
      <c r="H998" s="2">
        <f t="shared" si="120"/>
        <v>2014</v>
      </c>
      <c r="I998" s="2">
        <f t="shared" si="121"/>
        <v>6</v>
      </c>
      <c r="J998" s="2">
        <f t="shared" si="122"/>
        <v>13</v>
      </c>
      <c r="K998" s="2">
        <f t="shared" si="123"/>
        <v>6</v>
      </c>
      <c r="L998" s="2">
        <f t="shared" si="124"/>
        <v>7</v>
      </c>
      <c r="M998" s="3">
        <f t="shared" si="125"/>
        <v>203.520004</v>
      </c>
      <c r="N998" s="1">
        <f t="shared" ca="1" si="126"/>
        <v>203.520004</v>
      </c>
      <c r="O998" s="5">
        <f t="shared" si="127"/>
        <v>1.4249184075291188E-2</v>
      </c>
    </row>
    <row r="999" spans="1:15" s="2" customFormat="1" x14ac:dyDescent="0.5">
      <c r="A999" s="6">
        <v>41806</v>
      </c>
      <c r="B999" s="1">
        <v>206.759995</v>
      </c>
      <c r="C999" s="1">
        <v>225.490005</v>
      </c>
      <c r="D999" s="1">
        <v>206.259995</v>
      </c>
      <c r="E999" s="1">
        <v>224.61000100000001</v>
      </c>
      <c r="F999" s="1">
        <v>224.61000100000001</v>
      </c>
      <c r="G999" s="2">
        <v>13246400</v>
      </c>
      <c r="H999" s="2">
        <f t="shared" si="120"/>
        <v>2014</v>
      </c>
      <c r="I999" s="2">
        <f t="shared" si="121"/>
        <v>6</v>
      </c>
      <c r="J999" s="2">
        <f t="shared" si="122"/>
        <v>16</v>
      </c>
      <c r="K999" s="2">
        <f t="shared" si="123"/>
        <v>2</v>
      </c>
      <c r="L999" s="2">
        <f t="shared" si="124"/>
        <v>7</v>
      </c>
      <c r="M999" s="3">
        <f t="shared" si="125"/>
        <v>206.41999799999999</v>
      </c>
      <c r="N999" s="1">
        <f t="shared" ca="1" si="126"/>
        <v>206.41999799999999</v>
      </c>
      <c r="O999" s="5">
        <f t="shared" si="127"/>
        <v>8.8121321462274249E-2</v>
      </c>
    </row>
    <row r="1000" spans="1:15" s="2" customFormat="1" x14ac:dyDescent="0.5">
      <c r="A1000" s="6">
        <v>41807</v>
      </c>
      <c r="B1000" s="1">
        <v>224.11000100000001</v>
      </c>
      <c r="C1000" s="1">
        <v>235.53999300000001</v>
      </c>
      <c r="D1000" s="1">
        <v>222.85000600000001</v>
      </c>
      <c r="E1000" s="1">
        <v>231.66999799999999</v>
      </c>
      <c r="F1000" s="1">
        <v>231.66999799999999</v>
      </c>
      <c r="G1000" s="2">
        <v>13304900</v>
      </c>
      <c r="H1000" s="2">
        <f t="shared" si="120"/>
        <v>2014</v>
      </c>
      <c r="I1000" s="2">
        <f t="shared" si="121"/>
        <v>6</v>
      </c>
      <c r="J1000" s="2">
        <f t="shared" si="122"/>
        <v>17</v>
      </c>
      <c r="K1000" s="2">
        <f t="shared" si="123"/>
        <v>3</v>
      </c>
      <c r="L1000" s="2">
        <f t="shared" si="124"/>
        <v>7</v>
      </c>
      <c r="M1000" s="3">
        <f t="shared" si="125"/>
        <v>224.61000100000001</v>
      </c>
      <c r="N1000" s="1">
        <f t="shared" ca="1" si="126"/>
        <v>224.61000100000001</v>
      </c>
      <c r="O1000" s="5">
        <f t="shared" si="127"/>
        <v>3.1432246865979785E-2</v>
      </c>
    </row>
    <row r="1001" spans="1:15" s="2" customFormat="1" x14ac:dyDescent="0.5">
      <c r="A1001" s="6">
        <v>41808</v>
      </c>
      <c r="B1001" s="1">
        <v>231.5</v>
      </c>
      <c r="C1001" s="1">
        <v>231.71000699999999</v>
      </c>
      <c r="D1001" s="1">
        <v>226.11999499999999</v>
      </c>
      <c r="E1001" s="1">
        <v>227.11999499999999</v>
      </c>
      <c r="F1001" s="1">
        <v>227.11999499999999</v>
      </c>
      <c r="G1001" s="2">
        <v>6940200</v>
      </c>
      <c r="H1001" s="2">
        <f t="shared" si="120"/>
        <v>2014</v>
      </c>
      <c r="I1001" s="2">
        <f t="shared" si="121"/>
        <v>6</v>
      </c>
      <c r="J1001" s="2">
        <f t="shared" si="122"/>
        <v>18</v>
      </c>
      <c r="K1001" s="2">
        <f t="shared" si="123"/>
        <v>4</v>
      </c>
      <c r="L1001" s="2">
        <f t="shared" si="124"/>
        <v>7</v>
      </c>
      <c r="M1001" s="3">
        <f t="shared" si="125"/>
        <v>231.66999799999999</v>
      </c>
      <c r="N1001" s="1">
        <f t="shared" ca="1" si="126"/>
        <v>231.66999799999999</v>
      </c>
      <c r="O1001" s="5">
        <f t="shared" si="127"/>
        <v>-1.9640018298787254E-2</v>
      </c>
    </row>
    <row r="1002" spans="1:15" s="2" customFormat="1" x14ac:dyDescent="0.5">
      <c r="A1002" s="6">
        <v>41809</v>
      </c>
      <c r="B1002" s="1">
        <v>228.88000500000001</v>
      </c>
      <c r="C1002" s="1">
        <v>235.30999800000001</v>
      </c>
      <c r="D1002" s="1">
        <v>227</v>
      </c>
      <c r="E1002" s="1">
        <v>227.78999300000001</v>
      </c>
      <c r="F1002" s="1">
        <v>227.78999300000001</v>
      </c>
      <c r="G1002" s="2">
        <v>8793100</v>
      </c>
      <c r="H1002" s="2">
        <f t="shared" si="120"/>
        <v>2014</v>
      </c>
      <c r="I1002" s="2">
        <f t="shared" si="121"/>
        <v>6</v>
      </c>
      <c r="J1002" s="2">
        <f t="shared" si="122"/>
        <v>19</v>
      </c>
      <c r="K1002" s="2">
        <f t="shared" si="123"/>
        <v>5</v>
      </c>
      <c r="L1002" s="2">
        <f t="shared" si="124"/>
        <v>7</v>
      </c>
      <c r="M1002" s="3">
        <f t="shared" si="125"/>
        <v>227.11999499999999</v>
      </c>
      <c r="N1002" s="1">
        <f t="shared" ca="1" si="126"/>
        <v>227.11999499999999</v>
      </c>
      <c r="O1002" s="5">
        <f t="shared" si="127"/>
        <v>2.949973647190518E-3</v>
      </c>
    </row>
    <row r="1003" spans="1:15" s="2" customFormat="1" x14ac:dyDescent="0.5">
      <c r="A1003" s="6">
        <v>41810</v>
      </c>
      <c r="B1003" s="1">
        <v>228.520004</v>
      </c>
      <c r="C1003" s="1">
        <v>231.28999300000001</v>
      </c>
      <c r="D1003" s="1">
        <v>226.199997</v>
      </c>
      <c r="E1003" s="1">
        <v>229.58999600000001</v>
      </c>
      <c r="F1003" s="1">
        <v>229.58999600000001</v>
      </c>
      <c r="G1003" s="2">
        <v>4903900</v>
      </c>
      <c r="H1003" s="2">
        <f t="shared" si="120"/>
        <v>2014</v>
      </c>
      <c r="I1003" s="2">
        <f t="shared" si="121"/>
        <v>6</v>
      </c>
      <c r="J1003" s="2">
        <f t="shared" si="122"/>
        <v>20</v>
      </c>
      <c r="K1003" s="2">
        <f t="shared" si="123"/>
        <v>6</v>
      </c>
      <c r="L1003" s="2">
        <f t="shared" si="124"/>
        <v>7</v>
      </c>
      <c r="M1003" s="3">
        <f t="shared" si="125"/>
        <v>227.78999300000001</v>
      </c>
      <c r="N1003" s="1">
        <f t="shared" ca="1" si="126"/>
        <v>227.78999300000001</v>
      </c>
      <c r="O1003" s="5">
        <f t="shared" si="127"/>
        <v>7.9020284266833052E-3</v>
      </c>
    </row>
    <row r="1004" spans="1:15" s="2" customFormat="1" x14ac:dyDescent="0.5">
      <c r="A1004" s="6">
        <v>41813</v>
      </c>
      <c r="B1004" s="1">
        <v>229.509995</v>
      </c>
      <c r="C1004" s="1">
        <v>238.990005</v>
      </c>
      <c r="D1004" s="1">
        <v>228.220001</v>
      </c>
      <c r="E1004" s="1">
        <v>237.220001</v>
      </c>
      <c r="F1004" s="1">
        <v>237.220001</v>
      </c>
      <c r="G1004" s="2">
        <v>7791100</v>
      </c>
      <c r="H1004" s="2">
        <f t="shared" si="120"/>
        <v>2014</v>
      </c>
      <c r="I1004" s="2">
        <f t="shared" si="121"/>
        <v>6</v>
      </c>
      <c r="J1004" s="2">
        <f t="shared" si="122"/>
        <v>23</v>
      </c>
      <c r="K1004" s="2">
        <f t="shared" si="123"/>
        <v>2</v>
      </c>
      <c r="L1004" s="2">
        <f t="shared" si="124"/>
        <v>7</v>
      </c>
      <c r="M1004" s="3">
        <f t="shared" si="125"/>
        <v>229.58999600000001</v>
      </c>
      <c r="N1004" s="1">
        <f t="shared" ca="1" si="126"/>
        <v>229.58999600000001</v>
      </c>
      <c r="O1004" s="5">
        <f t="shared" si="127"/>
        <v>3.3233177111079204E-2</v>
      </c>
    </row>
    <row r="1005" spans="1:15" s="2" customFormat="1" x14ac:dyDescent="0.5">
      <c r="A1005" s="6">
        <v>41814</v>
      </c>
      <c r="B1005" s="1">
        <v>238.970001</v>
      </c>
      <c r="C1005" s="1">
        <v>241.88000500000001</v>
      </c>
      <c r="D1005" s="1">
        <v>231.63000500000001</v>
      </c>
      <c r="E1005" s="1">
        <v>232.5</v>
      </c>
      <c r="F1005" s="1">
        <v>232.5</v>
      </c>
      <c r="G1005" s="2">
        <v>8075900</v>
      </c>
      <c r="H1005" s="2">
        <f t="shared" si="120"/>
        <v>2014</v>
      </c>
      <c r="I1005" s="2">
        <f t="shared" si="121"/>
        <v>6</v>
      </c>
      <c r="J1005" s="2">
        <f t="shared" si="122"/>
        <v>24</v>
      </c>
      <c r="K1005" s="2">
        <f t="shared" si="123"/>
        <v>3</v>
      </c>
      <c r="L1005" s="2">
        <f t="shared" si="124"/>
        <v>7</v>
      </c>
      <c r="M1005" s="3">
        <f t="shared" si="125"/>
        <v>237.220001</v>
      </c>
      <c r="N1005" s="1">
        <f t="shared" ca="1" si="126"/>
        <v>237.220001</v>
      </c>
      <c r="O1005" s="5">
        <f t="shared" si="127"/>
        <v>-1.9897146025220636E-2</v>
      </c>
    </row>
    <row r="1006" spans="1:15" s="2" customFormat="1" x14ac:dyDescent="0.5">
      <c r="A1006" s="6">
        <v>41815</v>
      </c>
      <c r="B1006" s="1">
        <v>233.050003</v>
      </c>
      <c r="C1006" s="1">
        <v>237.550003</v>
      </c>
      <c r="D1006" s="1">
        <v>230.240005</v>
      </c>
      <c r="E1006" s="1">
        <v>236.88999899999999</v>
      </c>
      <c r="F1006" s="1">
        <v>236.88999899999999</v>
      </c>
      <c r="G1006" s="2">
        <v>5801600</v>
      </c>
      <c r="H1006" s="2">
        <f t="shared" si="120"/>
        <v>2014</v>
      </c>
      <c r="I1006" s="2">
        <f t="shared" si="121"/>
        <v>6</v>
      </c>
      <c r="J1006" s="2">
        <f t="shared" si="122"/>
        <v>25</v>
      </c>
      <c r="K1006" s="2">
        <f t="shared" si="123"/>
        <v>4</v>
      </c>
      <c r="L1006" s="2">
        <f t="shared" si="124"/>
        <v>7</v>
      </c>
      <c r="M1006" s="3">
        <f t="shared" si="125"/>
        <v>232.5</v>
      </c>
      <c r="N1006" s="1">
        <f t="shared" ca="1" si="126"/>
        <v>232.5</v>
      </c>
      <c r="O1006" s="5">
        <f t="shared" si="127"/>
        <v>1.8881716129032222E-2</v>
      </c>
    </row>
    <row r="1007" spans="1:15" s="2" customFormat="1" x14ac:dyDescent="0.5">
      <c r="A1007" s="6">
        <v>41816</v>
      </c>
      <c r="B1007" s="1">
        <v>237.16999799999999</v>
      </c>
      <c r="C1007" s="1">
        <v>240.39999399999999</v>
      </c>
      <c r="D1007" s="1">
        <v>234.21000699999999</v>
      </c>
      <c r="E1007" s="1">
        <v>235.60000600000001</v>
      </c>
      <c r="F1007" s="1">
        <v>235.60000600000001</v>
      </c>
      <c r="G1007" s="2">
        <v>5121400</v>
      </c>
      <c r="H1007" s="2">
        <f t="shared" si="120"/>
        <v>2014</v>
      </c>
      <c r="I1007" s="2">
        <f t="shared" si="121"/>
        <v>6</v>
      </c>
      <c r="J1007" s="2">
        <f t="shared" si="122"/>
        <v>26</v>
      </c>
      <c r="K1007" s="2">
        <f t="shared" si="123"/>
        <v>5</v>
      </c>
      <c r="L1007" s="2">
        <f t="shared" si="124"/>
        <v>7</v>
      </c>
      <c r="M1007" s="3">
        <f t="shared" si="125"/>
        <v>236.88999899999999</v>
      </c>
      <c r="N1007" s="1">
        <f t="shared" ca="1" si="126"/>
        <v>236.88999899999999</v>
      </c>
      <c r="O1007" s="5">
        <f t="shared" si="127"/>
        <v>-5.4455359257271629E-3</v>
      </c>
    </row>
    <row r="1008" spans="1:15" s="2" customFormat="1" x14ac:dyDescent="0.5">
      <c r="A1008" s="6">
        <v>41817</v>
      </c>
      <c r="B1008" s="1">
        <v>234.69000199999999</v>
      </c>
      <c r="C1008" s="1">
        <v>240</v>
      </c>
      <c r="D1008" s="1">
        <v>234.5</v>
      </c>
      <c r="E1008" s="1">
        <v>239.05999800000001</v>
      </c>
      <c r="F1008" s="1">
        <v>239.05999800000001</v>
      </c>
      <c r="G1008" s="2">
        <v>5635000</v>
      </c>
      <c r="H1008" s="2">
        <f t="shared" si="120"/>
        <v>2014</v>
      </c>
      <c r="I1008" s="2">
        <f t="shared" si="121"/>
        <v>6</v>
      </c>
      <c r="J1008" s="2">
        <f t="shared" si="122"/>
        <v>27</v>
      </c>
      <c r="K1008" s="2">
        <f t="shared" si="123"/>
        <v>6</v>
      </c>
      <c r="L1008" s="2">
        <f t="shared" si="124"/>
        <v>7</v>
      </c>
      <c r="M1008" s="3">
        <f t="shared" si="125"/>
        <v>235.60000600000001</v>
      </c>
      <c r="N1008" s="1">
        <f t="shared" ca="1" si="126"/>
        <v>235.60000600000001</v>
      </c>
      <c r="O1008" s="5">
        <f t="shared" si="127"/>
        <v>1.4685873989324083E-2</v>
      </c>
    </row>
    <row r="1009" spans="1:15" s="2" customFormat="1" x14ac:dyDescent="0.5">
      <c r="A1009" s="6">
        <v>41820</v>
      </c>
      <c r="B1009" s="1">
        <v>239.550003</v>
      </c>
      <c r="C1009" s="1">
        <v>244.490005</v>
      </c>
      <c r="D1009" s="1">
        <v>239</v>
      </c>
      <c r="E1009" s="1">
        <v>240.05999800000001</v>
      </c>
      <c r="F1009" s="1">
        <v>240.05999800000001</v>
      </c>
      <c r="G1009" s="2">
        <v>4828600</v>
      </c>
      <c r="H1009" s="2">
        <f t="shared" si="120"/>
        <v>2014</v>
      </c>
      <c r="I1009" s="2">
        <f t="shared" si="121"/>
        <v>6</v>
      </c>
      <c r="J1009" s="2">
        <f t="shared" si="122"/>
        <v>30</v>
      </c>
      <c r="K1009" s="2">
        <f t="shared" si="123"/>
        <v>2</v>
      </c>
      <c r="L1009" s="2">
        <f t="shared" si="124"/>
        <v>7</v>
      </c>
      <c r="M1009" s="3">
        <f t="shared" si="125"/>
        <v>239.05999800000001</v>
      </c>
      <c r="N1009" s="1">
        <f t="shared" ca="1" si="126"/>
        <v>239.05999800000001</v>
      </c>
      <c r="O1009" s="5">
        <f t="shared" si="127"/>
        <v>4.1830503152602283E-3</v>
      </c>
    </row>
    <row r="1010" spans="1:15" s="2" customFormat="1" x14ac:dyDescent="0.5">
      <c r="A1010" s="6">
        <v>41821</v>
      </c>
      <c r="B1010" s="1">
        <v>242.46000699999999</v>
      </c>
      <c r="C1010" s="1">
        <v>243.44000199999999</v>
      </c>
      <c r="D1010" s="1">
        <v>238.699997</v>
      </c>
      <c r="E1010" s="1">
        <v>239.720001</v>
      </c>
      <c r="F1010" s="1">
        <v>239.720001</v>
      </c>
      <c r="G1010" s="2">
        <v>4336100</v>
      </c>
      <c r="H1010" s="2">
        <f t="shared" si="120"/>
        <v>2014</v>
      </c>
      <c r="I1010" s="2">
        <f t="shared" si="121"/>
        <v>7</v>
      </c>
      <c r="J1010" s="2">
        <f t="shared" si="122"/>
        <v>1</v>
      </c>
      <c r="K1010" s="2">
        <f t="shared" si="123"/>
        <v>3</v>
      </c>
      <c r="L1010" s="2">
        <f t="shared" si="124"/>
        <v>8</v>
      </c>
      <c r="M1010" s="3">
        <f t="shared" si="125"/>
        <v>240.05999800000001</v>
      </c>
      <c r="N1010" s="1">
        <f t="shared" ca="1" si="126"/>
        <v>240.05999800000001</v>
      </c>
      <c r="O1010" s="5">
        <f t="shared" si="127"/>
        <v>-1.416300103443402E-3</v>
      </c>
    </row>
    <row r="1011" spans="1:15" s="2" customFormat="1" x14ac:dyDescent="0.5">
      <c r="A1011" s="6">
        <v>41822</v>
      </c>
      <c r="B1011" s="1">
        <v>240.66000399999999</v>
      </c>
      <c r="C1011" s="1">
        <v>242.33000200000001</v>
      </c>
      <c r="D1011" s="1">
        <v>227.070007</v>
      </c>
      <c r="E1011" s="1">
        <v>229.429993</v>
      </c>
      <c r="F1011" s="1">
        <v>229.429993</v>
      </c>
      <c r="G1011" s="2">
        <v>8027400</v>
      </c>
      <c r="H1011" s="2">
        <f t="shared" si="120"/>
        <v>2014</v>
      </c>
      <c r="I1011" s="2">
        <f t="shared" si="121"/>
        <v>7</v>
      </c>
      <c r="J1011" s="2">
        <f t="shared" si="122"/>
        <v>2</v>
      </c>
      <c r="K1011" s="2">
        <f t="shared" si="123"/>
        <v>4</v>
      </c>
      <c r="L1011" s="2">
        <f t="shared" si="124"/>
        <v>8</v>
      </c>
      <c r="M1011" s="3">
        <f t="shared" si="125"/>
        <v>239.720001</v>
      </c>
      <c r="N1011" s="1">
        <f t="shared" ca="1" si="126"/>
        <v>239.720001</v>
      </c>
      <c r="O1011" s="5">
        <f t="shared" si="127"/>
        <v>-4.2925112452339764E-2</v>
      </c>
    </row>
    <row r="1012" spans="1:15" s="2" customFormat="1" x14ac:dyDescent="0.5">
      <c r="A1012" s="6">
        <v>41823</v>
      </c>
      <c r="B1012" s="1">
        <v>231.28999300000001</v>
      </c>
      <c r="C1012" s="1">
        <v>231.89999399999999</v>
      </c>
      <c r="D1012" s="1">
        <v>224</v>
      </c>
      <c r="E1012" s="1">
        <v>229.25</v>
      </c>
      <c r="F1012" s="1">
        <v>229.25</v>
      </c>
      <c r="G1012" s="2">
        <v>5166700</v>
      </c>
      <c r="H1012" s="2">
        <f t="shared" si="120"/>
        <v>2014</v>
      </c>
      <c r="I1012" s="2">
        <f t="shared" si="121"/>
        <v>7</v>
      </c>
      <c r="J1012" s="2">
        <f t="shared" si="122"/>
        <v>3</v>
      </c>
      <c r="K1012" s="2">
        <f t="shared" si="123"/>
        <v>5</v>
      </c>
      <c r="L1012" s="2">
        <f t="shared" si="124"/>
        <v>8</v>
      </c>
      <c r="M1012" s="3">
        <f t="shared" si="125"/>
        <v>229.429993</v>
      </c>
      <c r="N1012" s="1">
        <f t="shared" ca="1" si="126"/>
        <v>229.429993</v>
      </c>
      <c r="O1012" s="5">
        <f t="shared" si="127"/>
        <v>-7.845225362491659E-4</v>
      </c>
    </row>
    <row r="1013" spans="1:15" s="2" customFormat="1" x14ac:dyDescent="0.5">
      <c r="A1013" s="6">
        <v>41827</v>
      </c>
      <c r="B1013" s="1">
        <v>227.5</v>
      </c>
      <c r="C1013" s="1">
        <v>229.779999</v>
      </c>
      <c r="D1013" s="1">
        <v>220.39999399999999</v>
      </c>
      <c r="E1013" s="1">
        <v>222.66000399999999</v>
      </c>
      <c r="F1013" s="1">
        <v>222.66000399999999</v>
      </c>
      <c r="G1013" s="2">
        <v>5893700</v>
      </c>
      <c r="H1013" s="2">
        <f t="shared" si="120"/>
        <v>2014</v>
      </c>
      <c r="I1013" s="2">
        <f t="shared" si="121"/>
        <v>7</v>
      </c>
      <c r="J1013" s="2">
        <f t="shared" si="122"/>
        <v>7</v>
      </c>
      <c r="K1013" s="2">
        <f t="shared" si="123"/>
        <v>2</v>
      </c>
      <c r="L1013" s="2">
        <f t="shared" si="124"/>
        <v>8</v>
      </c>
      <c r="M1013" s="3">
        <f t="shared" si="125"/>
        <v>229.25</v>
      </c>
      <c r="N1013" s="1">
        <f t="shared" ca="1" si="126"/>
        <v>229.25</v>
      </c>
      <c r="O1013" s="5">
        <f t="shared" si="127"/>
        <v>-2.874589312977105E-2</v>
      </c>
    </row>
    <row r="1014" spans="1:15" s="2" customFormat="1" x14ac:dyDescent="0.5">
      <c r="A1014" s="6">
        <v>41828</v>
      </c>
      <c r="B1014" s="1">
        <v>218.64999399999999</v>
      </c>
      <c r="C1014" s="1">
        <v>220.96000699999999</v>
      </c>
      <c r="D1014" s="1">
        <v>214.270004</v>
      </c>
      <c r="E1014" s="1">
        <v>219.070007</v>
      </c>
      <c r="F1014" s="1">
        <v>219.070007</v>
      </c>
      <c r="G1014" s="2">
        <v>7836200</v>
      </c>
      <c r="H1014" s="2">
        <f t="shared" si="120"/>
        <v>2014</v>
      </c>
      <c r="I1014" s="2">
        <f t="shared" si="121"/>
        <v>7</v>
      </c>
      <c r="J1014" s="2">
        <f t="shared" si="122"/>
        <v>8</v>
      </c>
      <c r="K1014" s="2">
        <f t="shared" si="123"/>
        <v>3</v>
      </c>
      <c r="L1014" s="2">
        <f t="shared" si="124"/>
        <v>8</v>
      </c>
      <c r="M1014" s="3">
        <f t="shared" si="125"/>
        <v>222.66000399999999</v>
      </c>
      <c r="N1014" s="1">
        <f t="shared" ca="1" si="126"/>
        <v>222.66000399999999</v>
      </c>
      <c r="O1014" s="5">
        <f t="shared" si="127"/>
        <v>-1.6123223459566516E-2</v>
      </c>
    </row>
    <row r="1015" spans="1:15" s="2" customFormat="1" x14ac:dyDescent="0.5">
      <c r="A1015" s="6">
        <v>41829</v>
      </c>
      <c r="B1015" s="1">
        <v>221.270004</v>
      </c>
      <c r="C1015" s="1">
        <v>224.220001</v>
      </c>
      <c r="D1015" s="1">
        <v>219.21000699999999</v>
      </c>
      <c r="E1015" s="1">
        <v>223.05999800000001</v>
      </c>
      <c r="F1015" s="1">
        <v>223.05999800000001</v>
      </c>
      <c r="G1015" s="2">
        <v>4115400</v>
      </c>
      <c r="H1015" s="2">
        <f t="shared" si="120"/>
        <v>2014</v>
      </c>
      <c r="I1015" s="2">
        <f t="shared" si="121"/>
        <v>7</v>
      </c>
      <c r="J1015" s="2">
        <f t="shared" si="122"/>
        <v>9</v>
      </c>
      <c r="K1015" s="2">
        <f t="shared" si="123"/>
        <v>4</v>
      </c>
      <c r="L1015" s="2">
        <f t="shared" si="124"/>
        <v>8</v>
      </c>
      <c r="M1015" s="3">
        <f t="shared" si="125"/>
        <v>219.070007</v>
      </c>
      <c r="N1015" s="1">
        <f t="shared" ca="1" si="126"/>
        <v>219.070007</v>
      </c>
      <c r="O1015" s="5">
        <f t="shared" si="127"/>
        <v>1.8213314796671431E-2</v>
      </c>
    </row>
    <row r="1016" spans="1:15" s="2" customFormat="1" x14ac:dyDescent="0.5">
      <c r="A1016" s="6">
        <v>41830</v>
      </c>
      <c r="B1016" s="1">
        <v>217.179993</v>
      </c>
      <c r="C1016" s="1">
        <v>222.220001</v>
      </c>
      <c r="D1016" s="1">
        <v>216.03999300000001</v>
      </c>
      <c r="E1016" s="1">
        <v>219.46000699999999</v>
      </c>
      <c r="F1016" s="1">
        <v>219.46000699999999</v>
      </c>
      <c r="G1016" s="2">
        <v>4863900</v>
      </c>
      <c r="H1016" s="2">
        <f t="shared" si="120"/>
        <v>2014</v>
      </c>
      <c r="I1016" s="2">
        <f t="shared" si="121"/>
        <v>7</v>
      </c>
      <c r="J1016" s="2">
        <f t="shared" si="122"/>
        <v>10</v>
      </c>
      <c r="K1016" s="2">
        <f t="shared" si="123"/>
        <v>5</v>
      </c>
      <c r="L1016" s="2">
        <f t="shared" si="124"/>
        <v>8</v>
      </c>
      <c r="M1016" s="3">
        <f t="shared" si="125"/>
        <v>223.05999800000001</v>
      </c>
      <c r="N1016" s="1">
        <f t="shared" ca="1" si="126"/>
        <v>223.05999800000001</v>
      </c>
      <c r="O1016" s="5">
        <f t="shared" si="127"/>
        <v>-1.6139115181019625E-2</v>
      </c>
    </row>
    <row r="1017" spans="1:15" s="2" customFormat="1" x14ac:dyDescent="0.5">
      <c r="A1017" s="6">
        <v>41831</v>
      </c>
      <c r="B1017" s="1">
        <v>220.61000100000001</v>
      </c>
      <c r="C1017" s="1">
        <v>221.60000600000001</v>
      </c>
      <c r="D1017" s="1">
        <v>217.60000600000001</v>
      </c>
      <c r="E1017" s="1">
        <v>218.13000500000001</v>
      </c>
      <c r="F1017" s="1">
        <v>218.13000500000001</v>
      </c>
      <c r="G1017" s="2">
        <v>3302300</v>
      </c>
      <c r="H1017" s="2">
        <f t="shared" si="120"/>
        <v>2014</v>
      </c>
      <c r="I1017" s="2">
        <f t="shared" si="121"/>
        <v>7</v>
      </c>
      <c r="J1017" s="2">
        <f t="shared" si="122"/>
        <v>11</v>
      </c>
      <c r="K1017" s="2">
        <f t="shared" si="123"/>
        <v>6</v>
      </c>
      <c r="L1017" s="2">
        <f t="shared" si="124"/>
        <v>8</v>
      </c>
      <c r="M1017" s="3">
        <f t="shared" si="125"/>
        <v>219.46000699999999</v>
      </c>
      <c r="N1017" s="1">
        <f t="shared" ca="1" si="126"/>
        <v>219.46000699999999</v>
      </c>
      <c r="O1017" s="5">
        <f t="shared" si="127"/>
        <v>-6.0603388206398323E-3</v>
      </c>
    </row>
    <row r="1018" spans="1:15" s="2" customFormat="1" x14ac:dyDescent="0.5">
      <c r="A1018" s="6">
        <v>41834</v>
      </c>
      <c r="B1018" s="1">
        <v>219.990005</v>
      </c>
      <c r="C1018" s="1">
        <v>228.78999300000001</v>
      </c>
      <c r="D1018" s="1">
        <v>215.449997</v>
      </c>
      <c r="E1018" s="1">
        <v>226.699997</v>
      </c>
      <c r="F1018" s="1">
        <v>226.699997</v>
      </c>
      <c r="G1018" s="2">
        <v>7203200</v>
      </c>
      <c r="H1018" s="2">
        <f t="shared" si="120"/>
        <v>2014</v>
      </c>
      <c r="I1018" s="2">
        <f t="shared" si="121"/>
        <v>7</v>
      </c>
      <c r="J1018" s="2">
        <f t="shared" si="122"/>
        <v>14</v>
      </c>
      <c r="K1018" s="2">
        <f t="shared" si="123"/>
        <v>2</v>
      </c>
      <c r="L1018" s="2">
        <f t="shared" si="124"/>
        <v>8</v>
      </c>
      <c r="M1018" s="3">
        <f t="shared" si="125"/>
        <v>218.13000500000001</v>
      </c>
      <c r="N1018" s="1">
        <f t="shared" ca="1" si="126"/>
        <v>218.13000500000001</v>
      </c>
      <c r="O1018" s="5">
        <f t="shared" si="127"/>
        <v>3.928846010891518E-2</v>
      </c>
    </row>
    <row r="1019" spans="1:15" s="2" customFormat="1" x14ac:dyDescent="0.5">
      <c r="A1019" s="6">
        <v>41835</v>
      </c>
      <c r="B1019" s="1">
        <v>226.729996</v>
      </c>
      <c r="C1019" s="1">
        <v>227.64999399999999</v>
      </c>
      <c r="D1019" s="1">
        <v>218.10000600000001</v>
      </c>
      <c r="E1019" s="1">
        <v>219.58000200000001</v>
      </c>
      <c r="F1019" s="1">
        <v>219.58000200000001</v>
      </c>
      <c r="G1019" s="2">
        <v>5718500</v>
      </c>
      <c r="H1019" s="2">
        <f t="shared" si="120"/>
        <v>2014</v>
      </c>
      <c r="I1019" s="2">
        <f t="shared" si="121"/>
        <v>7</v>
      </c>
      <c r="J1019" s="2">
        <f t="shared" si="122"/>
        <v>15</v>
      </c>
      <c r="K1019" s="2">
        <f t="shared" si="123"/>
        <v>3</v>
      </c>
      <c r="L1019" s="2">
        <f t="shared" si="124"/>
        <v>8</v>
      </c>
      <c r="M1019" s="3">
        <f t="shared" si="125"/>
        <v>226.699997</v>
      </c>
      <c r="N1019" s="1">
        <f t="shared" ca="1" si="126"/>
        <v>226.699997</v>
      </c>
      <c r="O1019" s="5">
        <f t="shared" si="127"/>
        <v>-3.1407124367981321E-2</v>
      </c>
    </row>
    <row r="1020" spans="1:15" s="2" customFormat="1" x14ac:dyDescent="0.5">
      <c r="A1020" s="6">
        <v>41836</v>
      </c>
      <c r="B1020" s="1">
        <v>221.820007</v>
      </c>
      <c r="C1020" s="1">
        <v>224.800003</v>
      </c>
      <c r="D1020" s="1">
        <v>216.820007</v>
      </c>
      <c r="E1020" s="1">
        <v>217.16000399999999</v>
      </c>
      <c r="F1020" s="1">
        <v>217.16000399999999</v>
      </c>
      <c r="G1020" s="2">
        <v>4044500</v>
      </c>
      <c r="H1020" s="2">
        <f t="shared" si="120"/>
        <v>2014</v>
      </c>
      <c r="I1020" s="2">
        <f t="shared" si="121"/>
        <v>7</v>
      </c>
      <c r="J1020" s="2">
        <f t="shared" si="122"/>
        <v>16</v>
      </c>
      <c r="K1020" s="2">
        <f t="shared" si="123"/>
        <v>4</v>
      </c>
      <c r="L1020" s="2">
        <f t="shared" si="124"/>
        <v>8</v>
      </c>
      <c r="M1020" s="3">
        <f t="shared" si="125"/>
        <v>219.58000200000001</v>
      </c>
      <c r="N1020" s="1">
        <f t="shared" ca="1" si="126"/>
        <v>219.58000200000001</v>
      </c>
      <c r="O1020" s="5">
        <f t="shared" si="127"/>
        <v>-1.102103095891227E-2</v>
      </c>
    </row>
    <row r="1021" spans="1:15" s="2" customFormat="1" x14ac:dyDescent="0.5">
      <c r="A1021" s="6">
        <v>41837</v>
      </c>
      <c r="B1021" s="1">
        <v>216.16000399999999</v>
      </c>
      <c r="C1021" s="1">
        <v>220.550003</v>
      </c>
      <c r="D1021" s="1">
        <v>213.60000600000001</v>
      </c>
      <c r="E1021" s="1">
        <v>215.39999399999999</v>
      </c>
      <c r="F1021" s="1">
        <v>215.39999399999999</v>
      </c>
      <c r="G1021" s="2">
        <v>4649400</v>
      </c>
      <c r="H1021" s="2">
        <f t="shared" si="120"/>
        <v>2014</v>
      </c>
      <c r="I1021" s="2">
        <f t="shared" si="121"/>
        <v>7</v>
      </c>
      <c r="J1021" s="2">
        <f t="shared" si="122"/>
        <v>17</v>
      </c>
      <c r="K1021" s="2">
        <f t="shared" si="123"/>
        <v>5</v>
      </c>
      <c r="L1021" s="2">
        <f t="shared" si="124"/>
        <v>8</v>
      </c>
      <c r="M1021" s="3">
        <f t="shared" si="125"/>
        <v>217.16000399999999</v>
      </c>
      <c r="N1021" s="1">
        <f t="shared" ca="1" si="126"/>
        <v>217.16000399999999</v>
      </c>
      <c r="O1021" s="5">
        <f t="shared" si="127"/>
        <v>-8.1046692189229441E-3</v>
      </c>
    </row>
    <row r="1022" spans="1:15" s="2" customFormat="1" x14ac:dyDescent="0.5">
      <c r="A1022" s="6">
        <v>41838</v>
      </c>
      <c r="B1022" s="1">
        <v>215.949997</v>
      </c>
      <c r="C1022" s="1">
        <v>221.21000699999999</v>
      </c>
      <c r="D1022" s="1">
        <v>215.929993</v>
      </c>
      <c r="E1022" s="1">
        <v>220.020004</v>
      </c>
      <c r="F1022" s="1">
        <v>220.020004</v>
      </c>
      <c r="G1022" s="2">
        <v>4253700</v>
      </c>
      <c r="H1022" s="2">
        <f t="shared" si="120"/>
        <v>2014</v>
      </c>
      <c r="I1022" s="2">
        <f t="shared" si="121"/>
        <v>7</v>
      </c>
      <c r="J1022" s="2">
        <f t="shared" si="122"/>
        <v>18</v>
      </c>
      <c r="K1022" s="2">
        <f t="shared" si="123"/>
        <v>6</v>
      </c>
      <c r="L1022" s="2">
        <f t="shared" si="124"/>
        <v>8</v>
      </c>
      <c r="M1022" s="3">
        <f t="shared" si="125"/>
        <v>215.39999399999999</v>
      </c>
      <c r="N1022" s="1">
        <f t="shared" ca="1" si="126"/>
        <v>215.39999399999999</v>
      </c>
      <c r="O1022" s="5">
        <f t="shared" si="127"/>
        <v>2.1448514989280909E-2</v>
      </c>
    </row>
    <row r="1023" spans="1:15" s="2" customFormat="1" x14ac:dyDescent="0.5">
      <c r="A1023" s="6">
        <v>41841</v>
      </c>
      <c r="B1023" s="1">
        <v>217.25</v>
      </c>
      <c r="C1023" s="1">
        <v>223.21000699999999</v>
      </c>
      <c r="D1023" s="1">
        <v>216.720001</v>
      </c>
      <c r="E1023" s="1">
        <v>220.53999300000001</v>
      </c>
      <c r="F1023" s="1">
        <v>220.53999300000001</v>
      </c>
      <c r="G1023" s="2">
        <v>3822200</v>
      </c>
      <c r="H1023" s="2">
        <f t="shared" si="120"/>
        <v>2014</v>
      </c>
      <c r="I1023" s="2">
        <f t="shared" si="121"/>
        <v>7</v>
      </c>
      <c r="J1023" s="2">
        <f t="shared" si="122"/>
        <v>21</v>
      </c>
      <c r="K1023" s="2">
        <f t="shared" si="123"/>
        <v>2</v>
      </c>
      <c r="L1023" s="2">
        <f t="shared" si="124"/>
        <v>8</v>
      </c>
      <c r="M1023" s="3">
        <f t="shared" si="125"/>
        <v>220.020004</v>
      </c>
      <c r="N1023" s="1">
        <f t="shared" ca="1" si="126"/>
        <v>220.020004</v>
      </c>
      <c r="O1023" s="5">
        <f t="shared" si="127"/>
        <v>2.3633714687143481E-3</v>
      </c>
    </row>
    <row r="1024" spans="1:15" s="2" customFormat="1" x14ac:dyDescent="0.5">
      <c r="A1024" s="6">
        <v>41842</v>
      </c>
      <c r="B1024" s="1">
        <v>222.19000199999999</v>
      </c>
      <c r="C1024" s="1">
        <v>223.300003</v>
      </c>
      <c r="D1024" s="1">
        <v>219.11000100000001</v>
      </c>
      <c r="E1024" s="1">
        <v>219.58000200000001</v>
      </c>
      <c r="F1024" s="1">
        <v>219.58000200000001</v>
      </c>
      <c r="G1024" s="2">
        <v>2730000</v>
      </c>
      <c r="H1024" s="2">
        <f t="shared" si="120"/>
        <v>2014</v>
      </c>
      <c r="I1024" s="2">
        <f t="shared" si="121"/>
        <v>7</v>
      </c>
      <c r="J1024" s="2">
        <f t="shared" si="122"/>
        <v>22</v>
      </c>
      <c r="K1024" s="2">
        <f t="shared" si="123"/>
        <v>3</v>
      </c>
      <c r="L1024" s="2">
        <f t="shared" si="124"/>
        <v>8</v>
      </c>
      <c r="M1024" s="3">
        <f t="shared" si="125"/>
        <v>220.53999300000001</v>
      </c>
      <c r="N1024" s="1">
        <f t="shared" ca="1" si="126"/>
        <v>220.53999300000001</v>
      </c>
      <c r="O1024" s="5">
        <f t="shared" si="127"/>
        <v>-4.3529111747092619E-3</v>
      </c>
    </row>
    <row r="1025" spans="1:15" s="2" customFormat="1" x14ac:dyDescent="0.5">
      <c r="A1025" s="6">
        <v>41843</v>
      </c>
      <c r="B1025" s="1">
        <v>220.009995</v>
      </c>
      <c r="C1025" s="1">
        <v>224.75</v>
      </c>
      <c r="D1025" s="1">
        <v>219.429993</v>
      </c>
      <c r="E1025" s="1">
        <v>222.490005</v>
      </c>
      <c r="F1025" s="1">
        <v>222.490005</v>
      </c>
      <c r="G1025" s="2">
        <v>3083300</v>
      </c>
      <c r="H1025" s="2">
        <f t="shared" si="120"/>
        <v>2014</v>
      </c>
      <c r="I1025" s="2">
        <f t="shared" si="121"/>
        <v>7</v>
      </c>
      <c r="J1025" s="2">
        <f t="shared" si="122"/>
        <v>23</v>
      </c>
      <c r="K1025" s="2">
        <f t="shared" si="123"/>
        <v>4</v>
      </c>
      <c r="L1025" s="2">
        <f t="shared" si="124"/>
        <v>8</v>
      </c>
      <c r="M1025" s="3">
        <f t="shared" si="125"/>
        <v>219.58000200000001</v>
      </c>
      <c r="N1025" s="1">
        <f t="shared" ca="1" si="126"/>
        <v>219.58000200000001</v>
      </c>
      <c r="O1025" s="5">
        <f t="shared" si="127"/>
        <v>1.3252586635826624E-2</v>
      </c>
    </row>
    <row r="1026" spans="1:15" s="2" customFormat="1" x14ac:dyDescent="0.5">
      <c r="A1026" s="6">
        <v>41844</v>
      </c>
      <c r="B1026" s="1">
        <v>223.25</v>
      </c>
      <c r="C1026" s="1">
        <v>225.10000600000001</v>
      </c>
      <c r="D1026" s="1">
        <v>220.800003</v>
      </c>
      <c r="E1026" s="1">
        <v>223.53999300000001</v>
      </c>
      <c r="F1026" s="1">
        <v>223.53999300000001</v>
      </c>
      <c r="G1026" s="2">
        <v>3245500</v>
      </c>
      <c r="H1026" s="2">
        <f t="shared" ref="H1026:H1089" si="128">YEAR(A1026)</f>
        <v>2014</v>
      </c>
      <c r="I1026" s="2">
        <f t="shared" ref="I1026:I1089" si="129">MONTH(A1026)</f>
        <v>7</v>
      </c>
      <c r="J1026" s="2">
        <f t="shared" ref="J1026:J1089" si="130">DAY(A1026)</f>
        <v>24</v>
      </c>
      <c r="K1026" s="2">
        <f t="shared" ref="K1026:K1089" si="131">WEEKDAY(A1026)</f>
        <v>5</v>
      </c>
      <c r="L1026" s="2">
        <f t="shared" si="124"/>
        <v>8</v>
      </c>
      <c r="M1026" s="3">
        <f t="shared" si="125"/>
        <v>222.490005</v>
      </c>
      <c r="N1026" s="1">
        <f t="shared" ca="1" si="126"/>
        <v>222.490005</v>
      </c>
      <c r="O1026" s="5">
        <f t="shared" si="127"/>
        <v>4.7192591864970712E-3</v>
      </c>
    </row>
    <row r="1027" spans="1:15" s="2" customFormat="1" x14ac:dyDescent="0.5">
      <c r="A1027" s="6">
        <v>41845</v>
      </c>
      <c r="B1027" s="1">
        <v>222.720001</v>
      </c>
      <c r="C1027" s="1">
        <v>226.970001</v>
      </c>
      <c r="D1027" s="1">
        <v>221.75</v>
      </c>
      <c r="E1027" s="1">
        <v>223.570007</v>
      </c>
      <c r="F1027" s="1">
        <v>223.570007</v>
      </c>
      <c r="G1027" s="2">
        <v>3087100</v>
      </c>
      <c r="H1027" s="2">
        <f t="shared" si="128"/>
        <v>2014</v>
      </c>
      <c r="I1027" s="2">
        <f t="shared" si="129"/>
        <v>7</v>
      </c>
      <c r="J1027" s="2">
        <f t="shared" si="130"/>
        <v>25</v>
      </c>
      <c r="K1027" s="2">
        <f t="shared" si="131"/>
        <v>6</v>
      </c>
      <c r="L1027" s="2">
        <f t="shared" ref="L1027:L1090" si="132">I1027+1</f>
        <v>8</v>
      </c>
      <c r="M1027" s="3">
        <f t="shared" ref="M1027:M1090" si="133">F1026</f>
        <v>223.53999300000001</v>
      </c>
      <c r="N1027" s="1">
        <f t="shared" ref="N1027:N1090" ca="1" si="134">OFFSET(F1027, -1, 0)</f>
        <v>223.53999300000001</v>
      </c>
      <c r="O1027" s="5">
        <f t="shared" ref="O1027:O1090" si="135">(F1027/M1027)-1</f>
        <v>1.3426680209294162E-4</v>
      </c>
    </row>
    <row r="1028" spans="1:15" s="2" customFormat="1" x14ac:dyDescent="0.5">
      <c r="A1028" s="6">
        <v>41848</v>
      </c>
      <c r="B1028" s="1">
        <v>224.25</v>
      </c>
      <c r="C1028" s="1">
        <v>232</v>
      </c>
      <c r="D1028" s="1">
        <v>221.39999399999999</v>
      </c>
      <c r="E1028" s="1">
        <v>224.820007</v>
      </c>
      <c r="F1028" s="1">
        <v>224.820007</v>
      </c>
      <c r="G1028" s="2">
        <v>6514300</v>
      </c>
      <c r="H1028" s="2">
        <f t="shared" si="128"/>
        <v>2014</v>
      </c>
      <c r="I1028" s="2">
        <f t="shared" si="129"/>
        <v>7</v>
      </c>
      <c r="J1028" s="2">
        <f t="shared" si="130"/>
        <v>28</v>
      </c>
      <c r="K1028" s="2">
        <f t="shared" si="131"/>
        <v>2</v>
      </c>
      <c r="L1028" s="2">
        <f t="shared" si="132"/>
        <v>8</v>
      </c>
      <c r="M1028" s="3">
        <f t="shared" si="133"/>
        <v>223.570007</v>
      </c>
      <c r="N1028" s="1">
        <f t="shared" ca="1" si="134"/>
        <v>223.570007</v>
      </c>
      <c r="O1028" s="5">
        <f t="shared" si="135"/>
        <v>5.5910898638564799E-3</v>
      </c>
    </row>
    <row r="1029" spans="1:15" s="2" customFormat="1" x14ac:dyDescent="0.5">
      <c r="A1029" s="6">
        <v>41849</v>
      </c>
      <c r="B1029" s="1">
        <v>226.61000100000001</v>
      </c>
      <c r="C1029" s="1">
        <v>228.300003</v>
      </c>
      <c r="D1029" s="1">
        <v>224.86000100000001</v>
      </c>
      <c r="E1029" s="1">
        <v>225.009995</v>
      </c>
      <c r="F1029" s="1">
        <v>225.009995</v>
      </c>
      <c r="G1029" s="2">
        <v>3382400</v>
      </c>
      <c r="H1029" s="2">
        <f t="shared" si="128"/>
        <v>2014</v>
      </c>
      <c r="I1029" s="2">
        <f t="shared" si="129"/>
        <v>7</v>
      </c>
      <c r="J1029" s="2">
        <f t="shared" si="130"/>
        <v>29</v>
      </c>
      <c r="K1029" s="2">
        <f t="shared" si="131"/>
        <v>3</v>
      </c>
      <c r="L1029" s="2">
        <f t="shared" si="132"/>
        <v>8</v>
      </c>
      <c r="M1029" s="3">
        <f t="shared" si="133"/>
        <v>224.820007</v>
      </c>
      <c r="N1029" s="1">
        <f t="shared" ca="1" si="134"/>
        <v>224.820007</v>
      </c>
      <c r="O1029" s="5">
        <f t="shared" si="135"/>
        <v>8.4506713853094162E-4</v>
      </c>
    </row>
    <row r="1030" spans="1:15" s="2" customFormat="1" x14ac:dyDescent="0.5">
      <c r="A1030" s="6">
        <v>41850</v>
      </c>
      <c r="B1030" s="1">
        <v>221.91999799999999</v>
      </c>
      <c r="C1030" s="1">
        <v>229.60000600000001</v>
      </c>
      <c r="D1030" s="1">
        <v>221.03999300000001</v>
      </c>
      <c r="E1030" s="1">
        <v>228.91999799999999</v>
      </c>
      <c r="F1030" s="1">
        <v>228.91999799999999</v>
      </c>
      <c r="G1030" s="2">
        <v>4927800</v>
      </c>
      <c r="H1030" s="2">
        <f t="shared" si="128"/>
        <v>2014</v>
      </c>
      <c r="I1030" s="2">
        <f t="shared" si="129"/>
        <v>7</v>
      </c>
      <c r="J1030" s="2">
        <f t="shared" si="130"/>
        <v>30</v>
      </c>
      <c r="K1030" s="2">
        <f t="shared" si="131"/>
        <v>4</v>
      </c>
      <c r="L1030" s="2">
        <f t="shared" si="132"/>
        <v>8</v>
      </c>
      <c r="M1030" s="3">
        <f t="shared" si="133"/>
        <v>225.009995</v>
      </c>
      <c r="N1030" s="1">
        <f t="shared" ca="1" si="134"/>
        <v>225.009995</v>
      </c>
      <c r="O1030" s="5">
        <f t="shared" si="135"/>
        <v>1.7377019185303322E-2</v>
      </c>
    </row>
    <row r="1031" spans="1:15" s="2" customFormat="1" x14ac:dyDescent="0.5">
      <c r="A1031" s="6">
        <v>41851</v>
      </c>
      <c r="B1031" s="1">
        <v>229.259995</v>
      </c>
      <c r="C1031" s="1">
        <v>231.39999399999999</v>
      </c>
      <c r="D1031" s="1">
        <v>221.5</v>
      </c>
      <c r="E1031" s="1">
        <v>223.300003</v>
      </c>
      <c r="F1031" s="1">
        <v>223.300003</v>
      </c>
      <c r="G1031" s="2">
        <v>7749100</v>
      </c>
      <c r="H1031" s="2">
        <f t="shared" si="128"/>
        <v>2014</v>
      </c>
      <c r="I1031" s="2">
        <f t="shared" si="129"/>
        <v>7</v>
      </c>
      <c r="J1031" s="2">
        <f t="shared" si="130"/>
        <v>31</v>
      </c>
      <c r="K1031" s="2">
        <f t="shared" si="131"/>
        <v>5</v>
      </c>
      <c r="L1031" s="2">
        <f t="shared" si="132"/>
        <v>8</v>
      </c>
      <c r="M1031" s="3">
        <f t="shared" si="133"/>
        <v>228.91999799999999</v>
      </c>
      <c r="N1031" s="1">
        <f t="shared" ca="1" si="134"/>
        <v>228.91999799999999</v>
      </c>
      <c r="O1031" s="5">
        <f t="shared" si="135"/>
        <v>-2.4550039529530276E-2</v>
      </c>
    </row>
    <row r="1032" spans="1:15" s="2" customFormat="1" x14ac:dyDescent="0.5">
      <c r="A1032" s="6">
        <v>41852</v>
      </c>
      <c r="B1032" s="1">
        <v>226.08999600000001</v>
      </c>
      <c r="C1032" s="1">
        <v>237.5</v>
      </c>
      <c r="D1032" s="1">
        <v>226</v>
      </c>
      <c r="E1032" s="1">
        <v>233.270004</v>
      </c>
      <c r="F1032" s="1">
        <v>233.270004</v>
      </c>
      <c r="G1032" s="2">
        <v>11895800</v>
      </c>
      <c r="H1032" s="2">
        <f t="shared" si="128"/>
        <v>2014</v>
      </c>
      <c r="I1032" s="2">
        <f t="shared" si="129"/>
        <v>8</v>
      </c>
      <c r="J1032" s="2">
        <f t="shared" si="130"/>
        <v>1</v>
      </c>
      <c r="K1032" s="2">
        <f t="shared" si="131"/>
        <v>6</v>
      </c>
      <c r="L1032" s="2">
        <f t="shared" si="132"/>
        <v>9</v>
      </c>
      <c r="M1032" s="3">
        <f t="shared" si="133"/>
        <v>223.300003</v>
      </c>
      <c r="N1032" s="1">
        <f t="shared" ca="1" si="134"/>
        <v>223.300003</v>
      </c>
      <c r="O1032" s="5">
        <f t="shared" si="135"/>
        <v>4.4648458871717978E-2</v>
      </c>
    </row>
    <row r="1033" spans="1:15" s="2" customFormat="1" x14ac:dyDescent="0.5">
      <c r="A1033" s="6">
        <v>41855</v>
      </c>
      <c r="B1033" s="1">
        <v>234.38000500000001</v>
      </c>
      <c r="C1033" s="1">
        <v>240.5</v>
      </c>
      <c r="D1033" s="1">
        <v>233.270004</v>
      </c>
      <c r="E1033" s="1">
        <v>238.520004</v>
      </c>
      <c r="F1033" s="1">
        <v>238.520004</v>
      </c>
      <c r="G1033" s="2">
        <v>5959700</v>
      </c>
      <c r="H1033" s="2">
        <f t="shared" si="128"/>
        <v>2014</v>
      </c>
      <c r="I1033" s="2">
        <f t="shared" si="129"/>
        <v>8</v>
      </c>
      <c r="J1033" s="2">
        <f t="shared" si="130"/>
        <v>4</v>
      </c>
      <c r="K1033" s="2">
        <f t="shared" si="131"/>
        <v>2</v>
      </c>
      <c r="L1033" s="2">
        <f t="shared" si="132"/>
        <v>9</v>
      </c>
      <c r="M1033" s="3">
        <f t="shared" si="133"/>
        <v>233.270004</v>
      </c>
      <c r="N1033" s="1">
        <f t="shared" ca="1" si="134"/>
        <v>233.270004</v>
      </c>
      <c r="O1033" s="5">
        <f t="shared" si="135"/>
        <v>2.2506108415036419E-2</v>
      </c>
    </row>
    <row r="1034" spans="1:15" s="2" customFormat="1" x14ac:dyDescent="0.5">
      <c r="A1034" s="6">
        <v>41856</v>
      </c>
      <c r="B1034" s="1">
        <v>237.470001</v>
      </c>
      <c r="C1034" s="1">
        <v>242.990005</v>
      </c>
      <c r="D1034" s="1">
        <v>235.69000199999999</v>
      </c>
      <c r="E1034" s="1">
        <v>238.490005</v>
      </c>
      <c r="F1034" s="1">
        <v>238.490005</v>
      </c>
      <c r="G1034" s="2">
        <v>5388600</v>
      </c>
      <c r="H1034" s="2">
        <f t="shared" si="128"/>
        <v>2014</v>
      </c>
      <c r="I1034" s="2">
        <f t="shared" si="129"/>
        <v>8</v>
      </c>
      <c r="J1034" s="2">
        <f t="shared" si="130"/>
        <v>5</v>
      </c>
      <c r="K1034" s="2">
        <f t="shared" si="131"/>
        <v>3</v>
      </c>
      <c r="L1034" s="2">
        <f t="shared" si="132"/>
        <v>9</v>
      </c>
      <c r="M1034" s="3">
        <f t="shared" si="133"/>
        <v>238.520004</v>
      </c>
      <c r="N1034" s="1">
        <f t="shared" ca="1" si="134"/>
        <v>238.520004</v>
      </c>
      <c r="O1034" s="5">
        <f t="shared" si="135"/>
        <v>-1.2577142167080613E-4</v>
      </c>
    </row>
    <row r="1035" spans="1:15" s="2" customFormat="1" x14ac:dyDescent="0.5">
      <c r="A1035" s="6">
        <v>41857</v>
      </c>
      <c r="B1035" s="1">
        <v>238.89999399999999</v>
      </c>
      <c r="C1035" s="1">
        <v>251.41999799999999</v>
      </c>
      <c r="D1035" s="1">
        <v>238.58000200000001</v>
      </c>
      <c r="E1035" s="1">
        <v>248.929993</v>
      </c>
      <c r="F1035" s="1">
        <v>248.929993</v>
      </c>
      <c r="G1035" s="2">
        <v>9249300</v>
      </c>
      <c r="H1035" s="2">
        <f t="shared" si="128"/>
        <v>2014</v>
      </c>
      <c r="I1035" s="2">
        <f t="shared" si="129"/>
        <v>8</v>
      </c>
      <c r="J1035" s="2">
        <f t="shared" si="130"/>
        <v>6</v>
      </c>
      <c r="K1035" s="2">
        <f t="shared" si="131"/>
        <v>4</v>
      </c>
      <c r="L1035" s="2">
        <f t="shared" si="132"/>
        <v>9</v>
      </c>
      <c r="M1035" s="3">
        <f t="shared" si="133"/>
        <v>238.490005</v>
      </c>
      <c r="N1035" s="1">
        <f t="shared" ca="1" si="134"/>
        <v>238.490005</v>
      </c>
      <c r="O1035" s="5">
        <f t="shared" si="135"/>
        <v>4.3775369118718377E-2</v>
      </c>
    </row>
    <row r="1036" spans="1:15" s="2" customFormat="1" x14ac:dyDescent="0.5">
      <c r="A1036" s="6">
        <v>41858</v>
      </c>
      <c r="B1036" s="1">
        <v>250.11999499999999</v>
      </c>
      <c r="C1036" s="1">
        <v>256.69000199999999</v>
      </c>
      <c r="D1036" s="1">
        <v>249.11999499999999</v>
      </c>
      <c r="E1036" s="1">
        <v>252.38999899999999</v>
      </c>
      <c r="F1036" s="1">
        <v>252.38999899999999</v>
      </c>
      <c r="G1036" s="2">
        <v>7478900</v>
      </c>
      <c r="H1036" s="2">
        <f t="shared" si="128"/>
        <v>2014</v>
      </c>
      <c r="I1036" s="2">
        <f t="shared" si="129"/>
        <v>8</v>
      </c>
      <c r="J1036" s="2">
        <f t="shared" si="130"/>
        <v>7</v>
      </c>
      <c r="K1036" s="2">
        <f t="shared" si="131"/>
        <v>5</v>
      </c>
      <c r="L1036" s="2">
        <f t="shared" si="132"/>
        <v>9</v>
      </c>
      <c r="M1036" s="3">
        <f t="shared" si="133"/>
        <v>248.929993</v>
      </c>
      <c r="N1036" s="1">
        <f t="shared" ca="1" si="134"/>
        <v>248.929993</v>
      </c>
      <c r="O1036" s="5">
        <f t="shared" si="135"/>
        <v>1.3899514310435013E-2</v>
      </c>
    </row>
    <row r="1037" spans="1:15" s="2" customFormat="1" x14ac:dyDescent="0.5">
      <c r="A1037" s="6">
        <v>41859</v>
      </c>
      <c r="B1037" s="1">
        <v>251.16000399999999</v>
      </c>
      <c r="C1037" s="1">
        <v>251.759995</v>
      </c>
      <c r="D1037" s="1">
        <v>246.5</v>
      </c>
      <c r="E1037" s="1">
        <v>248.13000500000001</v>
      </c>
      <c r="F1037" s="1">
        <v>248.13000500000001</v>
      </c>
      <c r="G1037" s="2">
        <v>5090100</v>
      </c>
      <c r="H1037" s="2">
        <f t="shared" si="128"/>
        <v>2014</v>
      </c>
      <c r="I1037" s="2">
        <f t="shared" si="129"/>
        <v>8</v>
      </c>
      <c r="J1037" s="2">
        <f t="shared" si="130"/>
        <v>8</v>
      </c>
      <c r="K1037" s="2">
        <f t="shared" si="131"/>
        <v>6</v>
      </c>
      <c r="L1037" s="2">
        <f t="shared" si="132"/>
        <v>9</v>
      </c>
      <c r="M1037" s="3">
        <f t="shared" si="133"/>
        <v>252.38999899999999</v>
      </c>
      <c r="N1037" s="1">
        <f t="shared" ca="1" si="134"/>
        <v>252.38999899999999</v>
      </c>
      <c r="O1037" s="5">
        <f t="shared" si="135"/>
        <v>-1.6878616493833376E-2</v>
      </c>
    </row>
    <row r="1038" spans="1:15" s="2" customFormat="1" x14ac:dyDescent="0.5">
      <c r="A1038" s="6">
        <v>41862</v>
      </c>
      <c r="B1038" s="1">
        <v>255.479996</v>
      </c>
      <c r="C1038" s="1">
        <v>263.73998999999998</v>
      </c>
      <c r="D1038" s="1">
        <v>255</v>
      </c>
      <c r="E1038" s="1">
        <v>259.32000699999998</v>
      </c>
      <c r="F1038" s="1">
        <v>259.32000699999998</v>
      </c>
      <c r="G1038" s="2">
        <v>8101300</v>
      </c>
      <c r="H1038" s="2">
        <f t="shared" si="128"/>
        <v>2014</v>
      </c>
      <c r="I1038" s="2">
        <f t="shared" si="129"/>
        <v>8</v>
      </c>
      <c r="J1038" s="2">
        <f t="shared" si="130"/>
        <v>11</v>
      </c>
      <c r="K1038" s="2">
        <f t="shared" si="131"/>
        <v>2</v>
      </c>
      <c r="L1038" s="2">
        <f t="shared" si="132"/>
        <v>9</v>
      </c>
      <c r="M1038" s="3">
        <f t="shared" si="133"/>
        <v>248.13000500000001</v>
      </c>
      <c r="N1038" s="1">
        <f t="shared" ca="1" si="134"/>
        <v>248.13000500000001</v>
      </c>
      <c r="O1038" s="5">
        <f t="shared" si="135"/>
        <v>4.509733516508807E-2</v>
      </c>
    </row>
    <row r="1039" spans="1:15" s="2" customFormat="1" x14ac:dyDescent="0.5">
      <c r="A1039" s="6">
        <v>41863</v>
      </c>
      <c r="B1039" s="1">
        <v>258.07998700000002</v>
      </c>
      <c r="C1039" s="1">
        <v>260.29998799999998</v>
      </c>
      <c r="D1039" s="1">
        <v>254.58000200000001</v>
      </c>
      <c r="E1039" s="1">
        <v>259.959991</v>
      </c>
      <c r="F1039" s="1">
        <v>259.959991</v>
      </c>
      <c r="G1039" s="2">
        <v>6382300</v>
      </c>
      <c r="H1039" s="2">
        <f t="shared" si="128"/>
        <v>2014</v>
      </c>
      <c r="I1039" s="2">
        <f t="shared" si="129"/>
        <v>8</v>
      </c>
      <c r="J1039" s="2">
        <f t="shared" si="130"/>
        <v>12</v>
      </c>
      <c r="K1039" s="2">
        <f t="shared" si="131"/>
        <v>3</v>
      </c>
      <c r="L1039" s="2">
        <f t="shared" si="132"/>
        <v>9</v>
      </c>
      <c r="M1039" s="3">
        <f t="shared" si="133"/>
        <v>259.32000699999998</v>
      </c>
      <c r="N1039" s="1">
        <f t="shared" ca="1" si="134"/>
        <v>259.32000699999998</v>
      </c>
      <c r="O1039" s="5">
        <f t="shared" si="135"/>
        <v>2.467931446569871E-3</v>
      </c>
    </row>
    <row r="1040" spans="1:15" s="2" customFormat="1" x14ac:dyDescent="0.5">
      <c r="A1040" s="6">
        <v>41864</v>
      </c>
      <c r="B1040" s="1">
        <v>262.01001000000002</v>
      </c>
      <c r="C1040" s="1">
        <v>265.64001500000001</v>
      </c>
      <c r="D1040" s="1">
        <v>259.60998499999999</v>
      </c>
      <c r="E1040" s="1">
        <v>260.30999800000001</v>
      </c>
      <c r="F1040" s="1">
        <v>260.30999800000001</v>
      </c>
      <c r="G1040" s="2">
        <v>6932600</v>
      </c>
      <c r="H1040" s="2">
        <f t="shared" si="128"/>
        <v>2014</v>
      </c>
      <c r="I1040" s="2">
        <f t="shared" si="129"/>
        <v>8</v>
      </c>
      <c r="J1040" s="2">
        <f t="shared" si="130"/>
        <v>13</v>
      </c>
      <c r="K1040" s="2">
        <f t="shared" si="131"/>
        <v>4</v>
      </c>
      <c r="L1040" s="2">
        <f t="shared" si="132"/>
        <v>9</v>
      </c>
      <c r="M1040" s="3">
        <f t="shared" si="133"/>
        <v>259.959991</v>
      </c>
      <c r="N1040" s="1">
        <f t="shared" ca="1" si="134"/>
        <v>259.959991</v>
      </c>
      <c r="O1040" s="5">
        <f t="shared" si="135"/>
        <v>1.3463879524446831E-3</v>
      </c>
    </row>
    <row r="1041" spans="1:15" s="2" customFormat="1" x14ac:dyDescent="0.5">
      <c r="A1041" s="6">
        <v>41865</v>
      </c>
      <c r="B1041" s="1">
        <v>262.48998999999998</v>
      </c>
      <c r="C1041" s="1">
        <v>263</v>
      </c>
      <c r="D1041" s="1">
        <v>256.5</v>
      </c>
      <c r="E1041" s="1">
        <v>261.38000499999998</v>
      </c>
      <c r="F1041" s="1">
        <v>261.38000499999998</v>
      </c>
      <c r="G1041" s="2">
        <v>4126600</v>
      </c>
      <c r="H1041" s="2">
        <f t="shared" si="128"/>
        <v>2014</v>
      </c>
      <c r="I1041" s="2">
        <f t="shared" si="129"/>
        <v>8</v>
      </c>
      <c r="J1041" s="2">
        <f t="shared" si="130"/>
        <v>14</v>
      </c>
      <c r="K1041" s="2">
        <f t="shared" si="131"/>
        <v>5</v>
      </c>
      <c r="L1041" s="2">
        <f t="shared" si="132"/>
        <v>9</v>
      </c>
      <c r="M1041" s="3">
        <f t="shared" si="133"/>
        <v>260.30999800000001</v>
      </c>
      <c r="N1041" s="1">
        <f t="shared" ca="1" si="134"/>
        <v>260.30999800000001</v>
      </c>
      <c r="O1041" s="5">
        <f t="shared" si="135"/>
        <v>4.1105105767007544E-3</v>
      </c>
    </row>
    <row r="1042" spans="1:15" s="2" customFormat="1" x14ac:dyDescent="0.5">
      <c r="A1042" s="6">
        <v>41866</v>
      </c>
      <c r="B1042" s="1">
        <v>261.48001099999999</v>
      </c>
      <c r="C1042" s="1">
        <v>262.08999599999999</v>
      </c>
      <c r="D1042" s="1">
        <v>258.5</v>
      </c>
      <c r="E1042" s="1">
        <v>262.01001000000002</v>
      </c>
      <c r="F1042" s="1">
        <v>262.01001000000002</v>
      </c>
      <c r="G1042" s="2">
        <v>3867900</v>
      </c>
      <c r="H1042" s="2">
        <f t="shared" si="128"/>
        <v>2014</v>
      </c>
      <c r="I1042" s="2">
        <f t="shared" si="129"/>
        <v>8</v>
      </c>
      <c r="J1042" s="2">
        <f t="shared" si="130"/>
        <v>15</v>
      </c>
      <c r="K1042" s="2">
        <f t="shared" si="131"/>
        <v>6</v>
      </c>
      <c r="L1042" s="2">
        <f t="shared" si="132"/>
        <v>9</v>
      </c>
      <c r="M1042" s="3">
        <f t="shared" si="133"/>
        <v>261.38000499999998</v>
      </c>
      <c r="N1042" s="1">
        <f t="shared" ca="1" si="134"/>
        <v>261.38000499999998</v>
      </c>
      <c r="O1042" s="5">
        <f t="shared" si="135"/>
        <v>2.4103029610089699E-3</v>
      </c>
    </row>
    <row r="1043" spans="1:15" s="2" customFormat="1" x14ac:dyDescent="0.5">
      <c r="A1043" s="6">
        <v>41869</v>
      </c>
      <c r="B1043" s="1">
        <v>263.25</v>
      </c>
      <c r="C1043" s="1">
        <v>267.26001000000002</v>
      </c>
      <c r="D1043" s="1">
        <v>259.75</v>
      </c>
      <c r="E1043" s="1">
        <v>259.94000199999999</v>
      </c>
      <c r="F1043" s="1">
        <v>259.94000199999999</v>
      </c>
      <c r="G1043" s="2">
        <v>5849200</v>
      </c>
      <c r="H1043" s="2">
        <f t="shared" si="128"/>
        <v>2014</v>
      </c>
      <c r="I1043" s="2">
        <f t="shared" si="129"/>
        <v>8</v>
      </c>
      <c r="J1043" s="2">
        <f t="shared" si="130"/>
        <v>18</v>
      </c>
      <c r="K1043" s="2">
        <f t="shared" si="131"/>
        <v>2</v>
      </c>
      <c r="L1043" s="2">
        <f t="shared" si="132"/>
        <v>9</v>
      </c>
      <c r="M1043" s="3">
        <f t="shared" si="133"/>
        <v>262.01001000000002</v>
      </c>
      <c r="N1043" s="1">
        <f t="shared" ca="1" si="134"/>
        <v>262.01001000000002</v>
      </c>
      <c r="O1043" s="5">
        <f t="shared" si="135"/>
        <v>-7.9004920460864492E-3</v>
      </c>
    </row>
    <row r="1044" spans="1:15" s="2" customFormat="1" x14ac:dyDescent="0.5">
      <c r="A1044" s="6">
        <v>41870</v>
      </c>
      <c r="B1044" s="1">
        <v>258.86999500000002</v>
      </c>
      <c r="C1044" s="1">
        <v>259.32998700000002</v>
      </c>
      <c r="D1044" s="1">
        <v>251.61999499999999</v>
      </c>
      <c r="E1044" s="1">
        <v>256.76001000000002</v>
      </c>
      <c r="F1044" s="1">
        <v>256.76001000000002</v>
      </c>
      <c r="G1044" s="2">
        <v>5334800</v>
      </c>
      <c r="H1044" s="2">
        <f t="shared" si="128"/>
        <v>2014</v>
      </c>
      <c r="I1044" s="2">
        <f t="shared" si="129"/>
        <v>8</v>
      </c>
      <c r="J1044" s="2">
        <f t="shared" si="130"/>
        <v>19</v>
      </c>
      <c r="K1044" s="2">
        <f t="shared" si="131"/>
        <v>3</v>
      </c>
      <c r="L1044" s="2">
        <f t="shared" si="132"/>
        <v>9</v>
      </c>
      <c r="M1044" s="3">
        <f t="shared" si="133"/>
        <v>259.94000199999999</v>
      </c>
      <c r="N1044" s="1">
        <f t="shared" ca="1" si="134"/>
        <v>259.94000199999999</v>
      </c>
      <c r="O1044" s="5">
        <f t="shared" si="135"/>
        <v>-1.223356149701027E-2</v>
      </c>
    </row>
    <row r="1045" spans="1:15" s="2" customFormat="1" x14ac:dyDescent="0.5">
      <c r="A1045" s="6">
        <v>41871</v>
      </c>
      <c r="B1045" s="1">
        <v>254.66999799999999</v>
      </c>
      <c r="C1045" s="1">
        <v>258.73998999999998</v>
      </c>
      <c r="D1045" s="1">
        <v>253</v>
      </c>
      <c r="E1045" s="1">
        <v>255.71000699999999</v>
      </c>
      <c r="F1045" s="1">
        <v>255.71000699999999</v>
      </c>
      <c r="G1045" s="2">
        <v>3027900</v>
      </c>
      <c r="H1045" s="2">
        <f t="shared" si="128"/>
        <v>2014</v>
      </c>
      <c r="I1045" s="2">
        <f t="shared" si="129"/>
        <v>8</v>
      </c>
      <c r="J1045" s="2">
        <f t="shared" si="130"/>
        <v>20</v>
      </c>
      <c r="K1045" s="2">
        <f t="shared" si="131"/>
        <v>4</v>
      </c>
      <c r="L1045" s="2">
        <f t="shared" si="132"/>
        <v>9</v>
      </c>
      <c r="M1045" s="3">
        <f t="shared" si="133"/>
        <v>256.76001000000002</v>
      </c>
      <c r="N1045" s="1">
        <f t="shared" ca="1" si="134"/>
        <v>256.76001000000002</v>
      </c>
      <c r="O1045" s="5">
        <f t="shared" si="135"/>
        <v>-4.0894335531457271E-3</v>
      </c>
    </row>
    <row r="1046" spans="1:15" s="2" customFormat="1" x14ac:dyDescent="0.5">
      <c r="A1046" s="6">
        <v>41872</v>
      </c>
      <c r="B1046" s="1">
        <v>256.51998900000001</v>
      </c>
      <c r="C1046" s="1">
        <v>258.79998799999998</v>
      </c>
      <c r="D1046" s="1">
        <v>253.259995</v>
      </c>
      <c r="E1046" s="1">
        <v>254.33999600000001</v>
      </c>
      <c r="F1046" s="1">
        <v>254.33999600000001</v>
      </c>
      <c r="G1046" s="2">
        <v>2915600</v>
      </c>
      <c r="H1046" s="2">
        <f t="shared" si="128"/>
        <v>2014</v>
      </c>
      <c r="I1046" s="2">
        <f t="shared" si="129"/>
        <v>8</v>
      </c>
      <c r="J1046" s="2">
        <f t="shared" si="130"/>
        <v>21</v>
      </c>
      <c r="K1046" s="2">
        <f t="shared" si="131"/>
        <v>5</v>
      </c>
      <c r="L1046" s="2">
        <f t="shared" si="132"/>
        <v>9</v>
      </c>
      <c r="M1046" s="3">
        <f t="shared" si="133"/>
        <v>255.71000699999999</v>
      </c>
      <c r="N1046" s="1">
        <f t="shared" ca="1" si="134"/>
        <v>255.71000699999999</v>
      </c>
      <c r="O1046" s="5">
        <f t="shared" si="135"/>
        <v>-5.3576745629668743E-3</v>
      </c>
    </row>
    <row r="1047" spans="1:15" s="2" customFormat="1" x14ac:dyDescent="0.5">
      <c r="A1047" s="6">
        <v>41873</v>
      </c>
      <c r="B1047" s="1">
        <v>254.53999300000001</v>
      </c>
      <c r="C1047" s="1">
        <v>256.95001200000002</v>
      </c>
      <c r="D1047" s="1">
        <v>252.61000100000001</v>
      </c>
      <c r="E1047" s="1">
        <v>256.77999899999998</v>
      </c>
      <c r="F1047" s="1">
        <v>256.77999899999998</v>
      </c>
      <c r="G1047" s="2">
        <v>2833400</v>
      </c>
      <c r="H1047" s="2">
        <f t="shared" si="128"/>
        <v>2014</v>
      </c>
      <c r="I1047" s="2">
        <f t="shared" si="129"/>
        <v>8</v>
      </c>
      <c r="J1047" s="2">
        <f t="shared" si="130"/>
        <v>22</v>
      </c>
      <c r="K1047" s="2">
        <f t="shared" si="131"/>
        <v>6</v>
      </c>
      <c r="L1047" s="2">
        <f t="shared" si="132"/>
        <v>9</v>
      </c>
      <c r="M1047" s="3">
        <f t="shared" si="133"/>
        <v>254.33999600000001</v>
      </c>
      <c r="N1047" s="1">
        <f t="shared" ca="1" si="134"/>
        <v>254.33999600000001</v>
      </c>
      <c r="O1047" s="5">
        <f t="shared" si="135"/>
        <v>9.5934695225832201E-3</v>
      </c>
    </row>
    <row r="1048" spans="1:15" s="2" customFormat="1" x14ac:dyDescent="0.5">
      <c r="A1048" s="6">
        <v>41876</v>
      </c>
      <c r="B1048" s="1">
        <v>258.19000199999999</v>
      </c>
      <c r="C1048" s="1">
        <v>263.67999300000002</v>
      </c>
      <c r="D1048" s="1">
        <v>258.19000199999999</v>
      </c>
      <c r="E1048" s="1">
        <v>262.54998799999998</v>
      </c>
      <c r="F1048" s="1">
        <v>262.54998799999998</v>
      </c>
      <c r="G1048" s="2">
        <v>4318100</v>
      </c>
      <c r="H1048" s="2">
        <f t="shared" si="128"/>
        <v>2014</v>
      </c>
      <c r="I1048" s="2">
        <f t="shared" si="129"/>
        <v>8</v>
      </c>
      <c r="J1048" s="2">
        <f t="shared" si="130"/>
        <v>25</v>
      </c>
      <c r="K1048" s="2">
        <f t="shared" si="131"/>
        <v>2</v>
      </c>
      <c r="L1048" s="2">
        <f t="shared" si="132"/>
        <v>9</v>
      </c>
      <c r="M1048" s="3">
        <f t="shared" si="133"/>
        <v>256.77999899999998</v>
      </c>
      <c r="N1048" s="1">
        <f t="shared" ca="1" si="134"/>
        <v>256.77999899999998</v>
      </c>
      <c r="O1048" s="5">
        <f t="shared" si="135"/>
        <v>2.2470554647832985E-2</v>
      </c>
    </row>
    <row r="1049" spans="1:15" s="2" customFormat="1" x14ac:dyDescent="0.5">
      <c r="A1049" s="6">
        <v>41877</v>
      </c>
      <c r="B1049" s="1">
        <v>264.98001099999999</v>
      </c>
      <c r="C1049" s="1">
        <v>265.5</v>
      </c>
      <c r="D1049" s="1">
        <v>261.66000400000001</v>
      </c>
      <c r="E1049" s="1">
        <v>261.73998999999998</v>
      </c>
      <c r="F1049" s="1">
        <v>261.73998999999998</v>
      </c>
      <c r="G1049" s="2">
        <v>3818000</v>
      </c>
      <c r="H1049" s="2">
        <f t="shared" si="128"/>
        <v>2014</v>
      </c>
      <c r="I1049" s="2">
        <f t="shared" si="129"/>
        <v>8</v>
      </c>
      <c r="J1049" s="2">
        <f t="shared" si="130"/>
        <v>26</v>
      </c>
      <c r="K1049" s="2">
        <f t="shared" si="131"/>
        <v>3</v>
      </c>
      <c r="L1049" s="2">
        <f t="shared" si="132"/>
        <v>9</v>
      </c>
      <c r="M1049" s="3">
        <f t="shared" si="133"/>
        <v>262.54998799999998</v>
      </c>
      <c r="N1049" s="1">
        <f t="shared" ca="1" si="134"/>
        <v>262.54998799999998</v>
      </c>
      <c r="O1049" s="5">
        <f t="shared" si="135"/>
        <v>-3.085119165954775E-3</v>
      </c>
    </row>
    <row r="1050" spans="1:15" s="2" customFormat="1" x14ac:dyDescent="0.5">
      <c r="A1050" s="6">
        <v>41878</v>
      </c>
      <c r="B1050" s="1">
        <v>263.5</v>
      </c>
      <c r="C1050" s="1">
        <v>264.23998999999998</v>
      </c>
      <c r="D1050" s="1">
        <v>260.290009</v>
      </c>
      <c r="E1050" s="1">
        <v>263.25</v>
      </c>
      <c r="F1050" s="1">
        <v>263.25</v>
      </c>
      <c r="G1050" s="2">
        <v>2985100</v>
      </c>
      <c r="H1050" s="2">
        <f t="shared" si="128"/>
        <v>2014</v>
      </c>
      <c r="I1050" s="2">
        <f t="shared" si="129"/>
        <v>8</v>
      </c>
      <c r="J1050" s="2">
        <f t="shared" si="130"/>
        <v>27</v>
      </c>
      <c r="K1050" s="2">
        <f t="shared" si="131"/>
        <v>4</v>
      </c>
      <c r="L1050" s="2">
        <f t="shared" si="132"/>
        <v>9</v>
      </c>
      <c r="M1050" s="3">
        <f t="shared" si="133"/>
        <v>261.73998999999998</v>
      </c>
      <c r="N1050" s="1">
        <f t="shared" ca="1" si="134"/>
        <v>261.73998999999998</v>
      </c>
      <c r="O1050" s="5">
        <f t="shared" si="135"/>
        <v>5.7691222499092198E-3</v>
      </c>
    </row>
    <row r="1051" spans="1:15" s="2" customFormat="1" x14ac:dyDescent="0.5">
      <c r="A1051" s="6">
        <v>41879</v>
      </c>
      <c r="B1051" s="1">
        <v>261.89001500000001</v>
      </c>
      <c r="C1051" s="1">
        <v>264.48001099999999</v>
      </c>
      <c r="D1051" s="1">
        <v>261.64001500000001</v>
      </c>
      <c r="E1051" s="1">
        <v>263.85998499999999</v>
      </c>
      <c r="F1051" s="1">
        <v>263.85998499999999</v>
      </c>
      <c r="G1051" s="2">
        <v>2844900</v>
      </c>
      <c r="H1051" s="2">
        <f t="shared" si="128"/>
        <v>2014</v>
      </c>
      <c r="I1051" s="2">
        <f t="shared" si="129"/>
        <v>8</v>
      </c>
      <c r="J1051" s="2">
        <f t="shared" si="130"/>
        <v>28</v>
      </c>
      <c r="K1051" s="2">
        <f t="shared" si="131"/>
        <v>5</v>
      </c>
      <c r="L1051" s="2">
        <f t="shared" si="132"/>
        <v>9</v>
      </c>
      <c r="M1051" s="3">
        <f t="shared" si="133"/>
        <v>263.25</v>
      </c>
      <c r="N1051" s="1">
        <f t="shared" ca="1" si="134"/>
        <v>263.25</v>
      </c>
      <c r="O1051" s="5">
        <f t="shared" si="135"/>
        <v>2.3171320037986831E-3</v>
      </c>
    </row>
    <row r="1052" spans="1:15" s="2" customFormat="1" x14ac:dyDescent="0.5">
      <c r="A1052" s="6">
        <v>41880</v>
      </c>
      <c r="B1052" s="1">
        <v>268.70001200000002</v>
      </c>
      <c r="C1052" s="1">
        <v>272</v>
      </c>
      <c r="D1052" s="1">
        <v>267.51001000000002</v>
      </c>
      <c r="E1052" s="1">
        <v>269.70001200000002</v>
      </c>
      <c r="F1052" s="1">
        <v>269.70001200000002</v>
      </c>
      <c r="G1052" s="2">
        <v>6447100</v>
      </c>
      <c r="H1052" s="2">
        <f t="shared" si="128"/>
        <v>2014</v>
      </c>
      <c r="I1052" s="2">
        <f t="shared" si="129"/>
        <v>8</v>
      </c>
      <c r="J1052" s="2">
        <f t="shared" si="130"/>
        <v>29</v>
      </c>
      <c r="K1052" s="2">
        <f t="shared" si="131"/>
        <v>6</v>
      </c>
      <c r="L1052" s="2">
        <f t="shared" si="132"/>
        <v>9</v>
      </c>
      <c r="M1052" s="3">
        <f t="shared" si="133"/>
        <v>263.85998499999999</v>
      </c>
      <c r="N1052" s="1">
        <f t="shared" ca="1" si="134"/>
        <v>263.85998499999999</v>
      </c>
      <c r="O1052" s="5">
        <f t="shared" si="135"/>
        <v>2.2133052876509574E-2</v>
      </c>
    </row>
    <row r="1053" spans="1:15" s="2" customFormat="1" x14ac:dyDescent="0.5">
      <c r="A1053" s="6">
        <v>41884</v>
      </c>
      <c r="B1053" s="1">
        <v>275.5</v>
      </c>
      <c r="C1053" s="1">
        <v>284.89001500000001</v>
      </c>
      <c r="D1053" s="1">
        <v>274.29998799999998</v>
      </c>
      <c r="E1053" s="1">
        <v>284.11999500000002</v>
      </c>
      <c r="F1053" s="1">
        <v>284.11999500000002</v>
      </c>
      <c r="G1053" s="2">
        <v>9852400</v>
      </c>
      <c r="H1053" s="2">
        <f t="shared" si="128"/>
        <v>2014</v>
      </c>
      <c r="I1053" s="2">
        <f t="shared" si="129"/>
        <v>9</v>
      </c>
      <c r="J1053" s="2">
        <f t="shared" si="130"/>
        <v>2</v>
      </c>
      <c r="K1053" s="2">
        <f t="shared" si="131"/>
        <v>3</v>
      </c>
      <c r="L1053" s="2">
        <f t="shared" si="132"/>
        <v>10</v>
      </c>
      <c r="M1053" s="3">
        <f t="shared" si="133"/>
        <v>269.70001200000002</v>
      </c>
      <c r="N1053" s="1">
        <f t="shared" ca="1" si="134"/>
        <v>269.70001200000002</v>
      </c>
      <c r="O1053" s="5">
        <f t="shared" si="135"/>
        <v>5.3466749567664174E-2</v>
      </c>
    </row>
    <row r="1054" spans="1:15" s="2" customFormat="1" x14ac:dyDescent="0.5">
      <c r="A1054" s="6">
        <v>41885</v>
      </c>
      <c r="B1054" s="1">
        <v>287.67001299999998</v>
      </c>
      <c r="C1054" s="1">
        <v>288</v>
      </c>
      <c r="D1054" s="1">
        <v>280.10000600000001</v>
      </c>
      <c r="E1054" s="1">
        <v>281.19000199999999</v>
      </c>
      <c r="F1054" s="1">
        <v>281.19000199999999</v>
      </c>
      <c r="G1054" s="2">
        <v>6772300</v>
      </c>
      <c r="H1054" s="2">
        <f t="shared" si="128"/>
        <v>2014</v>
      </c>
      <c r="I1054" s="2">
        <f t="shared" si="129"/>
        <v>9</v>
      </c>
      <c r="J1054" s="2">
        <f t="shared" si="130"/>
        <v>3</v>
      </c>
      <c r="K1054" s="2">
        <f t="shared" si="131"/>
        <v>4</v>
      </c>
      <c r="L1054" s="2">
        <f t="shared" si="132"/>
        <v>10</v>
      </c>
      <c r="M1054" s="3">
        <f t="shared" si="133"/>
        <v>284.11999500000002</v>
      </c>
      <c r="N1054" s="1">
        <f t="shared" ca="1" si="134"/>
        <v>284.11999500000002</v>
      </c>
      <c r="O1054" s="5">
        <f t="shared" si="135"/>
        <v>-1.0312519539499632E-2</v>
      </c>
    </row>
    <row r="1055" spans="1:15" s="2" customFormat="1" x14ac:dyDescent="0.5">
      <c r="A1055" s="6">
        <v>41886</v>
      </c>
      <c r="B1055" s="1">
        <v>284.01001000000002</v>
      </c>
      <c r="C1055" s="1">
        <v>291.42001299999998</v>
      </c>
      <c r="D1055" s="1">
        <v>280.39999399999999</v>
      </c>
      <c r="E1055" s="1">
        <v>286.040009</v>
      </c>
      <c r="F1055" s="1">
        <v>286.040009</v>
      </c>
      <c r="G1055" s="2">
        <v>8341700</v>
      </c>
      <c r="H1055" s="2">
        <f t="shared" si="128"/>
        <v>2014</v>
      </c>
      <c r="I1055" s="2">
        <f t="shared" si="129"/>
        <v>9</v>
      </c>
      <c r="J1055" s="2">
        <f t="shared" si="130"/>
        <v>4</v>
      </c>
      <c r="K1055" s="2">
        <f t="shared" si="131"/>
        <v>5</v>
      </c>
      <c r="L1055" s="2">
        <f t="shared" si="132"/>
        <v>10</v>
      </c>
      <c r="M1055" s="3">
        <f t="shared" si="133"/>
        <v>281.19000199999999</v>
      </c>
      <c r="N1055" s="1">
        <f t="shared" ca="1" si="134"/>
        <v>281.19000199999999</v>
      </c>
      <c r="O1055" s="5">
        <f t="shared" si="135"/>
        <v>1.7248148815760533E-2</v>
      </c>
    </row>
    <row r="1056" spans="1:15" s="2" customFormat="1" x14ac:dyDescent="0.5">
      <c r="A1056" s="6">
        <v>41887</v>
      </c>
      <c r="B1056" s="1">
        <v>282.54998799999998</v>
      </c>
      <c r="C1056" s="1">
        <v>282.89999399999999</v>
      </c>
      <c r="D1056" s="1">
        <v>272.51001000000002</v>
      </c>
      <c r="E1056" s="1">
        <v>277.39001500000001</v>
      </c>
      <c r="F1056" s="1">
        <v>277.39001500000001</v>
      </c>
      <c r="G1056" s="2">
        <v>11169900</v>
      </c>
      <c r="H1056" s="2">
        <f t="shared" si="128"/>
        <v>2014</v>
      </c>
      <c r="I1056" s="2">
        <f t="shared" si="129"/>
        <v>9</v>
      </c>
      <c r="J1056" s="2">
        <f t="shared" si="130"/>
        <v>5</v>
      </c>
      <c r="K1056" s="2">
        <f t="shared" si="131"/>
        <v>6</v>
      </c>
      <c r="L1056" s="2">
        <f t="shared" si="132"/>
        <v>10</v>
      </c>
      <c r="M1056" s="3">
        <f t="shared" si="133"/>
        <v>286.040009</v>
      </c>
      <c r="N1056" s="1">
        <f t="shared" ca="1" si="134"/>
        <v>286.040009</v>
      </c>
      <c r="O1056" s="5">
        <f t="shared" si="135"/>
        <v>-3.0240503873008917E-2</v>
      </c>
    </row>
    <row r="1057" spans="1:15" s="2" customFormat="1" x14ac:dyDescent="0.5">
      <c r="A1057" s="6">
        <v>41890</v>
      </c>
      <c r="B1057" s="1">
        <v>277.61999500000002</v>
      </c>
      <c r="C1057" s="1">
        <v>284.88000499999998</v>
      </c>
      <c r="D1057" s="1">
        <v>277.51998900000001</v>
      </c>
      <c r="E1057" s="1">
        <v>282.10998499999999</v>
      </c>
      <c r="F1057" s="1">
        <v>282.10998499999999</v>
      </c>
      <c r="G1057" s="2">
        <v>5501600</v>
      </c>
      <c r="H1057" s="2">
        <f t="shared" si="128"/>
        <v>2014</v>
      </c>
      <c r="I1057" s="2">
        <f t="shared" si="129"/>
        <v>9</v>
      </c>
      <c r="J1057" s="2">
        <f t="shared" si="130"/>
        <v>8</v>
      </c>
      <c r="K1057" s="2">
        <f t="shared" si="131"/>
        <v>2</v>
      </c>
      <c r="L1057" s="2">
        <f t="shared" si="132"/>
        <v>10</v>
      </c>
      <c r="M1057" s="3">
        <f t="shared" si="133"/>
        <v>277.39001500000001</v>
      </c>
      <c r="N1057" s="1">
        <f t="shared" ca="1" si="134"/>
        <v>277.39001500000001</v>
      </c>
      <c r="O1057" s="5">
        <f t="shared" si="135"/>
        <v>1.7015644921465567E-2</v>
      </c>
    </row>
    <row r="1058" spans="1:15" s="2" customFormat="1" x14ac:dyDescent="0.5">
      <c r="A1058" s="6">
        <v>41891</v>
      </c>
      <c r="B1058" s="1">
        <v>282.98998999999998</v>
      </c>
      <c r="C1058" s="1">
        <v>285.48998999999998</v>
      </c>
      <c r="D1058" s="1">
        <v>277</v>
      </c>
      <c r="E1058" s="1">
        <v>278.48001099999999</v>
      </c>
      <c r="F1058" s="1">
        <v>278.48001099999999</v>
      </c>
      <c r="G1058" s="2">
        <v>4558800</v>
      </c>
      <c r="H1058" s="2">
        <f t="shared" si="128"/>
        <v>2014</v>
      </c>
      <c r="I1058" s="2">
        <f t="shared" si="129"/>
        <v>9</v>
      </c>
      <c r="J1058" s="2">
        <f t="shared" si="130"/>
        <v>9</v>
      </c>
      <c r="K1058" s="2">
        <f t="shared" si="131"/>
        <v>3</v>
      </c>
      <c r="L1058" s="2">
        <f t="shared" si="132"/>
        <v>10</v>
      </c>
      <c r="M1058" s="3">
        <f t="shared" si="133"/>
        <v>282.10998499999999</v>
      </c>
      <c r="N1058" s="1">
        <f t="shared" ca="1" si="134"/>
        <v>282.10998499999999</v>
      </c>
      <c r="O1058" s="5">
        <f t="shared" si="135"/>
        <v>-1.2867229779194078E-2</v>
      </c>
    </row>
    <row r="1059" spans="1:15" s="2" customFormat="1" x14ac:dyDescent="0.5">
      <c r="A1059" s="6">
        <v>41892</v>
      </c>
      <c r="B1059" s="1">
        <v>279.5</v>
      </c>
      <c r="C1059" s="1">
        <v>281.41000400000001</v>
      </c>
      <c r="D1059" s="1">
        <v>273.66000400000001</v>
      </c>
      <c r="E1059" s="1">
        <v>281.10000600000001</v>
      </c>
      <c r="F1059" s="1">
        <v>281.10000600000001</v>
      </c>
      <c r="G1059" s="2">
        <v>3781300</v>
      </c>
      <c r="H1059" s="2">
        <f t="shared" si="128"/>
        <v>2014</v>
      </c>
      <c r="I1059" s="2">
        <f t="shared" si="129"/>
        <v>9</v>
      </c>
      <c r="J1059" s="2">
        <f t="shared" si="130"/>
        <v>10</v>
      </c>
      <c r="K1059" s="2">
        <f t="shared" si="131"/>
        <v>4</v>
      </c>
      <c r="L1059" s="2">
        <f t="shared" si="132"/>
        <v>10</v>
      </c>
      <c r="M1059" s="3">
        <f t="shared" si="133"/>
        <v>278.48001099999999</v>
      </c>
      <c r="N1059" s="1">
        <f t="shared" ca="1" si="134"/>
        <v>278.48001099999999</v>
      </c>
      <c r="O1059" s="5">
        <f t="shared" si="135"/>
        <v>9.4081977036406528E-3</v>
      </c>
    </row>
    <row r="1060" spans="1:15" s="2" customFormat="1" x14ac:dyDescent="0.5">
      <c r="A1060" s="6">
        <v>41893</v>
      </c>
      <c r="B1060" s="1">
        <v>280.459991</v>
      </c>
      <c r="C1060" s="1">
        <v>284.790009</v>
      </c>
      <c r="D1060" s="1">
        <v>278.63000499999998</v>
      </c>
      <c r="E1060" s="1">
        <v>280.30999800000001</v>
      </c>
      <c r="F1060" s="1">
        <v>280.30999800000001</v>
      </c>
      <c r="G1060" s="2">
        <v>3766100</v>
      </c>
      <c r="H1060" s="2">
        <f t="shared" si="128"/>
        <v>2014</v>
      </c>
      <c r="I1060" s="2">
        <f t="shared" si="129"/>
        <v>9</v>
      </c>
      <c r="J1060" s="2">
        <f t="shared" si="130"/>
        <v>11</v>
      </c>
      <c r="K1060" s="2">
        <f t="shared" si="131"/>
        <v>5</v>
      </c>
      <c r="L1060" s="2">
        <f t="shared" si="132"/>
        <v>10</v>
      </c>
      <c r="M1060" s="3">
        <f t="shared" si="133"/>
        <v>281.10000600000001</v>
      </c>
      <c r="N1060" s="1">
        <f t="shared" ca="1" si="134"/>
        <v>281.10000600000001</v>
      </c>
      <c r="O1060" s="5">
        <f t="shared" si="135"/>
        <v>-2.8104161619975088E-3</v>
      </c>
    </row>
    <row r="1061" spans="1:15" s="2" customFormat="1" x14ac:dyDescent="0.5">
      <c r="A1061" s="6">
        <v>41894</v>
      </c>
      <c r="B1061" s="1">
        <v>280.5</v>
      </c>
      <c r="C1061" s="1">
        <v>282.39001500000001</v>
      </c>
      <c r="D1061" s="1">
        <v>277</v>
      </c>
      <c r="E1061" s="1">
        <v>279.20001200000002</v>
      </c>
      <c r="F1061" s="1">
        <v>279.20001200000002</v>
      </c>
      <c r="G1061" s="2">
        <v>3324600</v>
      </c>
      <c r="H1061" s="2">
        <f t="shared" si="128"/>
        <v>2014</v>
      </c>
      <c r="I1061" s="2">
        <f t="shared" si="129"/>
        <v>9</v>
      </c>
      <c r="J1061" s="2">
        <f t="shared" si="130"/>
        <v>12</v>
      </c>
      <c r="K1061" s="2">
        <f t="shared" si="131"/>
        <v>6</v>
      </c>
      <c r="L1061" s="2">
        <f t="shared" si="132"/>
        <v>10</v>
      </c>
      <c r="M1061" s="3">
        <f t="shared" si="133"/>
        <v>280.30999800000001</v>
      </c>
      <c r="N1061" s="1">
        <f t="shared" ca="1" si="134"/>
        <v>280.30999800000001</v>
      </c>
      <c r="O1061" s="5">
        <f t="shared" si="135"/>
        <v>-3.9598516211326595E-3</v>
      </c>
    </row>
    <row r="1062" spans="1:15" s="2" customFormat="1" x14ac:dyDescent="0.5">
      <c r="A1062" s="6">
        <v>41897</v>
      </c>
      <c r="B1062" s="1">
        <v>274.36999500000002</v>
      </c>
      <c r="C1062" s="1">
        <v>274.39999399999999</v>
      </c>
      <c r="D1062" s="1">
        <v>249.13000500000001</v>
      </c>
      <c r="E1062" s="1">
        <v>253.86000100000001</v>
      </c>
      <c r="F1062" s="1">
        <v>253.86000100000001</v>
      </c>
      <c r="G1062" s="2">
        <v>16455400</v>
      </c>
      <c r="H1062" s="2">
        <f t="shared" si="128"/>
        <v>2014</v>
      </c>
      <c r="I1062" s="2">
        <f t="shared" si="129"/>
        <v>9</v>
      </c>
      <c r="J1062" s="2">
        <f t="shared" si="130"/>
        <v>15</v>
      </c>
      <c r="K1062" s="2">
        <f t="shared" si="131"/>
        <v>2</v>
      </c>
      <c r="L1062" s="2">
        <f t="shared" si="132"/>
        <v>10</v>
      </c>
      <c r="M1062" s="3">
        <f t="shared" si="133"/>
        <v>279.20001200000002</v>
      </c>
      <c r="N1062" s="1">
        <f t="shared" ca="1" si="134"/>
        <v>279.20001200000002</v>
      </c>
      <c r="O1062" s="5">
        <f t="shared" si="135"/>
        <v>-9.0759347818366143E-2</v>
      </c>
    </row>
    <row r="1063" spans="1:15" s="2" customFormat="1" x14ac:dyDescent="0.5">
      <c r="A1063" s="6">
        <v>41898</v>
      </c>
      <c r="B1063" s="1">
        <v>255.14999399999999</v>
      </c>
      <c r="C1063" s="1">
        <v>262.459991</v>
      </c>
      <c r="D1063" s="1">
        <v>252.41999799999999</v>
      </c>
      <c r="E1063" s="1">
        <v>260.73998999999998</v>
      </c>
      <c r="F1063" s="1">
        <v>260.73998999999998</v>
      </c>
      <c r="G1063" s="2">
        <v>8300100</v>
      </c>
      <c r="H1063" s="2">
        <f t="shared" si="128"/>
        <v>2014</v>
      </c>
      <c r="I1063" s="2">
        <f t="shared" si="129"/>
        <v>9</v>
      </c>
      <c r="J1063" s="2">
        <f t="shared" si="130"/>
        <v>16</v>
      </c>
      <c r="K1063" s="2">
        <f t="shared" si="131"/>
        <v>3</v>
      </c>
      <c r="L1063" s="2">
        <f t="shared" si="132"/>
        <v>10</v>
      </c>
      <c r="M1063" s="3">
        <f t="shared" si="133"/>
        <v>253.86000100000001</v>
      </c>
      <c r="N1063" s="1">
        <f t="shared" ca="1" si="134"/>
        <v>253.86000100000001</v>
      </c>
      <c r="O1063" s="5">
        <f t="shared" si="135"/>
        <v>2.7101508598827984E-2</v>
      </c>
    </row>
    <row r="1064" spans="1:15" s="2" customFormat="1" x14ac:dyDescent="0.5">
      <c r="A1064" s="6">
        <v>41899</v>
      </c>
      <c r="B1064" s="1">
        <v>262.41000400000001</v>
      </c>
      <c r="C1064" s="1">
        <v>264.70001200000002</v>
      </c>
      <c r="D1064" s="1">
        <v>259.5</v>
      </c>
      <c r="E1064" s="1">
        <v>261.38000499999998</v>
      </c>
      <c r="F1064" s="1">
        <v>261.38000499999998</v>
      </c>
      <c r="G1064" s="2">
        <v>5177700</v>
      </c>
      <c r="H1064" s="2">
        <f t="shared" si="128"/>
        <v>2014</v>
      </c>
      <c r="I1064" s="2">
        <f t="shared" si="129"/>
        <v>9</v>
      </c>
      <c r="J1064" s="2">
        <f t="shared" si="130"/>
        <v>17</v>
      </c>
      <c r="K1064" s="2">
        <f t="shared" si="131"/>
        <v>4</v>
      </c>
      <c r="L1064" s="2">
        <f t="shared" si="132"/>
        <v>10</v>
      </c>
      <c r="M1064" s="3">
        <f t="shared" si="133"/>
        <v>260.73998999999998</v>
      </c>
      <c r="N1064" s="1">
        <f t="shared" ca="1" si="134"/>
        <v>260.73998999999998</v>
      </c>
      <c r="O1064" s="5">
        <f t="shared" si="135"/>
        <v>2.4546100504183599E-3</v>
      </c>
    </row>
    <row r="1065" spans="1:15" s="2" customFormat="1" x14ac:dyDescent="0.5">
      <c r="A1065" s="6">
        <v>41900</v>
      </c>
      <c r="B1065" s="1">
        <v>263.35998499999999</v>
      </c>
      <c r="C1065" s="1">
        <v>265.60000600000001</v>
      </c>
      <c r="D1065" s="1">
        <v>262.32000699999998</v>
      </c>
      <c r="E1065" s="1">
        <v>263.82000699999998</v>
      </c>
      <c r="F1065" s="1">
        <v>263.82000699999998</v>
      </c>
      <c r="G1065" s="2">
        <v>3692600</v>
      </c>
      <c r="H1065" s="2">
        <f t="shared" si="128"/>
        <v>2014</v>
      </c>
      <c r="I1065" s="2">
        <f t="shared" si="129"/>
        <v>9</v>
      </c>
      <c r="J1065" s="2">
        <f t="shared" si="130"/>
        <v>18</v>
      </c>
      <c r="K1065" s="2">
        <f t="shared" si="131"/>
        <v>5</v>
      </c>
      <c r="L1065" s="2">
        <f t="shared" si="132"/>
        <v>10</v>
      </c>
      <c r="M1065" s="3">
        <f t="shared" si="133"/>
        <v>261.38000499999998</v>
      </c>
      <c r="N1065" s="1">
        <f t="shared" ca="1" si="134"/>
        <v>261.38000499999998</v>
      </c>
      <c r="O1065" s="5">
        <f t="shared" si="135"/>
        <v>9.335075190621378E-3</v>
      </c>
    </row>
    <row r="1066" spans="1:15" s="2" customFormat="1" x14ac:dyDescent="0.5">
      <c r="A1066" s="6">
        <v>41901</v>
      </c>
      <c r="B1066" s="1">
        <v>257.98998999999998</v>
      </c>
      <c r="C1066" s="1">
        <v>261.42999300000002</v>
      </c>
      <c r="D1066" s="1">
        <v>255.270004</v>
      </c>
      <c r="E1066" s="1">
        <v>259.32000699999998</v>
      </c>
      <c r="F1066" s="1">
        <v>259.32000699999998</v>
      </c>
      <c r="G1066" s="2">
        <v>6810900</v>
      </c>
      <c r="H1066" s="2">
        <f t="shared" si="128"/>
        <v>2014</v>
      </c>
      <c r="I1066" s="2">
        <f t="shared" si="129"/>
        <v>9</v>
      </c>
      <c r="J1066" s="2">
        <f t="shared" si="130"/>
        <v>19</v>
      </c>
      <c r="K1066" s="2">
        <f t="shared" si="131"/>
        <v>6</v>
      </c>
      <c r="L1066" s="2">
        <f t="shared" si="132"/>
        <v>10</v>
      </c>
      <c r="M1066" s="3">
        <f t="shared" si="133"/>
        <v>263.82000699999998</v>
      </c>
      <c r="N1066" s="1">
        <f t="shared" ca="1" si="134"/>
        <v>263.82000699999998</v>
      </c>
      <c r="O1066" s="5">
        <f t="shared" si="135"/>
        <v>-1.7057083923130989E-2</v>
      </c>
    </row>
    <row r="1067" spans="1:15" s="2" customFormat="1" x14ac:dyDescent="0.5">
      <c r="A1067" s="6">
        <v>41904</v>
      </c>
      <c r="B1067" s="1">
        <v>255</v>
      </c>
      <c r="C1067" s="1">
        <v>256.01998900000001</v>
      </c>
      <c r="D1067" s="1">
        <v>244.71000699999999</v>
      </c>
      <c r="E1067" s="1">
        <v>250.029999</v>
      </c>
      <c r="F1067" s="1">
        <v>250.029999</v>
      </c>
      <c r="G1067" s="2">
        <v>8214100</v>
      </c>
      <c r="H1067" s="2">
        <f t="shared" si="128"/>
        <v>2014</v>
      </c>
      <c r="I1067" s="2">
        <f t="shared" si="129"/>
        <v>9</v>
      </c>
      <c r="J1067" s="2">
        <f t="shared" si="130"/>
        <v>22</v>
      </c>
      <c r="K1067" s="2">
        <f t="shared" si="131"/>
        <v>2</v>
      </c>
      <c r="L1067" s="2">
        <f t="shared" si="132"/>
        <v>10</v>
      </c>
      <c r="M1067" s="3">
        <f t="shared" si="133"/>
        <v>259.32000699999998</v>
      </c>
      <c r="N1067" s="1">
        <f t="shared" ca="1" si="134"/>
        <v>259.32000699999998</v>
      </c>
      <c r="O1067" s="5">
        <f t="shared" si="135"/>
        <v>-3.5824493865604379E-2</v>
      </c>
    </row>
    <row r="1068" spans="1:15" s="2" customFormat="1" x14ac:dyDescent="0.5">
      <c r="A1068" s="6">
        <v>41905</v>
      </c>
      <c r="B1068" s="1">
        <v>245.220001</v>
      </c>
      <c r="C1068" s="1">
        <v>253.800003</v>
      </c>
      <c r="D1068" s="1">
        <v>245</v>
      </c>
      <c r="E1068" s="1">
        <v>250.41000399999999</v>
      </c>
      <c r="F1068" s="1">
        <v>250.41000399999999</v>
      </c>
      <c r="G1068" s="2">
        <v>5658700</v>
      </c>
      <c r="H1068" s="2">
        <f t="shared" si="128"/>
        <v>2014</v>
      </c>
      <c r="I1068" s="2">
        <f t="shared" si="129"/>
        <v>9</v>
      </c>
      <c r="J1068" s="2">
        <f t="shared" si="130"/>
        <v>23</v>
      </c>
      <c r="K1068" s="2">
        <f t="shared" si="131"/>
        <v>3</v>
      </c>
      <c r="L1068" s="2">
        <f t="shared" si="132"/>
        <v>10</v>
      </c>
      <c r="M1068" s="3">
        <f t="shared" si="133"/>
        <v>250.029999</v>
      </c>
      <c r="N1068" s="1">
        <f t="shared" ca="1" si="134"/>
        <v>250.029999</v>
      </c>
      <c r="O1068" s="5">
        <f t="shared" si="135"/>
        <v>1.5198376255642909E-3</v>
      </c>
    </row>
    <row r="1069" spans="1:15" s="2" customFormat="1" x14ac:dyDescent="0.5">
      <c r="A1069" s="6">
        <v>41906</v>
      </c>
      <c r="B1069" s="1">
        <v>251.11999499999999</v>
      </c>
      <c r="C1069" s="1">
        <v>252.83999600000001</v>
      </c>
      <c r="D1069" s="1">
        <v>247.03999300000001</v>
      </c>
      <c r="E1069" s="1">
        <v>252.13999899999999</v>
      </c>
      <c r="F1069" s="1">
        <v>252.13999899999999</v>
      </c>
      <c r="G1069" s="2">
        <v>3749500</v>
      </c>
      <c r="H1069" s="2">
        <f t="shared" si="128"/>
        <v>2014</v>
      </c>
      <c r="I1069" s="2">
        <f t="shared" si="129"/>
        <v>9</v>
      </c>
      <c r="J1069" s="2">
        <f t="shared" si="130"/>
        <v>24</v>
      </c>
      <c r="K1069" s="2">
        <f t="shared" si="131"/>
        <v>4</v>
      </c>
      <c r="L1069" s="2">
        <f t="shared" si="132"/>
        <v>10</v>
      </c>
      <c r="M1069" s="3">
        <f t="shared" si="133"/>
        <v>250.41000399999999</v>
      </c>
      <c r="N1069" s="1">
        <f t="shared" ca="1" si="134"/>
        <v>250.41000399999999</v>
      </c>
      <c r="O1069" s="5">
        <f t="shared" si="135"/>
        <v>6.9086497039472228E-3</v>
      </c>
    </row>
    <row r="1070" spans="1:15" s="2" customFormat="1" x14ac:dyDescent="0.5">
      <c r="A1070" s="6">
        <v>41907</v>
      </c>
      <c r="B1070" s="1">
        <v>252.520004</v>
      </c>
      <c r="C1070" s="1">
        <v>254.96000699999999</v>
      </c>
      <c r="D1070" s="1">
        <v>246.10000600000001</v>
      </c>
      <c r="E1070" s="1">
        <v>246.949997</v>
      </c>
      <c r="F1070" s="1">
        <v>246.949997</v>
      </c>
      <c r="G1070" s="2">
        <v>4834200</v>
      </c>
      <c r="H1070" s="2">
        <f t="shared" si="128"/>
        <v>2014</v>
      </c>
      <c r="I1070" s="2">
        <f t="shared" si="129"/>
        <v>9</v>
      </c>
      <c r="J1070" s="2">
        <f t="shared" si="130"/>
        <v>25</v>
      </c>
      <c r="K1070" s="2">
        <f t="shared" si="131"/>
        <v>5</v>
      </c>
      <c r="L1070" s="2">
        <f t="shared" si="132"/>
        <v>10</v>
      </c>
      <c r="M1070" s="3">
        <f t="shared" si="133"/>
        <v>252.13999899999999</v>
      </c>
      <c r="N1070" s="1">
        <f t="shared" ca="1" si="134"/>
        <v>252.13999899999999</v>
      </c>
      <c r="O1070" s="5">
        <f t="shared" si="135"/>
        <v>-2.0583810663059476E-2</v>
      </c>
    </row>
    <row r="1071" spans="1:15" s="2" customFormat="1" x14ac:dyDescent="0.5">
      <c r="A1071" s="6">
        <v>41908</v>
      </c>
      <c r="B1071" s="1">
        <v>248.25</v>
      </c>
      <c r="C1071" s="1">
        <v>249.729996</v>
      </c>
      <c r="D1071" s="1">
        <v>246.070007</v>
      </c>
      <c r="E1071" s="1">
        <v>246.60000600000001</v>
      </c>
      <c r="F1071" s="1">
        <v>246.60000600000001</v>
      </c>
      <c r="G1071" s="2">
        <v>3795400</v>
      </c>
      <c r="H1071" s="2">
        <f t="shared" si="128"/>
        <v>2014</v>
      </c>
      <c r="I1071" s="2">
        <f t="shared" si="129"/>
        <v>9</v>
      </c>
      <c r="J1071" s="2">
        <f t="shared" si="130"/>
        <v>26</v>
      </c>
      <c r="K1071" s="2">
        <f t="shared" si="131"/>
        <v>6</v>
      </c>
      <c r="L1071" s="2">
        <f t="shared" si="132"/>
        <v>10</v>
      </c>
      <c r="M1071" s="3">
        <f t="shared" si="133"/>
        <v>246.949997</v>
      </c>
      <c r="N1071" s="1">
        <f t="shared" ca="1" si="134"/>
        <v>246.949997</v>
      </c>
      <c r="O1071" s="5">
        <f t="shared" si="135"/>
        <v>-1.4172545221775579E-3</v>
      </c>
    </row>
    <row r="1072" spans="1:15" s="2" customFormat="1" x14ac:dyDescent="0.5">
      <c r="A1072" s="6">
        <v>41911</v>
      </c>
      <c r="B1072" s="1">
        <v>244</v>
      </c>
      <c r="C1072" s="1">
        <v>248.63999899999999</v>
      </c>
      <c r="D1072" s="1">
        <v>241.38000500000001</v>
      </c>
      <c r="E1072" s="1">
        <v>245.259995</v>
      </c>
      <c r="F1072" s="1">
        <v>245.259995</v>
      </c>
      <c r="G1072" s="2">
        <v>4852700</v>
      </c>
      <c r="H1072" s="2">
        <f t="shared" si="128"/>
        <v>2014</v>
      </c>
      <c r="I1072" s="2">
        <f t="shared" si="129"/>
        <v>9</v>
      </c>
      <c r="J1072" s="2">
        <f t="shared" si="130"/>
        <v>29</v>
      </c>
      <c r="K1072" s="2">
        <f t="shared" si="131"/>
        <v>2</v>
      </c>
      <c r="L1072" s="2">
        <f t="shared" si="132"/>
        <v>10</v>
      </c>
      <c r="M1072" s="3">
        <f t="shared" si="133"/>
        <v>246.60000600000001</v>
      </c>
      <c r="N1072" s="1">
        <f t="shared" ca="1" si="134"/>
        <v>246.60000600000001</v>
      </c>
      <c r="O1072" s="5">
        <f t="shared" si="135"/>
        <v>-5.4339455287767402E-3</v>
      </c>
    </row>
    <row r="1073" spans="1:15" s="2" customFormat="1" x14ac:dyDescent="0.5">
      <c r="A1073" s="6">
        <v>41912</v>
      </c>
      <c r="B1073" s="1">
        <v>246.91999799999999</v>
      </c>
      <c r="C1073" s="1">
        <v>247.64999399999999</v>
      </c>
      <c r="D1073" s="1">
        <v>240.11999499999999</v>
      </c>
      <c r="E1073" s="1">
        <v>242.679993</v>
      </c>
      <c r="F1073" s="1">
        <v>242.679993</v>
      </c>
      <c r="G1073" s="2">
        <v>4238300</v>
      </c>
      <c r="H1073" s="2">
        <f t="shared" si="128"/>
        <v>2014</v>
      </c>
      <c r="I1073" s="2">
        <f t="shared" si="129"/>
        <v>9</v>
      </c>
      <c r="J1073" s="2">
        <f t="shared" si="130"/>
        <v>30</v>
      </c>
      <c r="K1073" s="2">
        <f t="shared" si="131"/>
        <v>3</v>
      </c>
      <c r="L1073" s="2">
        <f t="shared" si="132"/>
        <v>10</v>
      </c>
      <c r="M1073" s="3">
        <f t="shared" si="133"/>
        <v>245.259995</v>
      </c>
      <c r="N1073" s="1">
        <f t="shared" ca="1" si="134"/>
        <v>245.259995</v>
      </c>
      <c r="O1073" s="5">
        <f t="shared" si="135"/>
        <v>-1.0519457117333819E-2</v>
      </c>
    </row>
    <row r="1074" spans="1:15" s="2" customFormat="1" x14ac:dyDescent="0.5">
      <c r="A1074" s="6">
        <v>41913</v>
      </c>
      <c r="B1074" s="1">
        <v>242.199997</v>
      </c>
      <c r="C1074" s="1">
        <v>242.66000399999999</v>
      </c>
      <c r="D1074" s="1">
        <v>235.64999399999999</v>
      </c>
      <c r="E1074" s="1">
        <v>240.240005</v>
      </c>
      <c r="F1074" s="1">
        <v>240.240005</v>
      </c>
      <c r="G1074" s="2">
        <v>5941700</v>
      </c>
      <c r="H1074" s="2">
        <f t="shared" si="128"/>
        <v>2014</v>
      </c>
      <c r="I1074" s="2">
        <f t="shared" si="129"/>
        <v>10</v>
      </c>
      <c r="J1074" s="2">
        <f t="shared" si="130"/>
        <v>1</v>
      </c>
      <c r="K1074" s="2">
        <f t="shared" si="131"/>
        <v>4</v>
      </c>
      <c r="L1074" s="2">
        <f t="shared" si="132"/>
        <v>11</v>
      </c>
      <c r="M1074" s="3">
        <f t="shared" si="133"/>
        <v>242.679993</v>
      </c>
      <c r="N1074" s="1">
        <f t="shared" ca="1" si="134"/>
        <v>242.679993</v>
      </c>
      <c r="O1074" s="5">
        <f t="shared" si="135"/>
        <v>-1.005434345797096E-2</v>
      </c>
    </row>
    <row r="1075" spans="1:15" s="2" customFormat="1" x14ac:dyDescent="0.5">
      <c r="A1075" s="6">
        <v>41914</v>
      </c>
      <c r="B1075" s="1">
        <v>250.199997</v>
      </c>
      <c r="C1075" s="1">
        <v>252.78999300000001</v>
      </c>
      <c r="D1075" s="1">
        <v>245.36000100000001</v>
      </c>
      <c r="E1075" s="1">
        <v>251.41999799999999</v>
      </c>
      <c r="F1075" s="1">
        <v>251.41999799999999</v>
      </c>
      <c r="G1075" s="2">
        <v>8998200</v>
      </c>
      <c r="H1075" s="2">
        <f t="shared" si="128"/>
        <v>2014</v>
      </c>
      <c r="I1075" s="2">
        <f t="shared" si="129"/>
        <v>10</v>
      </c>
      <c r="J1075" s="2">
        <f t="shared" si="130"/>
        <v>2</v>
      </c>
      <c r="K1075" s="2">
        <f t="shared" si="131"/>
        <v>5</v>
      </c>
      <c r="L1075" s="2">
        <f t="shared" si="132"/>
        <v>11</v>
      </c>
      <c r="M1075" s="3">
        <f t="shared" si="133"/>
        <v>240.240005</v>
      </c>
      <c r="N1075" s="1">
        <f t="shared" ca="1" si="134"/>
        <v>240.240005</v>
      </c>
      <c r="O1075" s="5">
        <f t="shared" si="135"/>
        <v>4.6536766430719911E-2</v>
      </c>
    </row>
    <row r="1076" spans="1:15" s="2" customFormat="1" x14ac:dyDescent="0.5">
      <c r="A1076" s="6">
        <v>41915</v>
      </c>
      <c r="B1076" s="1">
        <v>253.05999800000001</v>
      </c>
      <c r="C1076" s="1">
        <v>256.5</v>
      </c>
      <c r="D1076" s="1">
        <v>251.029999</v>
      </c>
      <c r="E1076" s="1">
        <v>255.21000699999999</v>
      </c>
      <c r="F1076" s="1">
        <v>255.21000699999999</v>
      </c>
      <c r="G1076" s="2">
        <v>5406300</v>
      </c>
      <c r="H1076" s="2">
        <f t="shared" si="128"/>
        <v>2014</v>
      </c>
      <c r="I1076" s="2">
        <f t="shared" si="129"/>
        <v>10</v>
      </c>
      <c r="J1076" s="2">
        <f t="shared" si="130"/>
        <v>3</v>
      </c>
      <c r="K1076" s="2">
        <f t="shared" si="131"/>
        <v>6</v>
      </c>
      <c r="L1076" s="2">
        <f t="shared" si="132"/>
        <v>11</v>
      </c>
      <c r="M1076" s="3">
        <f t="shared" si="133"/>
        <v>251.41999799999999</v>
      </c>
      <c r="N1076" s="1">
        <f t="shared" ca="1" si="134"/>
        <v>251.41999799999999</v>
      </c>
      <c r="O1076" s="5">
        <f t="shared" si="135"/>
        <v>1.5074413452186963E-2</v>
      </c>
    </row>
    <row r="1077" spans="1:15" s="2" customFormat="1" x14ac:dyDescent="0.5">
      <c r="A1077" s="6">
        <v>41918</v>
      </c>
      <c r="B1077" s="1">
        <v>259.13000499999998</v>
      </c>
      <c r="C1077" s="1">
        <v>262.48998999999998</v>
      </c>
      <c r="D1077" s="1">
        <v>257.79998799999998</v>
      </c>
      <c r="E1077" s="1">
        <v>260.61999500000002</v>
      </c>
      <c r="F1077" s="1">
        <v>260.61999500000002</v>
      </c>
      <c r="G1077" s="2">
        <v>7713300</v>
      </c>
      <c r="H1077" s="2">
        <f t="shared" si="128"/>
        <v>2014</v>
      </c>
      <c r="I1077" s="2">
        <f t="shared" si="129"/>
        <v>10</v>
      </c>
      <c r="J1077" s="2">
        <f t="shared" si="130"/>
        <v>6</v>
      </c>
      <c r="K1077" s="2">
        <f t="shared" si="131"/>
        <v>2</v>
      </c>
      <c r="L1077" s="2">
        <f t="shared" si="132"/>
        <v>11</v>
      </c>
      <c r="M1077" s="3">
        <f t="shared" si="133"/>
        <v>255.21000699999999</v>
      </c>
      <c r="N1077" s="1">
        <f t="shared" ca="1" si="134"/>
        <v>255.21000699999999</v>
      </c>
      <c r="O1077" s="5">
        <f t="shared" si="135"/>
        <v>2.1198181307992447E-2</v>
      </c>
    </row>
    <row r="1078" spans="1:15" s="2" customFormat="1" x14ac:dyDescent="0.5">
      <c r="A1078" s="6">
        <v>41919</v>
      </c>
      <c r="B1078" s="1">
        <v>258.52999899999998</v>
      </c>
      <c r="C1078" s="1">
        <v>261.459991</v>
      </c>
      <c r="D1078" s="1">
        <v>255.729996</v>
      </c>
      <c r="E1078" s="1">
        <v>259.57000699999998</v>
      </c>
      <c r="F1078" s="1">
        <v>259.57000699999998</v>
      </c>
      <c r="G1078" s="2">
        <v>4485500</v>
      </c>
      <c r="H1078" s="2">
        <f t="shared" si="128"/>
        <v>2014</v>
      </c>
      <c r="I1078" s="2">
        <f t="shared" si="129"/>
        <v>10</v>
      </c>
      <c r="J1078" s="2">
        <f t="shared" si="130"/>
        <v>7</v>
      </c>
      <c r="K1078" s="2">
        <f t="shared" si="131"/>
        <v>3</v>
      </c>
      <c r="L1078" s="2">
        <f t="shared" si="132"/>
        <v>11</v>
      </c>
      <c r="M1078" s="3">
        <f t="shared" si="133"/>
        <v>260.61999500000002</v>
      </c>
      <c r="N1078" s="1">
        <f t="shared" ca="1" si="134"/>
        <v>260.61999500000002</v>
      </c>
      <c r="O1078" s="5">
        <f t="shared" si="135"/>
        <v>-4.0288083038296785E-3</v>
      </c>
    </row>
    <row r="1079" spans="1:15" s="2" customFormat="1" x14ac:dyDescent="0.5">
      <c r="A1079" s="6">
        <v>41920</v>
      </c>
      <c r="B1079" s="1">
        <v>260.10000600000001</v>
      </c>
      <c r="C1079" s="1">
        <v>262.88000499999998</v>
      </c>
      <c r="D1079" s="1">
        <v>252.63999899999999</v>
      </c>
      <c r="E1079" s="1">
        <v>259.27999899999998</v>
      </c>
      <c r="F1079" s="1">
        <v>259.27999899999998</v>
      </c>
      <c r="G1079" s="2">
        <v>5055100</v>
      </c>
      <c r="H1079" s="2">
        <f t="shared" si="128"/>
        <v>2014</v>
      </c>
      <c r="I1079" s="2">
        <f t="shared" si="129"/>
        <v>10</v>
      </c>
      <c r="J1079" s="2">
        <f t="shared" si="130"/>
        <v>8</v>
      </c>
      <c r="K1079" s="2">
        <f t="shared" si="131"/>
        <v>4</v>
      </c>
      <c r="L1079" s="2">
        <f t="shared" si="132"/>
        <v>11</v>
      </c>
      <c r="M1079" s="3">
        <f t="shared" si="133"/>
        <v>259.57000699999998</v>
      </c>
      <c r="N1079" s="1">
        <f t="shared" ca="1" si="134"/>
        <v>259.57000699999998</v>
      </c>
      <c r="O1079" s="5">
        <f t="shared" si="135"/>
        <v>-1.117263135875346E-3</v>
      </c>
    </row>
    <row r="1080" spans="1:15" s="2" customFormat="1" x14ac:dyDescent="0.5">
      <c r="A1080" s="6">
        <v>41921</v>
      </c>
      <c r="B1080" s="1">
        <v>262.25</v>
      </c>
      <c r="C1080" s="1">
        <v>265.540009</v>
      </c>
      <c r="D1080" s="1">
        <v>254.39999399999999</v>
      </c>
      <c r="E1080" s="1">
        <v>257.01001000000002</v>
      </c>
      <c r="F1080" s="1">
        <v>257.01001000000002</v>
      </c>
      <c r="G1080" s="2">
        <v>7361300</v>
      </c>
      <c r="H1080" s="2">
        <f t="shared" si="128"/>
        <v>2014</v>
      </c>
      <c r="I1080" s="2">
        <f t="shared" si="129"/>
        <v>10</v>
      </c>
      <c r="J1080" s="2">
        <f t="shared" si="130"/>
        <v>9</v>
      </c>
      <c r="K1080" s="2">
        <f t="shared" si="131"/>
        <v>5</v>
      </c>
      <c r="L1080" s="2">
        <f t="shared" si="132"/>
        <v>11</v>
      </c>
      <c r="M1080" s="3">
        <f t="shared" si="133"/>
        <v>259.27999899999998</v>
      </c>
      <c r="N1080" s="1">
        <f t="shared" ca="1" si="134"/>
        <v>259.27999899999998</v>
      </c>
      <c r="O1080" s="5">
        <f t="shared" si="135"/>
        <v>-8.7549714931923761E-3</v>
      </c>
    </row>
    <row r="1081" spans="1:15" s="2" customFormat="1" x14ac:dyDescent="0.5">
      <c r="A1081" s="6">
        <v>41922</v>
      </c>
      <c r="B1081" s="1">
        <v>244.63999899999999</v>
      </c>
      <c r="C1081" s="1">
        <v>245.88999899999999</v>
      </c>
      <c r="D1081" s="1">
        <v>235.199997</v>
      </c>
      <c r="E1081" s="1">
        <v>236.91000399999999</v>
      </c>
      <c r="F1081" s="1">
        <v>236.91000399999999</v>
      </c>
      <c r="G1081" s="2">
        <v>12888300</v>
      </c>
      <c r="H1081" s="2">
        <f t="shared" si="128"/>
        <v>2014</v>
      </c>
      <c r="I1081" s="2">
        <f t="shared" si="129"/>
        <v>10</v>
      </c>
      <c r="J1081" s="2">
        <f t="shared" si="130"/>
        <v>10</v>
      </c>
      <c r="K1081" s="2">
        <f t="shared" si="131"/>
        <v>6</v>
      </c>
      <c r="L1081" s="2">
        <f t="shared" si="132"/>
        <v>11</v>
      </c>
      <c r="M1081" s="3">
        <f t="shared" si="133"/>
        <v>257.01001000000002</v>
      </c>
      <c r="N1081" s="1">
        <f t="shared" ca="1" si="134"/>
        <v>257.01001000000002</v>
      </c>
      <c r="O1081" s="5">
        <f t="shared" si="135"/>
        <v>-7.8207093957157636E-2</v>
      </c>
    </row>
    <row r="1082" spans="1:15" s="2" customFormat="1" x14ac:dyDescent="0.5">
      <c r="A1082" s="6">
        <v>41925</v>
      </c>
      <c r="B1082" s="1">
        <v>238.570007</v>
      </c>
      <c r="C1082" s="1">
        <v>238.96000699999999</v>
      </c>
      <c r="D1082" s="1">
        <v>221</v>
      </c>
      <c r="E1082" s="1">
        <v>224.58999600000001</v>
      </c>
      <c r="F1082" s="1">
        <v>224.58999600000001</v>
      </c>
      <c r="G1082" s="2">
        <v>11268700</v>
      </c>
      <c r="H1082" s="2">
        <f t="shared" si="128"/>
        <v>2014</v>
      </c>
      <c r="I1082" s="2">
        <f t="shared" si="129"/>
        <v>10</v>
      </c>
      <c r="J1082" s="2">
        <f t="shared" si="130"/>
        <v>13</v>
      </c>
      <c r="K1082" s="2">
        <f t="shared" si="131"/>
        <v>2</v>
      </c>
      <c r="L1082" s="2">
        <f t="shared" si="132"/>
        <v>11</v>
      </c>
      <c r="M1082" s="3">
        <f t="shared" si="133"/>
        <v>236.91000399999999</v>
      </c>
      <c r="N1082" s="1">
        <f t="shared" ca="1" si="134"/>
        <v>236.91000399999999</v>
      </c>
      <c r="O1082" s="5">
        <f t="shared" si="135"/>
        <v>-5.2002903178373083E-2</v>
      </c>
    </row>
    <row r="1083" spans="1:15" s="2" customFormat="1" x14ac:dyDescent="0.5">
      <c r="A1083" s="6">
        <v>41926</v>
      </c>
      <c r="B1083" s="1">
        <v>228.25</v>
      </c>
      <c r="C1083" s="1">
        <v>232.470001</v>
      </c>
      <c r="D1083" s="1">
        <v>223</v>
      </c>
      <c r="E1083" s="1">
        <v>227.05999800000001</v>
      </c>
      <c r="F1083" s="1">
        <v>227.05999800000001</v>
      </c>
      <c r="G1083" s="2">
        <v>7105300</v>
      </c>
      <c r="H1083" s="2">
        <f t="shared" si="128"/>
        <v>2014</v>
      </c>
      <c r="I1083" s="2">
        <f t="shared" si="129"/>
        <v>10</v>
      </c>
      <c r="J1083" s="2">
        <f t="shared" si="130"/>
        <v>14</v>
      </c>
      <c r="K1083" s="2">
        <f t="shared" si="131"/>
        <v>3</v>
      </c>
      <c r="L1083" s="2">
        <f t="shared" si="132"/>
        <v>11</v>
      </c>
      <c r="M1083" s="3">
        <f t="shared" si="133"/>
        <v>224.58999600000001</v>
      </c>
      <c r="N1083" s="1">
        <f t="shared" ca="1" si="134"/>
        <v>224.58999600000001</v>
      </c>
      <c r="O1083" s="5">
        <f t="shared" si="135"/>
        <v>1.0997827347572375E-2</v>
      </c>
    </row>
    <row r="1084" spans="1:15" s="2" customFormat="1" x14ac:dyDescent="0.5">
      <c r="A1084" s="6">
        <v>41927</v>
      </c>
      <c r="B1084" s="1">
        <v>220</v>
      </c>
      <c r="C1084" s="1">
        <v>230.990005</v>
      </c>
      <c r="D1084" s="1">
        <v>217.320007</v>
      </c>
      <c r="E1084" s="1">
        <v>229.699997</v>
      </c>
      <c r="F1084" s="1">
        <v>229.699997</v>
      </c>
      <c r="G1084" s="2">
        <v>9147300</v>
      </c>
      <c r="H1084" s="2">
        <f t="shared" si="128"/>
        <v>2014</v>
      </c>
      <c r="I1084" s="2">
        <f t="shared" si="129"/>
        <v>10</v>
      </c>
      <c r="J1084" s="2">
        <f t="shared" si="130"/>
        <v>15</v>
      </c>
      <c r="K1084" s="2">
        <f t="shared" si="131"/>
        <v>4</v>
      </c>
      <c r="L1084" s="2">
        <f t="shared" si="132"/>
        <v>11</v>
      </c>
      <c r="M1084" s="3">
        <f t="shared" si="133"/>
        <v>227.05999800000001</v>
      </c>
      <c r="N1084" s="1">
        <f t="shared" ca="1" si="134"/>
        <v>227.05999800000001</v>
      </c>
      <c r="O1084" s="5">
        <f t="shared" si="135"/>
        <v>1.1626878460555545E-2</v>
      </c>
    </row>
    <row r="1085" spans="1:15" s="2" customFormat="1" x14ac:dyDescent="0.5">
      <c r="A1085" s="6">
        <v>41928</v>
      </c>
      <c r="B1085" s="1">
        <v>219.720001</v>
      </c>
      <c r="C1085" s="1">
        <v>229.91999799999999</v>
      </c>
      <c r="D1085" s="1">
        <v>219.10000600000001</v>
      </c>
      <c r="E1085" s="1">
        <v>226.35000600000001</v>
      </c>
      <c r="F1085" s="1">
        <v>226.35000600000001</v>
      </c>
      <c r="G1085" s="2">
        <v>5399300</v>
      </c>
      <c r="H1085" s="2">
        <f t="shared" si="128"/>
        <v>2014</v>
      </c>
      <c r="I1085" s="2">
        <f t="shared" si="129"/>
        <v>10</v>
      </c>
      <c r="J1085" s="2">
        <f t="shared" si="130"/>
        <v>16</v>
      </c>
      <c r="K1085" s="2">
        <f t="shared" si="131"/>
        <v>5</v>
      </c>
      <c r="L1085" s="2">
        <f t="shared" si="132"/>
        <v>11</v>
      </c>
      <c r="M1085" s="3">
        <f t="shared" si="133"/>
        <v>229.699997</v>
      </c>
      <c r="N1085" s="1">
        <f t="shared" ca="1" si="134"/>
        <v>229.699997</v>
      </c>
      <c r="O1085" s="5">
        <f t="shared" si="135"/>
        <v>-1.4584201322388246E-2</v>
      </c>
    </row>
    <row r="1086" spans="1:15" s="2" customFormat="1" x14ac:dyDescent="0.5">
      <c r="A1086" s="6">
        <v>41929</v>
      </c>
      <c r="B1086" s="1">
        <v>233.38000500000001</v>
      </c>
      <c r="C1086" s="1">
        <v>234.770004</v>
      </c>
      <c r="D1086" s="1">
        <v>226.550003</v>
      </c>
      <c r="E1086" s="1">
        <v>227.479996</v>
      </c>
      <c r="F1086" s="1">
        <v>227.479996</v>
      </c>
      <c r="G1086" s="2">
        <v>10549400</v>
      </c>
      <c r="H1086" s="2">
        <f t="shared" si="128"/>
        <v>2014</v>
      </c>
      <c r="I1086" s="2">
        <f t="shared" si="129"/>
        <v>10</v>
      </c>
      <c r="J1086" s="2">
        <f t="shared" si="130"/>
        <v>17</v>
      </c>
      <c r="K1086" s="2">
        <f t="shared" si="131"/>
        <v>6</v>
      </c>
      <c r="L1086" s="2">
        <f t="shared" si="132"/>
        <v>11</v>
      </c>
      <c r="M1086" s="3">
        <f t="shared" si="133"/>
        <v>226.35000600000001</v>
      </c>
      <c r="N1086" s="1">
        <f t="shared" ca="1" si="134"/>
        <v>226.35000600000001</v>
      </c>
      <c r="O1086" s="5">
        <f t="shared" si="135"/>
        <v>4.9922242988587051E-3</v>
      </c>
    </row>
    <row r="1087" spans="1:15" s="2" customFormat="1" x14ac:dyDescent="0.5">
      <c r="A1087" s="6">
        <v>41932</v>
      </c>
      <c r="B1087" s="1">
        <v>226.720001</v>
      </c>
      <c r="C1087" s="1">
        <v>232.39999399999999</v>
      </c>
      <c r="D1087" s="1">
        <v>225.509995</v>
      </c>
      <c r="E1087" s="1">
        <v>230.470001</v>
      </c>
      <c r="F1087" s="1">
        <v>230.470001</v>
      </c>
      <c r="G1087" s="2">
        <v>3494400</v>
      </c>
      <c r="H1087" s="2">
        <f t="shared" si="128"/>
        <v>2014</v>
      </c>
      <c r="I1087" s="2">
        <f t="shared" si="129"/>
        <v>10</v>
      </c>
      <c r="J1087" s="2">
        <f t="shared" si="130"/>
        <v>20</v>
      </c>
      <c r="K1087" s="2">
        <f t="shared" si="131"/>
        <v>2</v>
      </c>
      <c r="L1087" s="2">
        <f t="shared" si="132"/>
        <v>11</v>
      </c>
      <c r="M1087" s="3">
        <f t="shared" si="133"/>
        <v>227.479996</v>
      </c>
      <c r="N1087" s="1">
        <f t="shared" ca="1" si="134"/>
        <v>227.479996</v>
      </c>
      <c r="O1087" s="5">
        <f t="shared" si="135"/>
        <v>1.3144034871532151E-2</v>
      </c>
    </row>
    <row r="1088" spans="1:15" s="2" customFormat="1" x14ac:dyDescent="0.5">
      <c r="A1088" s="6">
        <v>41933</v>
      </c>
      <c r="B1088" s="1">
        <v>234.270004</v>
      </c>
      <c r="C1088" s="1">
        <v>235.38999899999999</v>
      </c>
      <c r="D1088" s="1">
        <v>230.800003</v>
      </c>
      <c r="E1088" s="1">
        <v>235.33999600000001</v>
      </c>
      <c r="F1088" s="1">
        <v>235.33999600000001</v>
      </c>
      <c r="G1088" s="2">
        <v>4130300</v>
      </c>
      <c r="H1088" s="2">
        <f t="shared" si="128"/>
        <v>2014</v>
      </c>
      <c r="I1088" s="2">
        <f t="shared" si="129"/>
        <v>10</v>
      </c>
      <c r="J1088" s="2">
        <f t="shared" si="130"/>
        <v>21</v>
      </c>
      <c r="K1088" s="2">
        <f t="shared" si="131"/>
        <v>3</v>
      </c>
      <c r="L1088" s="2">
        <f t="shared" si="132"/>
        <v>11</v>
      </c>
      <c r="M1088" s="3">
        <f t="shared" si="133"/>
        <v>230.470001</v>
      </c>
      <c r="N1088" s="1">
        <f t="shared" ca="1" si="134"/>
        <v>230.470001</v>
      </c>
      <c r="O1088" s="5">
        <f t="shared" si="135"/>
        <v>2.1130711063779728E-2</v>
      </c>
    </row>
    <row r="1089" spans="1:15" s="2" customFormat="1" x14ac:dyDescent="0.5">
      <c r="A1089" s="6">
        <v>41934</v>
      </c>
      <c r="B1089" s="1">
        <v>233.19000199999999</v>
      </c>
      <c r="C1089" s="1">
        <v>237.38999899999999</v>
      </c>
      <c r="D1089" s="1">
        <v>230.55999800000001</v>
      </c>
      <c r="E1089" s="1">
        <v>231.10000600000001</v>
      </c>
      <c r="F1089" s="1">
        <v>231.10000600000001</v>
      </c>
      <c r="G1089" s="2">
        <v>4116600</v>
      </c>
      <c r="H1089" s="2">
        <f t="shared" si="128"/>
        <v>2014</v>
      </c>
      <c r="I1089" s="2">
        <f t="shared" si="129"/>
        <v>10</v>
      </c>
      <c r="J1089" s="2">
        <f t="shared" si="130"/>
        <v>22</v>
      </c>
      <c r="K1089" s="2">
        <f t="shared" si="131"/>
        <v>4</v>
      </c>
      <c r="L1089" s="2">
        <f t="shared" si="132"/>
        <v>11</v>
      </c>
      <c r="M1089" s="3">
        <f t="shared" si="133"/>
        <v>235.33999600000001</v>
      </c>
      <c r="N1089" s="1">
        <f t="shared" ca="1" si="134"/>
        <v>235.33999600000001</v>
      </c>
      <c r="O1089" s="5">
        <f t="shared" si="135"/>
        <v>-1.8016444599582626E-2</v>
      </c>
    </row>
    <row r="1090" spans="1:15" s="2" customFormat="1" x14ac:dyDescent="0.5">
      <c r="A1090" s="6">
        <v>41935</v>
      </c>
      <c r="B1090" s="1">
        <v>234.66000399999999</v>
      </c>
      <c r="C1090" s="1">
        <v>236.279999</v>
      </c>
      <c r="D1090" s="1">
        <v>232</v>
      </c>
      <c r="E1090" s="1">
        <v>235.28999300000001</v>
      </c>
      <c r="F1090" s="1">
        <v>235.28999300000001</v>
      </c>
      <c r="G1090" s="2">
        <v>3492400</v>
      </c>
      <c r="H1090" s="2">
        <f t="shared" ref="H1090:H1153" si="136">YEAR(A1090)</f>
        <v>2014</v>
      </c>
      <c r="I1090" s="2">
        <f t="shared" ref="I1090:I1153" si="137">MONTH(A1090)</f>
        <v>10</v>
      </c>
      <c r="J1090" s="2">
        <f t="shared" ref="J1090:J1153" si="138">DAY(A1090)</f>
        <v>23</v>
      </c>
      <c r="K1090" s="2">
        <f t="shared" ref="K1090:K1153" si="139">WEEKDAY(A1090)</f>
        <v>5</v>
      </c>
      <c r="L1090" s="2">
        <f t="shared" si="132"/>
        <v>11</v>
      </c>
      <c r="M1090" s="3">
        <f t="shared" si="133"/>
        <v>231.10000600000001</v>
      </c>
      <c r="N1090" s="1">
        <f t="shared" ca="1" si="134"/>
        <v>231.10000600000001</v>
      </c>
      <c r="O1090" s="5">
        <f t="shared" si="135"/>
        <v>1.8130622636158611E-2</v>
      </c>
    </row>
    <row r="1091" spans="1:15" s="2" customFormat="1" x14ac:dyDescent="0.5">
      <c r="A1091" s="6">
        <v>41936</v>
      </c>
      <c r="B1091" s="1">
        <v>236.270004</v>
      </c>
      <c r="C1091" s="1">
        <v>237.800003</v>
      </c>
      <c r="D1091" s="1">
        <v>231.199997</v>
      </c>
      <c r="E1091" s="1">
        <v>235.240005</v>
      </c>
      <c r="F1091" s="1">
        <v>235.240005</v>
      </c>
      <c r="G1091" s="2">
        <v>3463300</v>
      </c>
      <c r="H1091" s="2">
        <f t="shared" si="136"/>
        <v>2014</v>
      </c>
      <c r="I1091" s="2">
        <f t="shared" si="137"/>
        <v>10</v>
      </c>
      <c r="J1091" s="2">
        <f t="shared" si="138"/>
        <v>24</v>
      </c>
      <c r="K1091" s="2">
        <f t="shared" si="139"/>
        <v>6</v>
      </c>
      <c r="L1091" s="2">
        <f t="shared" ref="L1091:L1154" si="140">I1091+1</f>
        <v>11</v>
      </c>
      <c r="M1091" s="3">
        <f t="shared" ref="M1091:M1154" si="141">F1090</f>
        <v>235.28999300000001</v>
      </c>
      <c r="N1091" s="1">
        <f t="shared" ref="N1091:N1154" ca="1" si="142">OFFSET(F1091, -1, 0)</f>
        <v>235.28999300000001</v>
      </c>
      <c r="O1091" s="5">
        <f t="shared" ref="O1091:O1154" si="143">(F1091/M1091)-1</f>
        <v>-2.1245272424319506E-4</v>
      </c>
    </row>
    <row r="1092" spans="1:15" s="2" customFormat="1" x14ac:dyDescent="0.5">
      <c r="A1092" s="6">
        <v>41939</v>
      </c>
      <c r="B1092" s="1">
        <v>234.25</v>
      </c>
      <c r="C1092" s="1">
        <v>234.61000100000001</v>
      </c>
      <c r="D1092" s="1">
        <v>220.30999800000001</v>
      </c>
      <c r="E1092" s="1">
        <v>221.66999799999999</v>
      </c>
      <c r="F1092" s="1">
        <v>221.66999799999999</v>
      </c>
      <c r="G1092" s="2">
        <v>9553300</v>
      </c>
      <c r="H1092" s="2">
        <f t="shared" si="136"/>
        <v>2014</v>
      </c>
      <c r="I1092" s="2">
        <f t="shared" si="137"/>
        <v>10</v>
      </c>
      <c r="J1092" s="2">
        <f t="shared" si="138"/>
        <v>27</v>
      </c>
      <c r="K1092" s="2">
        <f t="shared" si="139"/>
        <v>2</v>
      </c>
      <c r="L1092" s="2">
        <f t="shared" si="140"/>
        <v>11</v>
      </c>
      <c r="M1092" s="3">
        <f t="shared" si="141"/>
        <v>235.240005</v>
      </c>
      <c r="N1092" s="1">
        <f t="shared" ca="1" si="142"/>
        <v>235.240005</v>
      </c>
      <c r="O1092" s="5">
        <f t="shared" si="143"/>
        <v>-5.7685796257316069E-2</v>
      </c>
    </row>
    <row r="1093" spans="1:15" s="2" customFormat="1" x14ac:dyDescent="0.5">
      <c r="A1093" s="6">
        <v>41940</v>
      </c>
      <c r="B1093" s="1">
        <v>229.60000600000001</v>
      </c>
      <c r="C1093" s="1">
        <v>244.60000600000001</v>
      </c>
      <c r="D1093" s="1">
        <v>228.25</v>
      </c>
      <c r="E1093" s="1">
        <v>242.770004</v>
      </c>
      <c r="F1093" s="1">
        <v>242.770004</v>
      </c>
      <c r="G1093" s="2">
        <v>10516300</v>
      </c>
      <c r="H1093" s="2">
        <f t="shared" si="136"/>
        <v>2014</v>
      </c>
      <c r="I1093" s="2">
        <f t="shared" si="137"/>
        <v>10</v>
      </c>
      <c r="J1093" s="2">
        <f t="shared" si="138"/>
        <v>28</v>
      </c>
      <c r="K1093" s="2">
        <f t="shared" si="139"/>
        <v>3</v>
      </c>
      <c r="L1093" s="2">
        <f t="shared" si="140"/>
        <v>11</v>
      </c>
      <c r="M1093" s="3">
        <f t="shared" si="141"/>
        <v>221.66999799999999</v>
      </c>
      <c r="N1093" s="1">
        <f t="shared" ca="1" si="142"/>
        <v>221.66999799999999</v>
      </c>
      <c r="O1093" s="5">
        <f t="shared" si="143"/>
        <v>9.5186566474367851E-2</v>
      </c>
    </row>
    <row r="1094" spans="1:15" s="2" customFormat="1" x14ac:dyDescent="0.5">
      <c r="A1094" s="6">
        <v>41941</v>
      </c>
      <c r="B1094" s="1">
        <v>241.13000500000001</v>
      </c>
      <c r="C1094" s="1">
        <v>241.5</v>
      </c>
      <c r="D1094" s="1">
        <v>235.63999899999999</v>
      </c>
      <c r="E1094" s="1">
        <v>238.10000600000001</v>
      </c>
      <c r="F1094" s="1">
        <v>238.10000600000001</v>
      </c>
      <c r="G1094" s="2">
        <v>4962500</v>
      </c>
      <c r="H1094" s="2">
        <f t="shared" si="136"/>
        <v>2014</v>
      </c>
      <c r="I1094" s="2">
        <f t="shared" si="137"/>
        <v>10</v>
      </c>
      <c r="J1094" s="2">
        <f t="shared" si="138"/>
        <v>29</v>
      </c>
      <c r="K1094" s="2">
        <f t="shared" si="139"/>
        <v>4</v>
      </c>
      <c r="L1094" s="2">
        <f t="shared" si="140"/>
        <v>11</v>
      </c>
      <c r="M1094" s="3">
        <f t="shared" si="141"/>
        <v>242.770004</v>
      </c>
      <c r="N1094" s="1">
        <f t="shared" ca="1" si="142"/>
        <v>242.770004</v>
      </c>
      <c r="O1094" s="5">
        <f t="shared" si="143"/>
        <v>-1.9236305651665231E-2</v>
      </c>
    </row>
    <row r="1095" spans="1:15" s="2" customFormat="1" x14ac:dyDescent="0.5">
      <c r="A1095" s="6">
        <v>41942</v>
      </c>
      <c r="B1095" s="1">
        <v>238.13999899999999</v>
      </c>
      <c r="C1095" s="1">
        <v>240.5</v>
      </c>
      <c r="D1095" s="1">
        <v>235.05999800000001</v>
      </c>
      <c r="E1095" s="1">
        <v>238.66000399999999</v>
      </c>
      <c r="F1095" s="1">
        <v>238.66000399999999</v>
      </c>
      <c r="G1095" s="2">
        <v>3228400</v>
      </c>
      <c r="H1095" s="2">
        <f t="shared" si="136"/>
        <v>2014</v>
      </c>
      <c r="I1095" s="2">
        <f t="shared" si="137"/>
        <v>10</v>
      </c>
      <c r="J1095" s="2">
        <f t="shared" si="138"/>
        <v>30</v>
      </c>
      <c r="K1095" s="2">
        <f t="shared" si="139"/>
        <v>5</v>
      </c>
      <c r="L1095" s="2">
        <f t="shared" si="140"/>
        <v>11</v>
      </c>
      <c r="M1095" s="3">
        <f t="shared" si="141"/>
        <v>238.10000600000001</v>
      </c>
      <c r="N1095" s="1">
        <f t="shared" ca="1" si="142"/>
        <v>238.10000600000001</v>
      </c>
      <c r="O1095" s="5">
        <f t="shared" si="143"/>
        <v>2.3519445018409524E-3</v>
      </c>
    </row>
    <row r="1096" spans="1:15" s="2" customFormat="1" x14ac:dyDescent="0.5">
      <c r="A1096" s="6">
        <v>41943</v>
      </c>
      <c r="B1096" s="1">
        <v>242.509995</v>
      </c>
      <c r="C1096" s="1">
        <v>243.11999499999999</v>
      </c>
      <c r="D1096" s="1">
        <v>238.75</v>
      </c>
      <c r="E1096" s="1">
        <v>241.699997</v>
      </c>
      <c r="F1096" s="1">
        <v>241.699997</v>
      </c>
      <c r="G1096" s="2">
        <v>3775300</v>
      </c>
      <c r="H1096" s="2">
        <f t="shared" si="136"/>
        <v>2014</v>
      </c>
      <c r="I1096" s="2">
        <f t="shared" si="137"/>
        <v>10</v>
      </c>
      <c r="J1096" s="2">
        <f t="shared" si="138"/>
        <v>31</v>
      </c>
      <c r="K1096" s="2">
        <f t="shared" si="139"/>
        <v>6</v>
      </c>
      <c r="L1096" s="2">
        <f t="shared" si="140"/>
        <v>11</v>
      </c>
      <c r="M1096" s="3">
        <f t="shared" si="141"/>
        <v>238.66000399999999</v>
      </c>
      <c r="N1096" s="1">
        <f t="shared" ca="1" si="142"/>
        <v>238.66000399999999</v>
      </c>
      <c r="O1096" s="5">
        <f t="shared" si="143"/>
        <v>1.2737756427759095E-2</v>
      </c>
    </row>
    <row r="1097" spans="1:15" s="2" customFormat="1" x14ac:dyDescent="0.5">
      <c r="A1097" s="6">
        <v>41946</v>
      </c>
      <c r="B1097" s="1">
        <v>243</v>
      </c>
      <c r="C1097" s="1">
        <v>247.55999800000001</v>
      </c>
      <c r="D1097" s="1">
        <v>241.320007</v>
      </c>
      <c r="E1097" s="1">
        <v>242.58999600000001</v>
      </c>
      <c r="F1097" s="1">
        <v>242.58999600000001</v>
      </c>
      <c r="G1097" s="2">
        <v>4203800</v>
      </c>
      <c r="H1097" s="2">
        <f t="shared" si="136"/>
        <v>2014</v>
      </c>
      <c r="I1097" s="2">
        <f t="shared" si="137"/>
        <v>11</v>
      </c>
      <c r="J1097" s="2">
        <f t="shared" si="138"/>
        <v>3</v>
      </c>
      <c r="K1097" s="2">
        <f t="shared" si="139"/>
        <v>2</v>
      </c>
      <c r="L1097" s="2">
        <f t="shared" si="140"/>
        <v>12</v>
      </c>
      <c r="M1097" s="3">
        <f t="shared" si="141"/>
        <v>241.699997</v>
      </c>
      <c r="N1097" s="1">
        <f t="shared" ca="1" si="142"/>
        <v>241.699997</v>
      </c>
      <c r="O1097" s="5">
        <f t="shared" si="143"/>
        <v>3.6822466323820358E-3</v>
      </c>
    </row>
    <row r="1098" spans="1:15" s="2" customFormat="1" x14ac:dyDescent="0.5">
      <c r="A1098" s="6">
        <v>41947</v>
      </c>
      <c r="B1098" s="1">
        <v>240.490005</v>
      </c>
      <c r="C1098" s="1">
        <v>242.35000600000001</v>
      </c>
      <c r="D1098" s="1">
        <v>236.529999</v>
      </c>
      <c r="E1098" s="1">
        <v>238.929993</v>
      </c>
      <c r="F1098" s="1">
        <v>238.929993</v>
      </c>
      <c r="G1098" s="2">
        <v>3682600</v>
      </c>
      <c r="H1098" s="2">
        <f t="shared" si="136"/>
        <v>2014</v>
      </c>
      <c r="I1098" s="2">
        <f t="shared" si="137"/>
        <v>11</v>
      </c>
      <c r="J1098" s="2">
        <f t="shared" si="138"/>
        <v>4</v>
      </c>
      <c r="K1098" s="2">
        <f t="shared" si="139"/>
        <v>3</v>
      </c>
      <c r="L1098" s="2">
        <f t="shared" si="140"/>
        <v>12</v>
      </c>
      <c r="M1098" s="3">
        <f t="shared" si="141"/>
        <v>242.58999600000001</v>
      </c>
      <c r="N1098" s="1">
        <f t="shared" ca="1" si="142"/>
        <v>242.58999600000001</v>
      </c>
      <c r="O1098" s="5">
        <f t="shared" si="143"/>
        <v>-1.5087196753158838E-2</v>
      </c>
    </row>
    <row r="1099" spans="1:15" s="2" customFormat="1" x14ac:dyDescent="0.5">
      <c r="A1099" s="6">
        <v>41948</v>
      </c>
      <c r="B1099" s="1">
        <v>241</v>
      </c>
      <c r="C1099" s="1">
        <v>241.36000100000001</v>
      </c>
      <c r="D1099" s="1">
        <v>230.529999</v>
      </c>
      <c r="E1099" s="1">
        <v>230.970001</v>
      </c>
      <c r="F1099" s="1">
        <v>230.970001</v>
      </c>
      <c r="G1099" s="2">
        <v>9045900</v>
      </c>
      <c r="H1099" s="2">
        <f t="shared" si="136"/>
        <v>2014</v>
      </c>
      <c r="I1099" s="2">
        <f t="shared" si="137"/>
        <v>11</v>
      </c>
      <c r="J1099" s="2">
        <f t="shared" si="138"/>
        <v>5</v>
      </c>
      <c r="K1099" s="2">
        <f t="shared" si="139"/>
        <v>4</v>
      </c>
      <c r="L1099" s="2">
        <f t="shared" si="140"/>
        <v>12</v>
      </c>
      <c r="M1099" s="3">
        <f t="shared" si="141"/>
        <v>238.929993</v>
      </c>
      <c r="N1099" s="1">
        <f t="shared" ca="1" si="142"/>
        <v>238.929993</v>
      </c>
      <c r="O1099" s="5">
        <f t="shared" si="143"/>
        <v>-3.3315164413033727E-2</v>
      </c>
    </row>
    <row r="1100" spans="1:15" s="2" customFormat="1" x14ac:dyDescent="0.5">
      <c r="A1100" s="6">
        <v>41949</v>
      </c>
      <c r="B1100" s="1">
        <v>234.490005</v>
      </c>
      <c r="C1100" s="1">
        <v>246.69000199999999</v>
      </c>
      <c r="D1100" s="1">
        <v>228.5</v>
      </c>
      <c r="E1100" s="1">
        <v>241.220001</v>
      </c>
      <c r="F1100" s="1">
        <v>241.220001</v>
      </c>
      <c r="G1100" s="2">
        <v>15354700</v>
      </c>
      <c r="H1100" s="2">
        <f t="shared" si="136"/>
        <v>2014</v>
      </c>
      <c r="I1100" s="2">
        <f t="shared" si="137"/>
        <v>11</v>
      </c>
      <c r="J1100" s="2">
        <f t="shared" si="138"/>
        <v>6</v>
      </c>
      <c r="K1100" s="2">
        <f t="shared" si="139"/>
        <v>5</v>
      </c>
      <c r="L1100" s="2">
        <f t="shared" si="140"/>
        <v>12</v>
      </c>
      <c r="M1100" s="3">
        <f t="shared" si="141"/>
        <v>230.970001</v>
      </c>
      <c r="N1100" s="1">
        <f t="shared" ca="1" si="142"/>
        <v>230.970001</v>
      </c>
      <c r="O1100" s="5">
        <f t="shared" si="143"/>
        <v>4.4378057564280926E-2</v>
      </c>
    </row>
    <row r="1101" spans="1:15" s="2" customFormat="1" x14ac:dyDescent="0.5">
      <c r="A1101" s="6">
        <v>41950</v>
      </c>
      <c r="B1101" s="1">
        <v>242.19000199999999</v>
      </c>
      <c r="C1101" s="1">
        <v>242.83999600000001</v>
      </c>
      <c r="D1101" s="1">
        <v>237.199997</v>
      </c>
      <c r="E1101" s="1">
        <v>240.199997</v>
      </c>
      <c r="F1101" s="1">
        <v>240.199997</v>
      </c>
      <c r="G1101" s="2">
        <v>5161000</v>
      </c>
      <c r="H1101" s="2">
        <f t="shared" si="136"/>
        <v>2014</v>
      </c>
      <c r="I1101" s="2">
        <f t="shared" si="137"/>
        <v>11</v>
      </c>
      <c r="J1101" s="2">
        <f t="shared" si="138"/>
        <v>7</v>
      </c>
      <c r="K1101" s="2">
        <f t="shared" si="139"/>
        <v>6</v>
      </c>
      <c r="L1101" s="2">
        <f t="shared" si="140"/>
        <v>12</v>
      </c>
      <c r="M1101" s="3">
        <f t="shared" si="141"/>
        <v>241.220001</v>
      </c>
      <c r="N1101" s="1">
        <f t="shared" ca="1" si="142"/>
        <v>241.220001</v>
      </c>
      <c r="O1101" s="5">
        <f t="shared" si="143"/>
        <v>-4.2285216639228462E-3</v>
      </c>
    </row>
    <row r="1102" spans="1:15" s="2" customFormat="1" x14ac:dyDescent="0.5">
      <c r="A1102" s="6">
        <v>41953</v>
      </c>
      <c r="B1102" s="1">
        <v>239.11000100000001</v>
      </c>
      <c r="C1102" s="1">
        <v>242.88000500000001</v>
      </c>
      <c r="D1102" s="1">
        <v>236.800003</v>
      </c>
      <c r="E1102" s="1">
        <v>241.929993</v>
      </c>
      <c r="F1102" s="1">
        <v>241.929993</v>
      </c>
      <c r="G1102" s="2">
        <v>4577200</v>
      </c>
      <c r="H1102" s="2">
        <f t="shared" si="136"/>
        <v>2014</v>
      </c>
      <c r="I1102" s="2">
        <f t="shared" si="137"/>
        <v>11</v>
      </c>
      <c r="J1102" s="2">
        <f t="shared" si="138"/>
        <v>10</v>
      </c>
      <c r="K1102" s="2">
        <f t="shared" si="139"/>
        <v>2</v>
      </c>
      <c r="L1102" s="2">
        <f t="shared" si="140"/>
        <v>12</v>
      </c>
      <c r="M1102" s="3">
        <f t="shared" si="141"/>
        <v>240.199997</v>
      </c>
      <c r="N1102" s="1">
        <f t="shared" ca="1" si="142"/>
        <v>240.199997</v>
      </c>
      <c r="O1102" s="5">
        <f t="shared" si="143"/>
        <v>7.2023148276725291E-3</v>
      </c>
    </row>
    <row r="1103" spans="1:15" s="2" customFormat="1" x14ac:dyDescent="0.5">
      <c r="A1103" s="6">
        <v>41954</v>
      </c>
      <c r="B1103" s="1">
        <v>242.550003</v>
      </c>
      <c r="C1103" s="1">
        <v>251.820007</v>
      </c>
      <c r="D1103" s="1">
        <v>242</v>
      </c>
      <c r="E1103" s="1">
        <v>251.08000200000001</v>
      </c>
      <c r="F1103" s="1">
        <v>251.08000200000001</v>
      </c>
      <c r="G1103" s="2">
        <v>7948800</v>
      </c>
      <c r="H1103" s="2">
        <f t="shared" si="136"/>
        <v>2014</v>
      </c>
      <c r="I1103" s="2">
        <f t="shared" si="137"/>
        <v>11</v>
      </c>
      <c r="J1103" s="2">
        <f t="shared" si="138"/>
        <v>11</v>
      </c>
      <c r="K1103" s="2">
        <f t="shared" si="139"/>
        <v>3</v>
      </c>
      <c r="L1103" s="2">
        <f t="shared" si="140"/>
        <v>12</v>
      </c>
      <c r="M1103" s="3">
        <f t="shared" si="141"/>
        <v>241.929993</v>
      </c>
      <c r="N1103" s="1">
        <f t="shared" ca="1" si="142"/>
        <v>241.929993</v>
      </c>
      <c r="O1103" s="5">
        <f t="shared" si="143"/>
        <v>3.7820895567917567E-2</v>
      </c>
    </row>
    <row r="1104" spans="1:15" s="2" customFormat="1" x14ac:dyDescent="0.5">
      <c r="A1104" s="6">
        <v>41955</v>
      </c>
      <c r="B1104" s="1">
        <v>249.720001</v>
      </c>
      <c r="C1104" s="1">
        <v>252.33999600000001</v>
      </c>
      <c r="D1104" s="1">
        <v>245.58000200000001</v>
      </c>
      <c r="E1104" s="1">
        <v>249.10000600000001</v>
      </c>
      <c r="F1104" s="1">
        <v>249.10000600000001</v>
      </c>
      <c r="G1104" s="2">
        <v>5870800</v>
      </c>
      <c r="H1104" s="2">
        <f t="shared" si="136"/>
        <v>2014</v>
      </c>
      <c r="I1104" s="2">
        <f t="shared" si="137"/>
        <v>11</v>
      </c>
      <c r="J1104" s="2">
        <f t="shared" si="138"/>
        <v>12</v>
      </c>
      <c r="K1104" s="2">
        <f t="shared" si="139"/>
        <v>4</v>
      </c>
      <c r="L1104" s="2">
        <f t="shared" si="140"/>
        <v>12</v>
      </c>
      <c r="M1104" s="3">
        <f t="shared" si="141"/>
        <v>251.08000200000001</v>
      </c>
      <c r="N1104" s="1">
        <f t="shared" ca="1" si="142"/>
        <v>251.08000200000001</v>
      </c>
      <c r="O1104" s="5">
        <f t="shared" si="143"/>
        <v>-7.8859167764384619E-3</v>
      </c>
    </row>
    <row r="1105" spans="1:15" s="2" customFormat="1" x14ac:dyDescent="0.5">
      <c r="A1105" s="6">
        <v>41956</v>
      </c>
      <c r="B1105" s="1">
        <v>250.61999499999999</v>
      </c>
      <c r="C1105" s="1">
        <v>255.75</v>
      </c>
      <c r="D1105" s="1">
        <v>250.25</v>
      </c>
      <c r="E1105" s="1">
        <v>251.699997</v>
      </c>
      <c r="F1105" s="1">
        <v>251.699997</v>
      </c>
      <c r="G1105" s="2">
        <v>6236000</v>
      </c>
      <c r="H1105" s="2">
        <f t="shared" si="136"/>
        <v>2014</v>
      </c>
      <c r="I1105" s="2">
        <f t="shared" si="137"/>
        <v>11</v>
      </c>
      <c r="J1105" s="2">
        <f t="shared" si="138"/>
        <v>13</v>
      </c>
      <c r="K1105" s="2">
        <f t="shared" si="139"/>
        <v>5</v>
      </c>
      <c r="L1105" s="2">
        <f t="shared" si="140"/>
        <v>12</v>
      </c>
      <c r="M1105" s="3">
        <f t="shared" si="141"/>
        <v>249.10000600000001</v>
      </c>
      <c r="N1105" s="1">
        <f t="shared" ca="1" si="142"/>
        <v>249.10000600000001</v>
      </c>
      <c r="O1105" s="5">
        <f t="shared" si="143"/>
        <v>1.0437538889501274E-2</v>
      </c>
    </row>
    <row r="1106" spans="1:15" s="2" customFormat="1" x14ac:dyDescent="0.5">
      <c r="A1106" s="6">
        <v>41957</v>
      </c>
      <c r="B1106" s="1">
        <v>250</v>
      </c>
      <c r="C1106" s="1">
        <v>258.85000600000001</v>
      </c>
      <c r="D1106" s="1">
        <v>248.5</v>
      </c>
      <c r="E1106" s="1">
        <v>258.67999300000002</v>
      </c>
      <c r="F1106" s="1">
        <v>258.67999300000002</v>
      </c>
      <c r="G1106" s="2">
        <v>6101100</v>
      </c>
      <c r="H1106" s="2">
        <f t="shared" si="136"/>
        <v>2014</v>
      </c>
      <c r="I1106" s="2">
        <f t="shared" si="137"/>
        <v>11</v>
      </c>
      <c r="J1106" s="2">
        <f t="shared" si="138"/>
        <v>14</v>
      </c>
      <c r="K1106" s="2">
        <f t="shared" si="139"/>
        <v>6</v>
      </c>
      <c r="L1106" s="2">
        <f t="shared" si="140"/>
        <v>12</v>
      </c>
      <c r="M1106" s="3">
        <f t="shared" si="141"/>
        <v>251.699997</v>
      </c>
      <c r="N1106" s="1">
        <f t="shared" ca="1" si="142"/>
        <v>251.699997</v>
      </c>
      <c r="O1106" s="5">
        <f t="shared" si="143"/>
        <v>2.7731410739746831E-2</v>
      </c>
    </row>
    <row r="1107" spans="1:15" s="2" customFormat="1" x14ac:dyDescent="0.5">
      <c r="A1107" s="6">
        <v>41960</v>
      </c>
      <c r="B1107" s="1">
        <v>257.48998999999998</v>
      </c>
      <c r="C1107" s="1">
        <v>259</v>
      </c>
      <c r="D1107" s="1">
        <v>252.020004</v>
      </c>
      <c r="E1107" s="1">
        <v>253.979996</v>
      </c>
      <c r="F1107" s="1">
        <v>253.979996</v>
      </c>
      <c r="G1107" s="2">
        <v>4025700</v>
      </c>
      <c r="H1107" s="2">
        <f t="shared" si="136"/>
        <v>2014</v>
      </c>
      <c r="I1107" s="2">
        <f t="shared" si="137"/>
        <v>11</v>
      </c>
      <c r="J1107" s="2">
        <f t="shared" si="138"/>
        <v>17</v>
      </c>
      <c r="K1107" s="2">
        <f t="shared" si="139"/>
        <v>2</v>
      </c>
      <c r="L1107" s="2">
        <f t="shared" si="140"/>
        <v>12</v>
      </c>
      <c r="M1107" s="3">
        <f t="shared" si="141"/>
        <v>258.67999300000002</v>
      </c>
      <c r="N1107" s="1">
        <f t="shared" ca="1" si="142"/>
        <v>258.67999300000002</v>
      </c>
      <c r="O1107" s="5">
        <f t="shared" si="143"/>
        <v>-1.8169155432132822E-2</v>
      </c>
    </row>
    <row r="1108" spans="1:15" s="2" customFormat="1" x14ac:dyDescent="0.5">
      <c r="A1108" s="6">
        <v>41961</v>
      </c>
      <c r="B1108" s="1">
        <v>255.86000100000001</v>
      </c>
      <c r="C1108" s="1">
        <v>259.98998999999998</v>
      </c>
      <c r="D1108" s="1">
        <v>255.509995</v>
      </c>
      <c r="E1108" s="1">
        <v>257.70001200000002</v>
      </c>
      <c r="F1108" s="1">
        <v>257.70001200000002</v>
      </c>
      <c r="G1108" s="2">
        <v>4473000</v>
      </c>
      <c r="H1108" s="2">
        <f t="shared" si="136"/>
        <v>2014</v>
      </c>
      <c r="I1108" s="2">
        <f t="shared" si="137"/>
        <v>11</v>
      </c>
      <c r="J1108" s="2">
        <f t="shared" si="138"/>
        <v>18</v>
      </c>
      <c r="K1108" s="2">
        <f t="shared" si="139"/>
        <v>3</v>
      </c>
      <c r="L1108" s="2">
        <f t="shared" si="140"/>
        <v>12</v>
      </c>
      <c r="M1108" s="3">
        <f t="shared" si="141"/>
        <v>253.979996</v>
      </c>
      <c r="N1108" s="1">
        <f t="shared" ca="1" si="142"/>
        <v>253.979996</v>
      </c>
      <c r="O1108" s="5">
        <f t="shared" si="143"/>
        <v>1.4646885812219734E-2</v>
      </c>
    </row>
    <row r="1109" spans="1:15" s="2" customFormat="1" x14ac:dyDescent="0.5">
      <c r="A1109" s="6">
        <v>41962</v>
      </c>
      <c r="B1109" s="1">
        <v>250.61000100000001</v>
      </c>
      <c r="C1109" s="1">
        <v>251.88000500000001</v>
      </c>
      <c r="D1109" s="1">
        <v>245.60000600000001</v>
      </c>
      <c r="E1109" s="1">
        <v>247.740005</v>
      </c>
      <c r="F1109" s="1">
        <v>247.740005</v>
      </c>
      <c r="G1109" s="2">
        <v>7918500</v>
      </c>
      <c r="H1109" s="2">
        <f t="shared" si="136"/>
        <v>2014</v>
      </c>
      <c r="I1109" s="2">
        <f t="shared" si="137"/>
        <v>11</v>
      </c>
      <c r="J1109" s="2">
        <f t="shared" si="138"/>
        <v>19</v>
      </c>
      <c r="K1109" s="2">
        <f t="shared" si="139"/>
        <v>4</v>
      </c>
      <c r="L1109" s="2">
        <f t="shared" si="140"/>
        <v>12</v>
      </c>
      <c r="M1109" s="3">
        <f t="shared" si="141"/>
        <v>257.70001200000002</v>
      </c>
      <c r="N1109" s="1">
        <f t="shared" ca="1" si="142"/>
        <v>257.70001200000002</v>
      </c>
      <c r="O1109" s="5">
        <f t="shared" si="143"/>
        <v>-3.8649617913095069E-2</v>
      </c>
    </row>
    <row r="1110" spans="1:15" s="2" customFormat="1" x14ac:dyDescent="0.5">
      <c r="A1110" s="6">
        <v>41963</v>
      </c>
      <c r="B1110" s="1">
        <v>247.949997</v>
      </c>
      <c r="C1110" s="1">
        <v>250.929993</v>
      </c>
      <c r="D1110" s="1">
        <v>246</v>
      </c>
      <c r="E1110" s="1">
        <v>248.71000699999999</v>
      </c>
      <c r="F1110" s="1">
        <v>248.71000699999999</v>
      </c>
      <c r="G1110" s="2">
        <v>3587200</v>
      </c>
      <c r="H1110" s="2">
        <f t="shared" si="136"/>
        <v>2014</v>
      </c>
      <c r="I1110" s="2">
        <f t="shared" si="137"/>
        <v>11</v>
      </c>
      <c r="J1110" s="2">
        <f t="shared" si="138"/>
        <v>20</v>
      </c>
      <c r="K1110" s="2">
        <f t="shared" si="139"/>
        <v>5</v>
      </c>
      <c r="L1110" s="2">
        <f t="shared" si="140"/>
        <v>12</v>
      </c>
      <c r="M1110" s="3">
        <f t="shared" si="141"/>
        <v>247.740005</v>
      </c>
      <c r="N1110" s="1">
        <f t="shared" ca="1" si="142"/>
        <v>247.740005</v>
      </c>
      <c r="O1110" s="5">
        <f t="shared" si="143"/>
        <v>3.9154031663153344E-3</v>
      </c>
    </row>
    <row r="1111" spans="1:15" s="2" customFormat="1" x14ac:dyDescent="0.5">
      <c r="A1111" s="6">
        <v>41964</v>
      </c>
      <c r="B1111" s="1">
        <v>252.21000699999999</v>
      </c>
      <c r="C1111" s="1">
        <v>252.779999</v>
      </c>
      <c r="D1111" s="1">
        <v>242.16999799999999</v>
      </c>
      <c r="E1111" s="1">
        <v>242.779999</v>
      </c>
      <c r="F1111" s="1">
        <v>242.779999</v>
      </c>
      <c r="G1111" s="2">
        <v>7485100</v>
      </c>
      <c r="H1111" s="2">
        <f t="shared" si="136"/>
        <v>2014</v>
      </c>
      <c r="I1111" s="2">
        <f t="shared" si="137"/>
        <v>11</v>
      </c>
      <c r="J1111" s="2">
        <f t="shared" si="138"/>
        <v>21</v>
      </c>
      <c r="K1111" s="2">
        <f t="shared" si="139"/>
        <v>6</v>
      </c>
      <c r="L1111" s="2">
        <f t="shared" si="140"/>
        <v>12</v>
      </c>
      <c r="M1111" s="3">
        <f t="shared" si="141"/>
        <v>248.71000699999999</v>
      </c>
      <c r="N1111" s="1">
        <f t="shared" ca="1" si="142"/>
        <v>248.71000699999999</v>
      </c>
      <c r="O1111" s="5">
        <f t="shared" si="143"/>
        <v>-2.3843061529888465E-2</v>
      </c>
    </row>
    <row r="1112" spans="1:15" s="2" customFormat="1" x14ac:dyDescent="0.5">
      <c r="A1112" s="6">
        <v>41967</v>
      </c>
      <c r="B1112" s="1">
        <v>245.199997</v>
      </c>
      <c r="C1112" s="1">
        <v>247.60000600000001</v>
      </c>
      <c r="D1112" s="1">
        <v>240.63999899999999</v>
      </c>
      <c r="E1112" s="1">
        <v>246.720001</v>
      </c>
      <c r="F1112" s="1">
        <v>246.720001</v>
      </c>
      <c r="G1112" s="2">
        <v>4789700</v>
      </c>
      <c r="H1112" s="2">
        <f t="shared" si="136"/>
        <v>2014</v>
      </c>
      <c r="I1112" s="2">
        <f t="shared" si="137"/>
        <v>11</v>
      </c>
      <c r="J1112" s="2">
        <f t="shared" si="138"/>
        <v>24</v>
      </c>
      <c r="K1112" s="2">
        <f t="shared" si="139"/>
        <v>2</v>
      </c>
      <c r="L1112" s="2">
        <f t="shared" si="140"/>
        <v>12</v>
      </c>
      <c r="M1112" s="3">
        <f t="shared" si="141"/>
        <v>242.779999</v>
      </c>
      <c r="N1112" s="1">
        <f t="shared" ca="1" si="142"/>
        <v>242.779999</v>
      </c>
      <c r="O1112" s="5">
        <f t="shared" si="143"/>
        <v>1.6228692710390735E-2</v>
      </c>
    </row>
    <row r="1113" spans="1:15" s="2" customFormat="1" x14ac:dyDescent="0.5">
      <c r="A1113" s="6">
        <v>41968</v>
      </c>
      <c r="B1113" s="1">
        <v>247.35000600000001</v>
      </c>
      <c r="C1113" s="1">
        <v>249.720001</v>
      </c>
      <c r="D1113" s="1">
        <v>246.08999600000001</v>
      </c>
      <c r="E1113" s="1">
        <v>248.08999600000001</v>
      </c>
      <c r="F1113" s="1">
        <v>248.08999600000001</v>
      </c>
      <c r="G1113" s="2">
        <v>3159800</v>
      </c>
      <c r="H1113" s="2">
        <f t="shared" si="136"/>
        <v>2014</v>
      </c>
      <c r="I1113" s="2">
        <f t="shared" si="137"/>
        <v>11</v>
      </c>
      <c r="J1113" s="2">
        <f t="shared" si="138"/>
        <v>25</v>
      </c>
      <c r="K1113" s="2">
        <f t="shared" si="139"/>
        <v>3</v>
      </c>
      <c r="L1113" s="2">
        <f t="shared" si="140"/>
        <v>12</v>
      </c>
      <c r="M1113" s="3">
        <f t="shared" si="141"/>
        <v>246.720001</v>
      </c>
      <c r="N1113" s="1">
        <f t="shared" ca="1" si="142"/>
        <v>246.720001</v>
      </c>
      <c r="O1113" s="5">
        <f t="shared" si="143"/>
        <v>5.5528331486995874E-3</v>
      </c>
    </row>
    <row r="1114" spans="1:15" s="2" customFormat="1" x14ac:dyDescent="0.5">
      <c r="A1114" s="6">
        <v>41969</v>
      </c>
      <c r="B1114" s="1">
        <v>248.33999600000001</v>
      </c>
      <c r="C1114" s="1">
        <v>249</v>
      </c>
      <c r="D1114" s="1">
        <v>246.60000600000001</v>
      </c>
      <c r="E1114" s="1">
        <v>248.44000199999999</v>
      </c>
      <c r="F1114" s="1">
        <v>248.44000199999999</v>
      </c>
      <c r="G1114" s="2">
        <v>1981200</v>
      </c>
      <c r="H1114" s="2">
        <f t="shared" si="136"/>
        <v>2014</v>
      </c>
      <c r="I1114" s="2">
        <f t="shared" si="137"/>
        <v>11</v>
      </c>
      <c r="J1114" s="2">
        <f t="shared" si="138"/>
        <v>26</v>
      </c>
      <c r="K1114" s="2">
        <f t="shared" si="139"/>
        <v>4</v>
      </c>
      <c r="L1114" s="2">
        <f t="shared" si="140"/>
        <v>12</v>
      </c>
      <c r="M1114" s="3">
        <f t="shared" si="141"/>
        <v>248.08999600000001</v>
      </c>
      <c r="N1114" s="1">
        <f t="shared" ca="1" si="142"/>
        <v>248.08999600000001</v>
      </c>
      <c r="O1114" s="5">
        <f t="shared" si="143"/>
        <v>1.4108025540859881E-3</v>
      </c>
    </row>
    <row r="1115" spans="1:15" s="2" customFormat="1" x14ac:dyDescent="0.5">
      <c r="A1115" s="6">
        <v>41971</v>
      </c>
      <c r="B1115" s="1">
        <v>245.35000600000001</v>
      </c>
      <c r="C1115" s="1">
        <v>246.69000199999999</v>
      </c>
      <c r="D1115" s="1">
        <v>242.520004</v>
      </c>
      <c r="E1115" s="1">
        <v>244.520004</v>
      </c>
      <c r="F1115" s="1">
        <v>244.520004</v>
      </c>
      <c r="G1115" s="2">
        <v>2119700</v>
      </c>
      <c r="H1115" s="2">
        <f t="shared" si="136"/>
        <v>2014</v>
      </c>
      <c r="I1115" s="2">
        <f t="shared" si="137"/>
        <v>11</v>
      </c>
      <c r="J1115" s="2">
        <f t="shared" si="138"/>
        <v>28</v>
      </c>
      <c r="K1115" s="2">
        <f t="shared" si="139"/>
        <v>6</v>
      </c>
      <c r="L1115" s="2">
        <f t="shared" si="140"/>
        <v>12</v>
      </c>
      <c r="M1115" s="3">
        <f t="shared" si="141"/>
        <v>248.44000199999999</v>
      </c>
      <c r="N1115" s="1">
        <f t="shared" ca="1" si="142"/>
        <v>248.44000199999999</v>
      </c>
      <c r="O1115" s="5">
        <f t="shared" si="143"/>
        <v>-1.5778449398015981E-2</v>
      </c>
    </row>
    <row r="1116" spans="1:15" s="2" customFormat="1" x14ac:dyDescent="0.5">
      <c r="A1116" s="6">
        <v>41974</v>
      </c>
      <c r="B1116" s="1">
        <v>241.16000399999999</v>
      </c>
      <c r="C1116" s="1">
        <v>242.470001</v>
      </c>
      <c r="D1116" s="1">
        <v>229.009995</v>
      </c>
      <c r="E1116" s="1">
        <v>231.63999899999999</v>
      </c>
      <c r="F1116" s="1">
        <v>231.63999899999999</v>
      </c>
      <c r="G1116" s="2">
        <v>8619400</v>
      </c>
      <c r="H1116" s="2">
        <f t="shared" si="136"/>
        <v>2014</v>
      </c>
      <c r="I1116" s="2">
        <f t="shared" si="137"/>
        <v>12</v>
      </c>
      <c r="J1116" s="2">
        <f t="shared" si="138"/>
        <v>1</v>
      </c>
      <c r="K1116" s="2">
        <f t="shared" si="139"/>
        <v>2</v>
      </c>
      <c r="L1116" s="2">
        <f t="shared" si="140"/>
        <v>13</v>
      </c>
      <c r="M1116" s="3">
        <f t="shared" si="141"/>
        <v>244.520004</v>
      </c>
      <c r="N1116" s="1">
        <f t="shared" ca="1" si="142"/>
        <v>244.520004</v>
      </c>
      <c r="O1116" s="5">
        <f t="shared" si="143"/>
        <v>-5.2674647428845978E-2</v>
      </c>
    </row>
    <row r="1117" spans="1:15" s="2" customFormat="1" x14ac:dyDescent="0.5">
      <c r="A1117" s="6">
        <v>41975</v>
      </c>
      <c r="B1117" s="1">
        <v>234.570007</v>
      </c>
      <c r="C1117" s="1">
        <v>234.88000500000001</v>
      </c>
      <c r="D1117" s="1">
        <v>228</v>
      </c>
      <c r="E1117" s="1">
        <v>231.429993</v>
      </c>
      <c r="F1117" s="1">
        <v>231.429993</v>
      </c>
      <c r="G1117" s="2">
        <v>5887000</v>
      </c>
      <c r="H1117" s="2">
        <f t="shared" si="136"/>
        <v>2014</v>
      </c>
      <c r="I1117" s="2">
        <f t="shared" si="137"/>
        <v>12</v>
      </c>
      <c r="J1117" s="2">
        <f t="shared" si="138"/>
        <v>2</v>
      </c>
      <c r="K1117" s="2">
        <f t="shared" si="139"/>
        <v>3</v>
      </c>
      <c r="L1117" s="2">
        <f t="shared" si="140"/>
        <v>13</v>
      </c>
      <c r="M1117" s="3">
        <f t="shared" si="141"/>
        <v>231.63999899999999</v>
      </c>
      <c r="N1117" s="1">
        <f t="shared" ca="1" si="142"/>
        <v>231.63999899999999</v>
      </c>
      <c r="O1117" s="5">
        <f t="shared" si="143"/>
        <v>-9.06605080757239E-4</v>
      </c>
    </row>
    <row r="1118" spans="1:15" s="2" customFormat="1" x14ac:dyDescent="0.5">
      <c r="A1118" s="6">
        <v>41976</v>
      </c>
      <c r="B1118" s="1">
        <v>226.25</v>
      </c>
      <c r="C1118" s="1">
        <v>229.720001</v>
      </c>
      <c r="D1118" s="1">
        <v>225.5</v>
      </c>
      <c r="E1118" s="1">
        <v>229.300003</v>
      </c>
      <c r="F1118" s="1">
        <v>229.300003</v>
      </c>
      <c r="G1118" s="2">
        <v>5307700</v>
      </c>
      <c r="H1118" s="2">
        <f t="shared" si="136"/>
        <v>2014</v>
      </c>
      <c r="I1118" s="2">
        <f t="shared" si="137"/>
        <v>12</v>
      </c>
      <c r="J1118" s="2">
        <f t="shared" si="138"/>
        <v>3</v>
      </c>
      <c r="K1118" s="2">
        <f t="shared" si="139"/>
        <v>4</v>
      </c>
      <c r="L1118" s="2">
        <f t="shared" si="140"/>
        <v>13</v>
      </c>
      <c r="M1118" s="3">
        <f t="shared" si="141"/>
        <v>231.429993</v>
      </c>
      <c r="N1118" s="1">
        <f t="shared" ca="1" si="142"/>
        <v>231.429993</v>
      </c>
      <c r="O1118" s="5">
        <f t="shared" si="143"/>
        <v>-9.2036039598376584E-3</v>
      </c>
    </row>
    <row r="1119" spans="1:15" s="2" customFormat="1" x14ac:dyDescent="0.5">
      <c r="A1119" s="6">
        <v>41977</v>
      </c>
      <c r="B1119" s="1">
        <v>228.60000600000001</v>
      </c>
      <c r="C1119" s="1">
        <v>230.89999399999999</v>
      </c>
      <c r="D1119" s="1">
        <v>227.80999800000001</v>
      </c>
      <c r="E1119" s="1">
        <v>228.279999</v>
      </c>
      <c r="F1119" s="1">
        <v>228.279999</v>
      </c>
      <c r="G1119" s="2">
        <v>3855600</v>
      </c>
      <c r="H1119" s="2">
        <f t="shared" si="136"/>
        <v>2014</v>
      </c>
      <c r="I1119" s="2">
        <f t="shared" si="137"/>
        <v>12</v>
      </c>
      <c r="J1119" s="2">
        <f t="shared" si="138"/>
        <v>4</v>
      </c>
      <c r="K1119" s="2">
        <f t="shared" si="139"/>
        <v>5</v>
      </c>
      <c r="L1119" s="2">
        <f t="shared" si="140"/>
        <v>13</v>
      </c>
      <c r="M1119" s="3">
        <f t="shared" si="141"/>
        <v>229.300003</v>
      </c>
      <c r="N1119" s="1">
        <f t="shared" ca="1" si="142"/>
        <v>229.300003</v>
      </c>
      <c r="O1119" s="5">
        <f t="shared" si="143"/>
        <v>-4.4483383630832263E-3</v>
      </c>
    </row>
    <row r="1120" spans="1:15" s="2" customFormat="1" x14ac:dyDescent="0.5">
      <c r="A1120" s="6">
        <v>41978</v>
      </c>
      <c r="B1120" s="1">
        <v>228.66999799999999</v>
      </c>
      <c r="C1120" s="1">
        <v>229.38999899999999</v>
      </c>
      <c r="D1120" s="1">
        <v>222.259995</v>
      </c>
      <c r="E1120" s="1">
        <v>223.71000699999999</v>
      </c>
      <c r="F1120" s="1">
        <v>223.71000699999999</v>
      </c>
      <c r="G1120" s="2">
        <v>6063600</v>
      </c>
      <c r="H1120" s="2">
        <f t="shared" si="136"/>
        <v>2014</v>
      </c>
      <c r="I1120" s="2">
        <f t="shared" si="137"/>
        <v>12</v>
      </c>
      <c r="J1120" s="2">
        <f t="shared" si="138"/>
        <v>5</v>
      </c>
      <c r="K1120" s="2">
        <f t="shared" si="139"/>
        <v>6</v>
      </c>
      <c r="L1120" s="2">
        <f t="shared" si="140"/>
        <v>13</v>
      </c>
      <c r="M1120" s="3">
        <f t="shared" si="141"/>
        <v>228.279999</v>
      </c>
      <c r="N1120" s="1">
        <f t="shared" ca="1" si="142"/>
        <v>228.279999</v>
      </c>
      <c r="O1120" s="5">
        <f t="shared" si="143"/>
        <v>-2.0019239618097262E-2</v>
      </c>
    </row>
    <row r="1121" spans="1:15" s="2" customFormat="1" x14ac:dyDescent="0.5">
      <c r="A1121" s="6">
        <v>41981</v>
      </c>
      <c r="B1121" s="1">
        <v>221.53999300000001</v>
      </c>
      <c r="C1121" s="1">
        <v>224.86000100000001</v>
      </c>
      <c r="D1121" s="1">
        <v>212.33999600000001</v>
      </c>
      <c r="E1121" s="1">
        <v>214.36000100000001</v>
      </c>
      <c r="F1121" s="1">
        <v>214.36000100000001</v>
      </c>
      <c r="G1121" s="2">
        <v>9225600</v>
      </c>
      <c r="H1121" s="2">
        <f t="shared" si="136"/>
        <v>2014</v>
      </c>
      <c r="I1121" s="2">
        <f t="shared" si="137"/>
        <v>12</v>
      </c>
      <c r="J1121" s="2">
        <f t="shared" si="138"/>
        <v>8</v>
      </c>
      <c r="K1121" s="2">
        <f t="shared" si="139"/>
        <v>2</v>
      </c>
      <c r="L1121" s="2">
        <f t="shared" si="140"/>
        <v>13</v>
      </c>
      <c r="M1121" s="3">
        <f t="shared" si="141"/>
        <v>223.71000699999999</v>
      </c>
      <c r="N1121" s="1">
        <f t="shared" ca="1" si="142"/>
        <v>223.71000699999999</v>
      </c>
      <c r="O1121" s="5">
        <f t="shared" si="143"/>
        <v>-4.1795206774098315E-2</v>
      </c>
    </row>
    <row r="1122" spans="1:15" s="2" customFormat="1" x14ac:dyDescent="0.5">
      <c r="A1122" s="6">
        <v>41982</v>
      </c>
      <c r="B1122" s="1">
        <v>209.33999600000001</v>
      </c>
      <c r="C1122" s="1">
        <v>217.729996</v>
      </c>
      <c r="D1122" s="1">
        <v>204.270004</v>
      </c>
      <c r="E1122" s="1">
        <v>216.88999899999999</v>
      </c>
      <c r="F1122" s="1">
        <v>216.88999899999999</v>
      </c>
      <c r="G1122" s="2">
        <v>9431500</v>
      </c>
      <c r="H1122" s="2">
        <f t="shared" si="136"/>
        <v>2014</v>
      </c>
      <c r="I1122" s="2">
        <f t="shared" si="137"/>
        <v>12</v>
      </c>
      <c r="J1122" s="2">
        <f t="shared" si="138"/>
        <v>9</v>
      </c>
      <c r="K1122" s="2">
        <f t="shared" si="139"/>
        <v>3</v>
      </c>
      <c r="L1122" s="2">
        <f t="shared" si="140"/>
        <v>13</v>
      </c>
      <c r="M1122" s="3">
        <f t="shared" si="141"/>
        <v>214.36000100000001</v>
      </c>
      <c r="N1122" s="1">
        <f t="shared" ca="1" si="142"/>
        <v>214.36000100000001</v>
      </c>
      <c r="O1122" s="5">
        <f t="shared" si="143"/>
        <v>1.180256572213767E-2</v>
      </c>
    </row>
    <row r="1123" spans="1:15" s="2" customFormat="1" x14ac:dyDescent="0.5">
      <c r="A1123" s="6">
        <v>41983</v>
      </c>
      <c r="B1123" s="1">
        <v>214.13000500000001</v>
      </c>
      <c r="C1123" s="1">
        <v>216.770004</v>
      </c>
      <c r="D1123" s="1">
        <v>207.699997</v>
      </c>
      <c r="E1123" s="1">
        <v>209.83999600000001</v>
      </c>
      <c r="F1123" s="1">
        <v>209.83999600000001</v>
      </c>
      <c r="G1123" s="2">
        <v>7314100</v>
      </c>
      <c r="H1123" s="2">
        <f t="shared" si="136"/>
        <v>2014</v>
      </c>
      <c r="I1123" s="2">
        <f t="shared" si="137"/>
        <v>12</v>
      </c>
      <c r="J1123" s="2">
        <f t="shared" si="138"/>
        <v>10</v>
      </c>
      <c r="K1123" s="2">
        <f t="shared" si="139"/>
        <v>4</v>
      </c>
      <c r="L1123" s="2">
        <f t="shared" si="140"/>
        <v>13</v>
      </c>
      <c r="M1123" s="3">
        <f t="shared" si="141"/>
        <v>216.88999899999999</v>
      </c>
      <c r="N1123" s="1">
        <f t="shared" ca="1" si="142"/>
        <v>216.88999899999999</v>
      </c>
      <c r="O1123" s="5">
        <f t="shared" si="143"/>
        <v>-3.250497041129119E-2</v>
      </c>
    </row>
    <row r="1124" spans="1:15" s="2" customFormat="1" x14ac:dyDescent="0.5">
      <c r="A1124" s="6">
        <v>41984</v>
      </c>
      <c r="B1124" s="1">
        <v>210.529999</v>
      </c>
      <c r="C1124" s="1">
        <v>215.429993</v>
      </c>
      <c r="D1124" s="1">
        <v>208.229996</v>
      </c>
      <c r="E1124" s="1">
        <v>208.88000500000001</v>
      </c>
      <c r="F1124" s="1">
        <v>208.88000500000001</v>
      </c>
      <c r="G1124" s="2">
        <v>6694400</v>
      </c>
      <c r="H1124" s="2">
        <f t="shared" si="136"/>
        <v>2014</v>
      </c>
      <c r="I1124" s="2">
        <f t="shared" si="137"/>
        <v>12</v>
      </c>
      <c r="J1124" s="2">
        <f t="shared" si="138"/>
        <v>11</v>
      </c>
      <c r="K1124" s="2">
        <f t="shared" si="139"/>
        <v>5</v>
      </c>
      <c r="L1124" s="2">
        <f t="shared" si="140"/>
        <v>13</v>
      </c>
      <c r="M1124" s="3">
        <f t="shared" si="141"/>
        <v>209.83999600000001</v>
      </c>
      <c r="N1124" s="1">
        <f t="shared" ca="1" si="142"/>
        <v>209.83999600000001</v>
      </c>
      <c r="O1124" s="5">
        <f t="shared" si="143"/>
        <v>-4.574871417744375E-3</v>
      </c>
    </row>
    <row r="1125" spans="1:15" s="2" customFormat="1" x14ac:dyDescent="0.5">
      <c r="A1125" s="6">
        <v>41985</v>
      </c>
      <c r="B1125" s="1">
        <v>204.820007</v>
      </c>
      <c r="C1125" s="1">
        <v>211.679993</v>
      </c>
      <c r="D1125" s="1">
        <v>204.5</v>
      </c>
      <c r="E1125" s="1">
        <v>207</v>
      </c>
      <c r="F1125" s="1">
        <v>207</v>
      </c>
      <c r="G1125" s="2">
        <v>7173800</v>
      </c>
      <c r="H1125" s="2">
        <f t="shared" si="136"/>
        <v>2014</v>
      </c>
      <c r="I1125" s="2">
        <f t="shared" si="137"/>
        <v>12</v>
      </c>
      <c r="J1125" s="2">
        <f t="shared" si="138"/>
        <v>12</v>
      </c>
      <c r="K1125" s="2">
        <f t="shared" si="139"/>
        <v>6</v>
      </c>
      <c r="L1125" s="2">
        <f t="shared" si="140"/>
        <v>13</v>
      </c>
      <c r="M1125" s="3">
        <f t="shared" si="141"/>
        <v>208.88000500000001</v>
      </c>
      <c r="N1125" s="1">
        <f t="shared" ca="1" si="142"/>
        <v>208.88000500000001</v>
      </c>
      <c r="O1125" s="5">
        <f t="shared" si="143"/>
        <v>-9.0004067167654966E-3</v>
      </c>
    </row>
    <row r="1126" spans="1:15" s="2" customFormat="1" x14ac:dyDescent="0.5">
      <c r="A1126" s="6">
        <v>41988</v>
      </c>
      <c r="B1126" s="1">
        <v>209.28999300000001</v>
      </c>
      <c r="C1126" s="1">
        <v>209.800003</v>
      </c>
      <c r="D1126" s="1">
        <v>202.66999799999999</v>
      </c>
      <c r="E1126" s="1">
        <v>204.03999300000001</v>
      </c>
      <c r="F1126" s="1">
        <v>204.03999300000001</v>
      </c>
      <c r="G1126" s="2">
        <v>5218300</v>
      </c>
      <c r="H1126" s="2">
        <f t="shared" si="136"/>
        <v>2014</v>
      </c>
      <c r="I1126" s="2">
        <f t="shared" si="137"/>
        <v>12</v>
      </c>
      <c r="J1126" s="2">
        <f t="shared" si="138"/>
        <v>15</v>
      </c>
      <c r="K1126" s="2">
        <f t="shared" si="139"/>
        <v>2</v>
      </c>
      <c r="L1126" s="2">
        <f t="shared" si="140"/>
        <v>13</v>
      </c>
      <c r="M1126" s="3">
        <f t="shared" si="141"/>
        <v>207</v>
      </c>
      <c r="N1126" s="1">
        <f t="shared" ca="1" si="142"/>
        <v>207</v>
      </c>
      <c r="O1126" s="5">
        <f t="shared" si="143"/>
        <v>-1.4299550724637622E-2</v>
      </c>
    </row>
    <row r="1127" spans="1:15" s="2" customFormat="1" x14ac:dyDescent="0.5">
      <c r="A1127" s="6">
        <v>41989</v>
      </c>
      <c r="B1127" s="1">
        <v>200.88999899999999</v>
      </c>
      <c r="C1127" s="1">
        <v>203.679993</v>
      </c>
      <c r="D1127" s="1">
        <v>195.36999499999999</v>
      </c>
      <c r="E1127" s="1">
        <v>197.80999800000001</v>
      </c>
      <c r="F1127" s="1">
        <v>197.80999800000001</v>
      </c>
      <c r="G1127" s="2">
        <v>8426100</v>
      </c>
      <c r="H1127" s="2">
        <f t="shared" si="136"/>
        <v>2014</v>
      </c>
      <c r="I1127" s="2">
        <f t="shared" si="137"/>
        <v>12</v>
      </c>
      <c r="J1127" s="2">
        <f t="shared" si="138"/>
        <v>16</v>
      </c>
      <c r="K1127" s="2">
        <f t="shared" si="139"/>
        <v>3</v>
      </c>
      <c r="L1127" s="2">
        <f t="shared" si="140"/>
        <v>13</v>
      </c>
      <c r="M1127" s="3">
        <f t="shared" si="141"/>
        <v>204.03999300000001</v>
      </c>
      <c r="N1127" s="1">
        <f t="shared" ca="1" si="142"/>
        <v>204.03999300000001</v>
      </c>
      <c r="O1127" s="5">
        <f t="shared" si="143"/>
        <v>-3.0533205321174428E-2</v>
      </c>
    </row>
    <row r="1128" spans="1:15" s="2" customFormat="1" x14ac:dyDescent="0.5">
      <c r="A1128" s="6">
        <v>41990</v>
      </c>
      <c r="B1128" s="1">
        <v>193.05999800000001</v>
      </c>
      <c r="C1128" s="1">
        <v>206.64999399999999</v>
      </c>
      <c r="D1128" s="1">
        <v>192.64999399999999</v>
      </c>
      <c r="E1128" s="1">
        <v>205.820007</v>
      </c>
      <c r="F1128" s="1">
        <v>205.820007</v>
      </c>
      <c r="G1128" s="2">
        <v>7367800</v>
      </c>
      <c r="H1128" s="2">
        <f t="shared" si="136"/>
        <v>2014</v>
      </c>
      <c r="I1128" s="2">
        <f t="shared" si="137"/>
        <v>12</v>
      </c>
      <c r="J1128" s="2">
        <f t="shared" si="138"/>
        <v>17</v>
      </c>
      <c r="K1128" s="2">
        <f t="shared" si="139"/>
        <v>4</v>
      </c>
      <c r="L1128" s="2">
        <f t="shared" si="140"/>
        <v>13</v>
      </c>
      <c r="M1128" s="3">
        <f t="shared" si="141"/>
        <v>197.80999800000001</v>
      </c>
      <c r="N1128" s="1">
        <f t="shared" ca="1" si="142"/>
        <v>197.80999800000001</v>
      </c>
      <c r="O1128" s="5">
        <f t="shared" si="143"/>
        <v>4.0493448667847431E-2</v>
      </c>
    </row>
    <row r="1129" spans="1:15" s="2" customFormat="1" x14ac:dyDescent="0.5">
      <c r="A1129" s="6">
        <v>41991</v>
      </c>
      <c r="B1129" s="1">
        <v>212.38000500000001</v>
      </c>
      <c r="C1129" s="1">
        <v>218.44000199999999</v>
      </c>
      <c r="D1129" s="1">
        <v>211.800003</v>
      </c>
      <c r="E1129" s="1">
        <v>218.259995</v>
      </c>
      <c r="F1129" s="1">
        <v>218.259995</v>
      </c>
      <c r="G1129" s="2">
        <v>7483300</v>
      </c>
      <c r="H1129" s="2">
        <f t="shared" si="136"/>
        <v>2014</v>
      </c>
      <c r="I1129" s="2">
        <f t="shared" si="137"/>
        <v>12</v>
      </c>
      <c r="J1129" s="2">
        <f t="shared" si="138"/>
        <v>18</v>
      </c>
      <c r="K1129" s="2">
        <f t="shared" si="139"/>
        <v>5</v>
      </c>
      <c r="L1129" s="2">
        <f t="shared" si="140"/>
        <v>13</v>
      </c>
      <c r="M1129" s="3">
        <f t="shared" si="141"/>
        <v>205.820007</v>
      </c>
      <c r="N1129" s="1">
        <f t="shared" ca="1" si="142"/>
        <v>205.820007</v>
      </c>
      <c r="O1129" s="5">
        <f t="shared" si="143"/>
        <v>6.0441101821554266E-2</v>
      </c>
    </row>
    <row r="1130" spans="1:15" s="2" customFormat="1" x14ac:dyDescent="0.5">
      <c r="A1130" s="6">
        <v>41992</v>
      </c>
      <c r="B1130" s="1">
        <v>220.19000199999999</v>
      </c>
      <c r="C1130" s="1">
        <v>220.39999399999999</v>
      </c>
      <c r="D1130" s="1">
        <v>214.5</v>
      </c>
      <c r="E1130" s="1">
        <v>219.28999300000001</v>
      </c>
      <c r="F1130" s="1">
        <v>219.28999300000001</v>
      </c>
      <c r="G1130" s="2">
        <v>6910500</v>
      </c>
      <c r="H1130" s="2">
        <f t="shared" si="136"/>
        <v>2014</v>
      </c>
      <c r="I1130" s="2">
        <f t="shared" si="137"/>
        <v>12</v>
      </c>
      <c r="J1130" s="2">
        <f t="shared" si="138"/>
        <v>19</v>
      </c>
      <c r="K1130" s="2">
        <f t="shared" si="139"/>
        <v>6</v>
      </c>
      <c r="L1130" s="2">
        <f t="shared" si="140"/>
        <v>13</v>
      </c>
      <c r="M1130" s="3">
        <f t="shared" si="141"/>
        <v>218.259995</v>
      </c>
      <c r="N1130" s="1">
        <f t="shared" ca="1" si="142"/>
        <v>218.259995</v>
      </c>
      <c r="O1130" s="5">
        <f t="shared" si="143"/>
        <v>4.7191332520648555E-3</v>
      </c>
    </row>
    <row r="1131" spans="1:15" s="2" customFormat="1" x14ac:dyDescent="0.5">
      <c r="A1131" s="6">
        <v>41995</v>
      </c>
      <c r="B1131" s="1">
        <v>220</v>
      </c>
      <c r="C1131" s="1">
        <v>224.05999800000001</v>
      </c>
      <c r="D1131" s="1">
        <v>218.259995</v>
      </c>
      <c r="E1131" s="1">
        <v>222.60000600000001</v>
      </c>
      <c r="F1131" s="1">
        <v>222.60000600000001</v>
      </c>
      <c r="G1131" s="2">
        <v>4799400</v>
      </c>
      <c r="H1131" s="2">
        <f t="shared" si="136"/>
        <v>2014</v>
      </c>
      <c r="I1131" s="2">
        <f t="shared" si="137"/>
        <v>12</v>
      </c>
      <c r="J1131" s="2">
        <f t="shared" si="138"/>
        <v>22</v>
      </c>
      <c r="K1131" s="2">
        <f t="shared" si="139"/>
        <v>2</v>
      </c>
      <c r="L1131" s="2">
        <f t="shared" si="140"/>
        <v>13</v>
      </c>
      <c r="M1131" s="3">
        <f t="shared" si="141"/>
        <v>219.28999300000001</v>
      </c>
      <c r="N1131" s="1">
        <f t="shared" ca="1" si="142"/>
        <v>219.28999300000001</v>
      </c>
      <c r="O1131" s="5">
        <f t="shared" si="143"/>
        <v>1.5094227304754293E-2</v>
      </c>
    </row>
    <row r="1132" spans="1:15" s="2" customFormat="1" x14ac:dyDescent="0.5">
      <c r="A1132" s="6">
        <v>41996</v>
      </c>
      <c r="B1132" s="1">
        <v>223.80999800000001</v>
      </c>
      <c r="C1132" s="1">
        <v>224.320007</v>
      </c>
      <c r="D1132" s="1">
        <v>219.520004</v>
      </c>
      <c r="E1132" s="1">
        <v>220.970001</v>
      </c>
      <c r="F1132" s="1">
        <v>220.970001</v>
      </c>
      <c r="G1132" s="2">
        <v>4505700</v>
      </c>
      <c r="H1132" s="2">
        <f t="shared" si="136"/>
        <v>2014</v>
      </c>
      <c r="I1132" s="2">
        <f t="shared" si="137"/>
        <v>12</v>
      </c>
      <c r="J1132" s="2">
        <f t="shared" si="138"/>
        <v>23</v>
      </c>
      <c r="K1132" s="2">
        <f t="shared" si="139"/>
        <v>3</v>
      </c>
      <c r="L1132" s="2">
        <f t="shared" si="140"/>
        <v>13</v>
      </c>
      <c r="M1132" s="3">
        <f t="shared" si="141"/>
        <v>222.60000600000001</v>
      </c>
      <c r="N1132" s="1">
        <f t="shared" ca="1" si="142"/>
        <v>222.60000600000001</v>
      </c>
      <c r="O1132" s="5">
        <f t="shared" si="143"/>
        <v>-7.3225739266152834E-3</v>
      </c>
    </row>
    <row r="1133" spans="1:15" s="2" customFormat="1" x14ac:dyDescent="0.5">
      <c r="A1133" s="6">
        <v>41997</v>
      </c>
      <c r="B1133" s="1">
        <v>219.770004</v>
      </c>
      <c r="C1133" s="1">
        <v>222.5</v>
      </c>
      <c r="D1133" s="1">
        <v>219.25</v>
      </c>
      <c r="E1133" s="1">
        <v>222.259995</v>
      </c>
      <c r="F1133" s="1">
        <v>222.259995</v>
      </c>
      <c r="G1133" s="2">
        <v>1332200</v>
      </c>
      <c r="H1133" s="2">
        <f t="shared" si="136"/>
        <v>2014</v>
      </c>
      <c r="I1133" s="2">
        <f t="shared" si="137"/>
        <v>12</v>
      </c>
      <c r="J1133" s="2">
        <f t="shared" si="138"/>
        <v>24</v>
      </c>
      <c r="K1133" s="2">
        <f t="shared" si="139"/>
        <v>4</v>
      </c>
      <c r="L1133" s="2">
        <f t="shared" si="140"/>
        <v>13</v>
      </c>
      <c r="M1133" s="3">
        <f t="shared" si="141"/>
        <v>220.970001</v>
      </c>
      <c r="N1133" s="1">
        <f t="shared" ca="1" si="142"/>
        <v>220.970001</v>
      </c>
      <c r="O1133" s="5">
        <f t="shared" si="143"/>
        <v>5.8378693676162108E-3</v>
      </c>
    </row>
    <row r="1134" spans="1:15" s="2" customFormat="1" x14ac:dyDescent="0.5">
      <c r="A1134" s="6">
        <v>41999</v>
      </c>
      <c r="B1134" s="1">
        <v>221.509995</v>
      </c>
      <c r="C1134" s="1">
        <v>228.5</v>
      </c>
      <c r="D1134" s="1">
        <v>221.5</v>
      </c>
      <c r="E1134" s="1">
        <v>227.820007</v>
      </c>
      <c r="F1134" s="1">
        <v>227.820007</v>
      </c>
      <c r="G1134" s="2">
        <v>3327000</v>
      </c>
      <c r="H1134" s="2">
        <f t="shared" si="136"/>
        <v>2014</v>
      </c>
      <c r="I1134" s="2">
        <f t="shared" si="137"/>
        <v>12</v>
      </c>
      <c r="J1134" s="2">
        <f t="shared" si="138"/>
        <v>26</v>
      </c>
      <c r="K1134" s="2">
        <f t="shared" si="139"/>
        <v>6</v>
      </c>
      <c r="L1134" s="2">
        <f t="shared" si="140"/>
        <v>13</v>
      </c>
      <c r="M1134" s="3">
        <f t="shared" si="141"/>
        <v>222.259995</v>
      </c>
      <c r="N1134" s="1">
        <f t="shared" ca="1" si="142"/>
        <v>222.259995</v>
      </c>
      <c r="O1134" s="5">
        <f t="shared" si="143"/>
        <v>2.5015801876536514E-2</v>
      </c>
    </row>
    <row r="1135" spans="1:15" s="2" customFormat="1" x14ac:dyDescent="0.5">
      <c r="A1135" s="6">
        <v>42002</v>
      </c>
      <c r="B1135" s="1">
        <v>226.89999399999999</v>
      </c>
      <c r="C1135" s="1">
        <v>227.91000399999999</v>
      </c>
      <c r="D1135" s="1">
        <v>224.020004</v>
      </c>
      <c r="E1135" s="1">
        <v>225.71000699999999</v>
      </c>
      <c r="F1135" s="1">
        <v>225.71000699999999</v>
      </c>
      <c r="G1135" s="2">
        <v>2802500</v>
      </c>
      <c r="H1135" s="2">
        <f t="shared" si="136"/>
        <v>2014</v>
      </c>
      <c r="I1135" s="2">
        <f t="shared" si="137"/>
        <v>12</v>
      </c>
      <c r="J1135" s="2">
        <f t="shared" si="138"/>
        <v>29</v>
      </c>
      <c r="K1135" s="2">
        <f t="shared" si="139"/>
        <v>2</v>
      </c>
      <c r="L1135" s="2">
        <f t="shared" si="140"/>
        <v>13</v>
      </c>
      <c r="M1135" s="3">
        <f t="shared" si="141"/>
        <v>227.820007</v>
      </c>
      <c r="N1135" s="1">
        <f t="shared" ca="1" si="142"/>
        <v>227.820007</v>
      </c>
      <c r="O1135" s="5">
        <f t="shared" si="143"/>
        <v>-9.2616975470465324E-3</v>
      </c>
    </row>
    <row r="1136" spans="1:15" s="2" customFormat="1" x14ac:dyDescent="0.5">
      <c r="A1136" s="6">
        <v>42003</v>
      </c>
      <c r="B1136" s="1">
        <v>223.990005</v>
      </c>
      <c r="C1136" s="1">
        <v>225.64999399999999</v>
      </c>
      <c r="D1136" s="1">
        <v>221.39999399999999</v>
      </c>
      <c r="E1136" s="1">
        <v>222.229996</v>
      </c>
      <c r="F1136" s="1">
        <v>222.229996</v>
      </c>
      <c r="G1136" s="2">
        <v>2903200</v>
      </c>
      <c r="H1136" s="2">
        <f t="shared" si="136"/>
        <v>2014</v>
      </c>
      <c r="I1136" s="2">
        <f t="shared" si="137"/>
        <v>12</v>
      </c>
      <c r="J1136" s="2">
        <f t="shared" si="138"/>
        <v>30</v>
      </c>
      <c r="K1136" s="2">
        <f t="shared" si="139"/>
        <v>3</v>
      </c>
      <c r="L1136" s="2">
        <f t="shared" si="140"/>
        <v>13</v>
      </c>
      <c r="M1136" s="3">
        <f t="shared" si="141"/>
        <v>225.71000699999999</v>
      </c>
      <c r="N1136" s="1">
        <f t="shared" ca="1" si="142"/>
        <v>225.71000699999999</v>
      </c>
      <c r="O1136" s="5">
        <f t="shared" si="143"/>
        <v>-1.5418062523032017E-2</v>
      </c>
    </row>
    <row r="1137" spans="1:15" s="2" customFormat="1" x14ac:dyDescent="0.5">
      <c r="A1137" s="6">
        <v>42004</v>
      </c>
      <c r="B1137" s="1">
        <v>223.08999600000001</v>
      </c>
      <c r="C1137" s="1">
        <v>225.679993</v>
      </c>
      <c r="D1137" s="1">
        <v>222.25</v>
      </c>
      <c r="E1137" s="1">
        <v>222.41000399999999</v>
      </c>
      <c r="F1137" s="1">
        <v>222.41000399999999</v>
      </c>
      <c r="G1137" s="2">
        <v>2402100</v>
      </c>
      <c r="H1137" s="2">
        <f t="shared" si="136"/>
        <v>2014</v>
      </c>
      <c r="I1137" s="2">
        <f t="shared" si="137"/>
        <v>12</v>
      </c>
      <c r="J1137" s="2">
        <f t="shared" si="138"/>
        <v>31</v>
      </c>
      <c r="K1137" s="2">
        <f t="shared" si="139"/>
        <v>4</v>
      </c>
      <c r="L1137" s="2">
        <f t="shared" si="140"/>
        <v>13</v>
      </c>
      <c r="M1137" s="3">
        <f t="shared" si="141"/>
        <v>222.229996</v>
      </c>
      <c r="N1137" s="1">
        <f t="shared" ca="1" si="142"/>
        <v>222.229996</v>
      </c>
      <c r="O1137" s="5">
        <f t="shared" si="143"/>
        <v>8.1000766431182925E-4</v>
      </c>
    </row>
    <row r="1138" spans="1:15" s="2" customFormat="1" x14ac:dyDescent="0.5">
      <c r="A1138" s="6">
        <v>42006</v>
      </c>
      <c r="B1138" s="1">
        <v>222.86999499999999</v>
      </c>
      <c r="C1138" s="1">
        <v>223.25</v>
      </c>
      <c r="D1138" s="1">
        <v>213.259995</v>
      </c>
      <c r="E1138" s="1">
        <v>219.30999800000001</v>
      </c>
      <c r="F1138" s="1">
        <v>219.30999800000001</v>
      </c>
      <c r="G1138" s="2">
        <v>4764400</v>
      </c>
      <c r="H1138" s="2">
        <f t="shared" si="136"/>
        <v>2015</v>
      </c>
      <c r="I1138" s="2">
        <f t="shared" si="137"/>
        <v>1</v>
      </c>
      <c r="J1138" s="2">
        <f t="shared" si="138"/>
        <v>2</v>
      </c>
      <c r="K1138" s="2">
        <f t="shared" si="139"/>
        <v>6</v>
      </c>
      <c r="L1138" s="2">
        <f t="shared" si="140"/>
        <v>2</v>
      </c>
      <c r="M1138" s="3">
        <f t="shared" si="141"/>
        <v>222.41000399999999</v>
      </c>
      <c r="N1138" s="1">
        <f t="shared" ca="1" si="142"/>
        <v>222.41000399999999</v>
      </c>
      <c r="O1138" s="5">
        <f t="shared" si="143"/>
        <v>-1.3938248928766606E-2</v>
      </c>
    </row>
    <row r="1139" spans="1:15" s="2" customFormat="1" x14ac:dyDescent="0.5">
      <c r="A1139" s="6">
        <v>42009</v>
      </c>
      <c r="B1139" s="1">
        <v>214.550003</v>
      </c>
      <c r="C1139" s="1">
        <v>216.5</v>
      </c>
      <c r="D1139" s="1">
        <v>207.16000399999999</v>
      </c>
      <c r="E1139" s="1">
        <v>210.08999600000001</v>
      </c>
      <c r="F1139" s="1">
        <v>210.08999600000001</v>
      </c>
      <c r="G1139" s="2">
        <v>5368500</v>
      </c>
      <c r="H1139" s="2">
        <f t="shared" si="136"/>
        <v>2015</v>
      </c>
      <c r="I1139" s="2">
        <f t="shared" si="137"/>
        <v>1</v>
      </c>
      <c r="J1139" s="2">
        <f t="shared" si="138"/>
        <v>5</v>
      </c>
      <c r="K1139" s="2">
        <f t="shared" si="139"/>
        <v>2</v>
      </c>
      <c r="L1139" s="2">
        <f t="shared" si="140"/>
        <v>2</v>
      </c>
      <c r="M1139" s="3">
        <f t="shared" si="141"/>
        <v>219.30999800000001</v>
      </c>
      <c r="N1139" s="1">
        <f t="shared" ca="1" si="142"/>
        <v>219.30999800000001</v>
      </c>
      <c r="O1139" s="5">
        <f t="shared" si="143"/>
        <v>-4.204095610816605E-2</v>
      </c>
    </row>
    <row r="1140" spans="1:15" s="2" customFormat="1" x14ac:dyDescent="0.5">
      <c r="A1140" s="6">
        <v>42010</v>
      </c>
      <c r="B1140" s="1">
        <v>210.05999800000001</v>
      </c>
      <c r="C1140" s="1">
        <v>214.199997</v>
      </c>
      <c r="D1140" s="1">
        <v>204.21000699999999</v>
      </c>
      <c r="E1140" s="1">
        <v>211.279999</v>
      </c>
      <c r="F1140" s="1">
        <v>211.279999</v>
      </c>
      <c r="G1140" s="2">
        <v>6261900</v>
      </c>
      <c r="H1140" s="2">
        <f t="shared" si="136"/>
        <v>2015</v>
      </c>
      <c r="I1140" s="2">
        <f t="shared" si="137"/>
        <v>1</v>
      </c>
      <c r="J1140" s="2">
        <f t="shared" si="138"/>
        <v>6</v>
      </c>
      <c r="K1140" s="2">
        <f t="shared" si="139"/>
        <v>3</v>
      </c>
      <c r="L1140" s="2">
        <f t="shared" si="140"/>
        <v>2</v>
      </c>
      <c r="M1140" s="3">
        <f t="shared" si="141"/>
        <v>210.08999600000001</v>
      </c>
      <c r="N1140" s="1">
        <f t="shared" ca="1" si="142"/>
        <v>210.08999600000001</v>
      </c>
      <c r="O1140" s="5">
        <f t="shared" si="143"/>
        <v>5.6642535230473356E-3</v>
      </c>
    </row>
    <row r="1141" spans="1:15" s="2" customFormat="1" x14ac:dyDescent="0.5">
      <c r="A1141" s="6">
        <v>42011</v>
      </c>
      <c r="B1141" s="1">
        <v>213.35000600000001</v>
      </c>
      <c r="C1141" s="1">
        <v>214.779999</v>
      </c>
      <c r="D1141" s="1">
        <v>209.779999</v>
      </c>
      <c r="E1141" s="1">
        <v>210.949997</v>
      </c>
      <c r="F1141" s="1">
        <v>210.949997</v>
      </c>
      <c r="G1141" s="2">
        <v>2968400</v>
      </c>
      <c r="H1141" s="2">
        <f t="shared" si="136"/>
        <v>2015</v>
      </c>
      <c r="I1141" s="2">
        <f t="shared" si="137"/>
        <v>1</v>
      </c>
      <c r="J1141" s="2">
        <f t="shared" si="138"/>
        <v>7</v>
      </c>
      <c r="K1141" s="2">
        <f t="shared" si="139"/>
        <v>4</v>
      </c>
      <c r="L1141" s="2">
        <f t="shared" si="140"/>
        <v>2</v>
      </c>
      <c r="M1141" s="3">
        <f t="shared" si="141"/>
        <v>211.279999</v>
      </c>
      <c r="N1141" s="1">
        <f t="shared" ca="1" si="142"/>
        <v>211.279999</v>
      </c>
      <c r="O1141" s="5">
        <f t="shared" si="143"/>
        <v>-1.5619178415463564E-3</v>
      </c>
    </row>
    <row r="1142" spans="1:15" s="2" customFormat="1" x14ac:dyDescent="0.5">
      <c r="A1142" s="6">
        <v>42012</v>
      </c>
      <c r="B1142" s="1">
        <v>212.80999800000001</v>
      </c>
      <c r="C1142" s="1">
        <v>213.800003</v>
      </c>
      <c r="D1142" s="1">
        <v>210.009995</v>
      </c>
      <c r="E1142" s="1">
        <v>210.61999499999999</v>
      </c>
      <c r="F1142" s="1">
        <v>210.61999499999999</v>
      </c>
      <c r="G1142" s="2">
        <v>3442500</v>
      </c>
      <c r="H1142" s="2">
        <f t="shared" si="136"/>
        <v>2015</v>
      </c>
      <c r="I1142" s="2">
        <f t="shared" si="137"/>
        <v>1</v>
      </c>
      <c r="J1142" s="2">
        <f t="shared" si="138"/>
        <v>8</v>
      </c>
      <c r="K1142" s="2">
        <f t="shared" si="139"/>
        <v>5</v>
      </c>
      <c r="L1142" s="2">
        <f t="shared" si="140"/>
        <v>2</v>
      </c>
      <c r="M1142" s="3">
        <f t="shared" si="141"/>
        <v>210.949997</v>
      </c>
      <c r="N1142" s="1">
        <f t="shared" ca="1" si="142"/>
        <v>210.949997</v>
      </c>
      <c r="O1142" s="5">
        <f t="shared" si="143"/>
        <v>-1.5643612452860278E-3</v>
      </c>
    </row>
    <row r="1143" spans="1:15" s="2" customFormat="1" x14ac:dyDescent="0.5">
      <c r="A1143" s="6">
        <v>42013</v>
      </c>
      <c r="B1143" s="1">
        <v>208.91999799999999</v>
      </c>
      <c r="C1143" s="1">
        <v>209.979996</v>
      </c>
      <c r="D1143" s="1">
        <v>204.96000699999999</v>
      </c>
      <c r="E1143" s="1">
        <v>206.66000399999999</v>
      </c>
      <c r="F1143" s="1">
        <v>206.66000399999999</v>
      </c>
      <c r="G1143" s="2">
        <v>4591300</v>
      </c>
      <c r="H1143" s="2">
        <f t="shared" si="136"/>
        <v>2015</v>
      </c>
      <c r="I1143" s="2">
        <f t="shared" si="137"/>
        <v>1</v>
      </c>
      <c r="J1143" s="2">
        <f t="shared" si="138"/>
        <v>9</v>
      </c>
      <c r="K1143" s="2">
        <f t="shared" si="139"/>
        <v>6</v>
      </c>
      <c r="L1143" s="2">
        <f t="shared" si="140"/>
        <v>2</v>
      </c>
      <c r="M1143" s="3">
        <f t="shared" si="141"/>
        <v>210.61999499999999</v>
      </c>
      <c r="N1143" s="1">
        <f t="shared" ca="1" si="142"/>
        <v>210.61999499999999</v>
      </c>
      <c r="O1143" s="5">
        <f t="shared" si="143"/>
        <v>-1.8801590988547945E-2</v>
      </c>
    </row>
    <row r="1144" spans="1:15" s="2" customFormat="1" x14ac:dyDescent="0.5">
      <c r="A1144" s="6">
        <v>42016</v>
      </c>
      <c r="B1144" s="1">
        <v>203.050003</v>
      </c>
      <c r="C1144" s="1">
        <v>204.470001</v>
      </c>
      <c r="D1144" s="1">
        <v>199.25</v>
      </c>
      <c r="E1144" s="1">
        <v>202.21000699999999</v>
      </c>
      <c r="F1144" s="1">
        <v>202.21000699999999</v>
      </c>
      <c r="G1144" s="2">
        <v>5944200</v>
      </c>
      <c r="H1144" s="2">
        <f t="shared" si="136"/>
        <v>2015</v>
      </c>
      <c r="I1144" s="2">
        <f t="shared" si="137"/>
        <v>1</v>
      </c>
      <c r="J1144" s="2">
        <f t="shared" si="138"/>
        <v>12</v>
      </c>
      <c r="K1144" s="2">
        <f t="shared" si="139"/>
        <v>2</v>
      </c>
      <c r="L1144" s="2">
        <f t="shared" si="140"/>
        <v>2</v>
      </c>
      <c r="M1144" s="3">
        <f t="shared" si="141"/>
        <v>206.66000399999999</v>
      </c>
      <c r="N1144" s="1">
        <f t="shared" ca="1" si="142"/>
        <v>206.66000399999999</v>
      </c>
      <c r="O1144" s="5">
        <f t="shared" si="143"/>
        <v>-2.1532937742515412E-2</v>
      </c>
    </row>
    <row r="1145" spans="1:15" s="2" customFormat="1" x14ac:dyDescent="0.5">
      <c r="A1145" s="6">
        <v>42017</v>
      </c>
      <c r="B1145" s="1">
        <v>203.320007</v>
      </c>
      <c r="C1145" s="1">
        <v>207.61000100000001</v>
      </c>
      <c r="D1145" s="1">
        <v>200.91000399999999</v>
      </c>
      <c r="E1145" s="1">
        <v>204.25</v>
      </c>
      <c r="F1145" s="1">
        <v>204.25</v>
      </c>
      <c r="G1145" s="2">
        <v>4477300</v>
      </c>
      <c r="H1145" s="2">
        <f t="shared" si="136"/>
        <v>2015</v>
      </c>
      <c r="I1145" s="2">
        <f t="shared" si="137"/>
        <v>1</v>
      </c>
      <c r="J1145" s="2">
        <f t="shared" si="138"/>
        <v>13</v>
      </c>
      <c r="K1145" s="2">
        <f t="shared" si="139"/>
        <v>3</v>
      </c>
      <c r="L1145" s="2">
        <f t="shared" si="140"/>
        <v>2</v>
      </c>
      <c r="M1145" s="3">
        <f t="shared" si="141"/>
        <v>202.21000699999999</v>
      </c>
      <c r="N1145" s="1">
        <f t="shared" ca="1" si="142"/>
        <v>202.21000699999999</v>
      </c>
      <c r="O1145" s="5">
        <f t="shared" si="143"/>
        <v>1.008848686702235E-2</v>
      </c>
    </row>
    <row r="1146" spans="1:15" s="2" customFormat="1" x14ac:dyDescent="0.5">
      <c r="A1146" s="6">
        <v>42018</v>
      </c>
      <c r="B1146" s="1">
        <v>185.83000200000001</v>
      </c>
      <c r="C1146" s="1">
        <v>195.199997</v>
      </c>
      <c r="D1146" s="1">
        <v>185</v>
      </c>
      <c r="E1146" s="1">
        <v>192.69000199999999</v>
      </c>
      <c r="F1146" s="1">
        <v>192.69000199999999</v>
      </c>
      <c r="G1146" s="2">
        <v>11551900</v>
      </c>
      <c r="H1146" s="2">
        <f t="shared" si="136"/>
        <v>2015</v>
      </c>
      <c r="I1146" s="2">
        <f t="shared" si="137"/>
        <v>1</v>
      </c>
      <c r="J1146" s="2">
        <f t="shared" si="138"/>
        <v>14</v>
      </c>
      <c r="K1146" s="2">
        <f t="shared" si="139"/>
        <v>4</v>
      </c>
      <c r="L1146" s="2">
        <f t="shared" si="140"/>
        <v>2</v>
      </c>
      <c r="M1146" s="3">
        <f t="shared" si="141"/>
        <v>204.25</v>
      </c>
      <c r="N1146" s="1">
        <f t="shared" ca="1" si="142"/>
        <v>204.25</v>
      </c>
      <c r="O1146" s="5">
        <f t="shared" si="143"/>
        <v>-5.6597297429620608E-2</v>
      </c>
    </row>
    <row r="1147" spans="1:15" s="2" customFormat="1" x14ac:dyDescent="0.5">
      <c r="A1147" s="6">
        <v>42019</v>
      </c>
      <c r="B1147" s="1">
        <v>194.490005</v>
      </c>
      <c r="C1147" s="1">
        <v>195.75</v>
      </c>
      <c r="D1147" s="1">
        <v>190</v>
      </c>
      <c r="E1147" s="1">
        <v>191.86999499999999</v>
      </c>
      <c r="F1147" s="1">
        <v>191.86999499999999</v>
      </c>
      <c r="G1147" s="2">
        <v>5216500</v>
      </c>
      <c r="H1147" s="2">
        <f t="shared" si="136"/>
        <v>2015</v>
      </c>
      <c r="I1147" s="2">
        <f t="shared" si="137"/>
        <v>1</v>
      </c>
      <c r="J1147" s="2">
        <f t="shared" si="138"/>
        <v>15</v>
      </c>
      <c r="K1147" s="2">
        <f t="shared" si="139"/>
        <v>5</v>
      </c>
      <c r="L1147" s="2">
        <f t="shared" si="140"/>
        <v>2</v>
      </c>
      <c r="M1147" s="3">
        <f t="shared" si="141"/>
        <v>192.69000199999999</v>
      </c>
      <c r="N1147" s="1">
        <f t="shared" ca="1" si="142"/>
        <v>192.69000199999999</v>
      </c>
      <c r="O1147" s="5">
        <f t="shared" si="143"/>
        <v>-4.2555762701170785E-3</v>
      </c>
    </row>
    <row r="1148" spans="1:15" s="2" customFormat="1" x14ac:dyDescent="0.5">
      <c r="A1148" s="6">
        <v>42020</v>
      </c>
      <c r="B1148" s="1">
        <v>190.699997</v>
      </c>
      <c r="C1148" s="1">
        <v>194.490005</v>
      </c>
      <c r="D1148" s="1">
        <v>189.64999399999999</v>
      </c>
      <c r="E1148" s="1">
        <v>193.070007</v>
      </c>
      <c r="F1148" s="1">
        <v>193.070007</v>
      </c>
      <c r="G1148" s="2">
        <v>3603200</v>
      </c>
      <c r="H1148" s="2">
        <f t="shared" si="136"/>
        <v>2015</v>
      </c>
      <c r="I1148" s="2">
        <f t="shared" si="137"/>
        <v>1</v>
      </c>
      <c r="J1148" s="2">
        <f t="shared" si="138"/>
        <v>16</v>
      </c>
      <c r="K1148" s="2">
        <f t="shared" si="139"/>
        <v>6</v>
      </c>
      <c r="L1148" s="2">
        <f t="shared" si="140"/>
        <v>2</v>
      </c>
      <c r="M1148" s="3">
        <f t="shared" si="141"/>
        <v>191.86999499999999</v>
      </c>
      <c r="N1148" s="1">
        <f t="shared" ca="1" si="142"/>
        <v>191.86999499999999</v>
      </c>
      <c r="O1148" s="5">
        <f t="shared" si="143"/>
        <v>6.2542973433652449E-3</v>
      </c>
    </row>
    <row r="1149" spans="1:15" s="2" customFormat="1" x14ac:dyDescent="0.5">
      <c r="A1149" s="6">
        <v>42024</v>
      </c>
      <c r="B1149" s="1">
        <v>193.86999499999999</v>
      </c>
      <c r="C1149" s="1">
        <v>194.11999499999999</v>
      </c>
      <c r="D1149" s="1">
        <v>187.03999300000001</v>
      </c>
      <c r="E1149" s="1">
        <v>191.929993</v>
      </c>
      <c r="F1149" s="1">
        <v>191.929993</v>
      </c>
      <c r="G1149" s="2">
        <v>4489400</v>
      </c>
      <c r="H1149" s="2">
        <f t="shared" si="136"/>
        <v>2015</v>
      </c>
      <c r="I1149" s="2">
        <f t="shared" si="137"/>
        <v>1</v>
      </c>
      <c r="J1149" s="2">
        <f t="shared" si="138"/>
        <v>20</v>
      </c>
      <c r="K1149" s="2">
        <f t="shared" si="139"/>
        <v>3</v>
      </c>
      <c r="L1149" s="2">
        <f t="shared" si="140"/>
        <v>2</v>
      </c>
      <c r="M1149" s="3">
        <f t="shared" si="141"/>
        <v>193.070007</v>
      </c>
      <c r="N1149" s="1">
        <f t="shared" ca="1" si="142"/>
        <v>193.070007</v>
      </c>
      <c r="O1149" s="5">
        <f t="shared" si="143"/>
        <v>-5.9046664871152954E-3</v>
      </c>
    </row>
    <row r="1150" spans="1:15" s="2" customFormat="1" x14ac:dyDescent="0.5">
      <c r="A1150" s="6">
        <v>42025</v>
      </c>
      <c r="B1150" s="1">
        <v>189.550003</v>
      </c>
      <c r="C1150" s="1">
        <v>198.679993</v>
      </c>
      <c r="D1150" s="1">
        <v>189.509995</v>
      </c>
      <c r="E1150" s="1">
        <v>196.570007</v>
      </c>
      <c r="F1150" s="1">
        <v>196.570007</v>
      </c>
      <c r="G1150" s="2">
        <v>4153000</v>
      </c>
      <c r="H1150" s="2">
        <f t="shared" si="136"/>
        <v>2015</v>
      </c>
      <c r="I1150" s="2">
        <f t="shared" si="137"/>
        <v>1</v>
      </c>
      <c r="J1150" s="2">
        <f t="shared" si="138"/>
        <v>21</v>
      </c>
      <c r="K1150" s="2">
        <f t="shared" si="139"/>
        <v>4</v>
      </c>
      <c r="L1150" s="2">
        <f t="shared" si="140"/>
        <v>2</v>
      </c>
      <c r="M1150" s="3">
        <f t="shared" si="141"/>
        <v>191.929993</v>
      </c>
      <c r="N1150" s="1">
        <f t="shared" ca="1" si="142"/>
        <v>191.929993</v>
      </c>
      <c r="O1150" s="5">
        <f t="shared" si="143"/>
        <v>2.4175554468967242E-2</v>
      </c>
    </row>
    <row r="1151" spans="1:15" s="2" customFormat="1" x14ac:dyDescent="0.5">
      <c r="A1151" s="6">
        <v>42026</v>
      </c>
      <c r="B1151" s="1">
        <v>197</v>
      </c>
      <c r="C1151" s="1">
        <v>203.240005</v>
      </c>
      <c r="D1151" s="1">
        <v>195.199997</v>
      </c>
      <c r="E1151" s="1">
        <v>201.61999499999999</v>
      </c>
      <c r="F1151" s="1">
        <v>201.61999499999999</v>
      </c>
      <c r="G1151" s="2">
        <v>4116900</v>
      </c>
      <c r="H1151" s="2">
        <f t="shared" si="136"/>
        <v>2015</v>
      </c>
      <c r="I1151" s="2">
        <f t="shared" si="137"/>
        <v>1</v>
      </c>
      <c r="J1151" s="2">
        <f t="shared" si="138"/>
        <v>22</v>
      </c>
      <c r="K1151" s="2">
        <f t="shared" si="139"/>
        <v>5</v>
      </c>
      <c r="L1151" s="2">
        <f t="shared" si="140"/>
        <v>2</v>
      </c>
      <c r="M1151" s="3">
        <f t="shared" si="141"/>
        <v>196.570007</v>
      </c>
      <c r="N1151" s="1">
        <f t="shared" ca="1" si="142"/>
        <v>196.570007</v>
      </c>
      <c r="O1151" s="5">
        <f t="shared" si="143"/>
        <v>2.5690531719826382E-2</v>
      </c>
    </row>
    <row r="1152" spans="1:15" s="2" customFormat="1" x14ac:dyDescent="0.5">
      <c r="A1152" s="6">
        <v>42027</v>
      </c>
      <c r="B1152" s="1">
        <v>200.28999300000001</v>
      </c>
      <c r="C1152" s="1">
        <v>203.5</v>
      </c>
      <c r="D1152" s="1">
        <v>198.33000200000001</v>
      </c>
      <c r="E1152" s="1">
        <v>201.28999300000001</v>
      </c>
      <c r="F1152" s="1">
        <v>201.28999300000001</v>
      </c>
      <c r="G1152" s="2">
        <v>3438600</v>
      </c>
      <c r="H1152" s="2">
        <f t="shared" si="136"/>
        <v>2015</v>
      </c>
      <c r="I1152" s="2">
        <f t="shared" si="137"/>
        <v>1</v>
      </c>
      <c r="J1152" s="2">
        <f t="shared" si="138"/>
        <v>23</v>
      </c>
      <c r="K1152" s="2">
        <f t="shared" si="139"/>
        <v>6</v>
      </c>
      <c r="L1152" s="2">
        <f t="shared" si="140"/>
        <v>2</v>
      </c>
      <c r="M1152" s="3">
        <f t="shared" si="141"/>
        <v>201.61999499999999</v>
      </c>
      <c r="N1152" s="1">
        <f t="shared" ca="1" si="142"/>
        <v>201.61999499999999</v>
      </c>
      <c r="O1152" s="5">
        <f t="shared" si="143"/>
        <v>-1.636752346908743E-3</v>
      </c>
    </row>
    <row r="1153" spans="1:15" s="2" customFormat="1" x14ac:dyDescent="0.5">
      <c r="A1153" s="6">
        <v>42030</v>
      </c>
      <c r="B1153" s="1">
        <v>201.83000200000001</v>
      </c>
      <c r="C1153" s="1">
        <v>208.61999499999999</v>
      </c>
      <c r="D1153" s="1">
        <v>201.050003</v>
      </c>
      <c r="E1153" s="1">
        <v>206.550003</v>
      </c>
      <c r="F1153" s="1">
        <v>206.550003</v>
      </c>
      <c r="G1153" s="2">
        <v>3234500</v>
      </c>
      <c r="H1153" s="2">
        <f t="shared" si="136"/>
        <v>2015</v>
      </c>
      <c r="I1153" s="2">
        <f t="shared" si="137"/>
        <v>1</v>
      </c>
      <c r="J1153" s="2">
        <f t="shared" si="138"/>
        <v>26</v>
      </c>
      <c r="K1153" s="2">
        <f t="shared" si="139"/>
        <v>2</v>
      </c>
      <c r="L1153" s="2">
        <f t="shared" si="140"/>
        <v>2</v>
      </c>
      <c r="M1153" s="3">
        <f t="shared" si="141"/>
        <v>201.28999300000001</v>
      </c>
      <c r="N1153" s="1">
        <f t="shared" ca="1" si="142"/>
        <v>201.28999300000001</v>
      </c>
      <c r="O1153" s="5">
        <f t="shared" si="143"/>
        <v>2.6131502722045452E-2</v>
      </c>
    </row>
    <row r="1154" spans="1:15" s="2" customFormat="1" x14ac:dyDescent="0.5">
      <c r="A1154" s="6">
        <v>42031</v>
      </c>
      <c r="B1154" s="1">
        <v>204.41999799999999</v>
      </c>
      <c r="C1154" s="1">
        <v>208.029999</v>
      </c>
      <c r="D1154" s="1">
        <v>203.300003</v>
      </c>
      <c r="E1154" s="1">
        <v>205.979996</v>
      </c>
      <c r="F1154" s="1">
        <v>205.979996</v>
      </c>
      <c r="G1154" s="2">
        <v>2781000</v>
      </c>
      <c r="H1154" s="2">
        <f t="shared" ref="H1154:H1217" si="144">YEAR(A1154)</f>
        <v>2015</v>
      </c>
      <c r="I1154" s="2">
        <f t="shared" ref="I1154:I1217" si="145">MONTH(A1154)</f>
        <v>1</v>
      </c>
      <c r="J1154" s="2">
        <f t="shared" ref="J1154:J1217" si="146">DAY(A1154)</f>
        <v>27</v>
      </c>
      <c r="K1154" s="2">
        <f t="shared" ref="K1154:K1217" si="147">WEEKDAY(A1154)</f>
        <v>3</v>
      </c>
      <c r="L1154" s="2">
        <f t="shared" si="140"/>
        <v>2</v>
      </c>
      <c r="M1154" s="3">
        <f t="shared" si="141"/>
        <v>206.550003</v>
      </c>
      <c r="N1154" s="1">
        <f t="shared" ca="1" si="142"/>
        <v>206.550003</v>
      </c>
      <c r="O1154" s="5">
        <f t="shared" si="143"/>
        <v>-2.7596562174826422E-3</v>
      </c>
    </row>
    <row r="1155" spans="1:15" s="2" customFormat="1" x14ac:dyDescent="0.5">
      <c r="A1155" s="6">
        <v>42032</v>
      </c>
      <c r="B1155" s="1">
        <v>206.11000100000001</v>
      </c>
      <c r="C1155" s="1">
        <v>206.36999499999999</v>
      </c>
      <c r="D1155" s="1">
        <v>198.41999799999999</v>
      </c>
      <c r="E1155" s="1">
        <v>199.36999499999999</v>
      </c>
      <c r="F1155" s="1">
        <v>199.36999499999999</v>
      </c>
      <c r="G1155" s="2">
        <v>3149600</v>
      </c>
      <c r="H1155" s="2">
        <f t="shared" si="144"/>
        <v>2015</v>
      </c>
      <c r="I1155" s="2">
        <f t="shared" si="145"/>
        <v>1</v>
      </c>
      <c r="J1155" s="2">
        <f t="shared" si="146"/>
        <v>28</v>
      </c>
      <c r="K1155" s="2">
        <f t="shared" si="147"/>
        <v>4</v>
      </c>
      <c r="L1155" s="2">
        <f t="shared" ref="L1155:L1218" si="148">I1155+1</f>
        <v>2</v>
      </c>
      <c r="M1155" s="3">
        <f t="shared" ref="M1155:M1218" si="149">F1154</f>
        <v>205.979996</v>
      </c>
      <c r="N1155" s="1">
        <f t="shared" ref="N1155:N1218" ca="1" si="150">OFFSET(F1155, -1, 0)</f>
        <v>205.979996</v>
      </c>
      <c r="O1155" s="5">
        <f t="shared" ref="O1155:O1218" si="151">(F1155/M1155)-1</f>
        <v>-3.2090499700757391E-2</v>
      </c>
    </row>
    <row r="1156" spans="1:15" s="2" customFormat="1" x14ac:dyDescent="0.5">
      <c r="A1156" s="6">
        <v>42033</v>
      </c>
      <c r="B1156" s="1">
        <v>201.070007</v>
      </c>
      <c r="C1156" s="1">
        <v>205.979996</v>
      </c>
      <c r="D1156" s="1">
        <v>196.5</v>
      </c>
      <c r="E1156" s="1">
        <v>205.199997</v>
      </c>
      <c r="F1156" s="1">
        <v>205.199997</v>
      </c>
      <c r="G1156" s="2">
        <v>3548100</v>
      </c>
      <c r="H1156" s="2">
        <f t="shared" si="144"/>
        <v>2015</v>
      </c>
      <c r="I1156" s="2">
        <f t="shared" si="145"/>
        <v>1</v>
      </c>
      <c r="J1156" s="2">
        <f t="shared" si="146"/>
        <v>29</v>
      </c>
      <c r="K1156" s="2">
        <f t="shared" si="147"/>
        <v>5</v>
      </c>
      <c r="L1156" s="2">
        <f t="shared" si="148"/>
        <v>2</v>
      </c>
      <c r="M1156" s="3">
        <f t="shared" si="149"/>
        <v>199.36999499999999</v>
      </c>
      <c r="N1156" s="1">
        <f t="shared" ca="1" si="150"/>
        <v>199.36999499999999</v>
      </c>
      <c r="O1156" s="5">
        <f t="shared" si="151"/>
        <v>2.9242123419825683E-2</v>
      </c>
    </row>
    <row r="1157" spans="1:15" s="2" customFormat="1" x14ac:dyDescent="0.5">
      <c r="A1157" s="6">
        <v>42034</v>
      </c>
      <c r="B1157" s="1">
        <v>203.96000699999999</v>
      </c>
      <c r="C1157" s="1">
        <v>207.470001</v>
      </c>
      <c r="D1157" s="1">
        <v>203</v>
      </c>
      <c r="E1157" s="1">
        <v>203.60000600000001</v>
      </c>
      <c r="F1157" s="1">
        <v>203.60000600000001</v>
      </c>
      <c r="G1157" s="2">
        <v>3007000</v>
      </c>
      <c r="H1157" s="2">
        <f t="shared" si="144"/>
        <v>2015</v>
      </c>
      <c r="I1157" s="2">
        <f t="shared" si="145"/>
        <v>1</v>
      </c>
      <c r="J1157" s="2">
        <f t="shared" si="146"/>
        <v>30</v>
      </c>
      <c r="K1157" s="2">
        <f t="shared" si="147"/>
        <v>6</v>
      </c>
      <c r="L1157" s="2">
        <f t="shared" si="148"/>
        <v>2</v>
      </c>
      <c r="M1157" s="3">
        <f t="shared" si="149"/>
        <v>205.199997</v>
      </c>
      <c r="N1157" s="1">
        <f t="shared" ca="1" si="150"/>
        <v>205.199997</v>
      </c>
      <c r="O1157" s="5">
        <f t="shared" si="151"/>
        <v>-7.7972272095110373E-3</v>
      </c>
    </row>
    <row r="1158" spans="1:15" s="2" customFormat="1" x14ac:dyDescent="0.5">
      <c r="A1158" s="6">
        <v>42037</v>
      </c>
      <c r="B1158" s="1">
        <v>203.970001</v>
      </c>
      <c r="C1158" s="1">
        <v>211.949997</v>
      </c>
      <c r="D1158" s="1">
        <v>203.300003</v>
      </c>
      <c r="E1158" s="1">
        <v>210.94000199999999</v>
      </c>
      <c r="F1158" s="1">
        <v>210.94000199999999</v>
      </c>
      <c r="G1158" s="2">
        <v>4149200</v>
      </c>
      <c r="H1158" s="2">
        <f t="shared" si="144"/>
        <v>2015</v>
      </c>
      <c r="I1158" s="2">
        <f t="shared" si="145"/>
        <v>2</v>
      </c>
      <c r="J1158" s="2">
        <f t="shared" si="146"/>
        <v>2</v>
      </c>
      <c r="K1158" s="2">
        <f t="shared" si="147"/>
        <v>2</v>
      </c>
      <c r="L1158" s="2">
        <f t="shared" si="148"/>
        <v>3</v>
      </c>
      <c r="M1158" s="3">
        <f t="shared" si="149"/>
        <v>203.60000600000001</v>
      </c>
      <c r="N1158" s="1">
        <f t="shared" ca="1" si="150"/>
        <v>203.60000600000001</v>
      </c>
      <c r="O1158" s="5">
        <f t="shared" si="151"/>
        <v>3.6051059841324395E-2</v>
      </c>
    </row>
    <row r="1159" spans="1:15" s="2" customFormat="1" x14ac:dyDescent="0.5">
      <c r="A1159" s="6">
        <v>42038</v>
      </c>
      <c r="B1159" s="1">
        <v>213.220001</v>
      </c>
      <c r="C1159" s="1">
        <v>220.36999499999999</v>
      </c>
      <c r="D1159" s="1">
        <v>211.270004</v>
      </c>
      <c r="E1159" s="1">
        <v>218.36000100000001</v>
      </c>
      <c r="F1159" s="1">
        <v>218.36000100000001</v>
      </c>
      <c r="G1159" s="2">
        <v>4812900</v>
      </c>
      <c r="H1159" s="2">
        <f t="shared" si="144"/>
        <v>2015</v>
      </c>
      <c r="I1159" s="2">
        <f t="shared" si="145"/>
        <v>2</v>
      </c>
      <c r="J1159" s="2">
        <f t="shared" si="146"/>
        <v>3</v>
      </c>
      <c r="K1159" s="2">
        <f t="shared" si="147"/>
        <v>3</v>
      </c>
      <c r="L1159" s="2">
        <f t="shared" si="148"/>
        <v>3</v>
      </c>
      <c r="M1159" s="3">
        <f t="shared" si="149"/>
        <v>210.94000199999999</v>
      </c>
      <c r="N1159" s="1">
        <f t="shared" ca="1" si="150"/>
        <v>210.94000199999999</v>
      </c>
      <c r="O1159" s="5">
        <f t="shared" si="151"/>
        <v>3.5175874322785017E-2</v>
      </c>
    </row>
    <row r="1160" spans="1:15" s="2" customFormat="1" x14ac:dyDescent="0.5">
      <c r="A1160" s="6">
        <v>42039</v>
      </c>
      <c r="B1160" s="1">
        <v>218.28999300000001</v>
      </c>
      <c r="C1160" s="1">
        <v>221.479996</v>
      </c>
      <c r="D1160" s="1">
        <v>216.800003</v>
      </c>
      <c r="E1160" s="1">
        <v>218.550003</v>
      </c>
      <c r="F1160" s="1">
        <v>218.550003</v>
      </c>
      <c r="G1160" s="2">
        <v>3305400</v>
      </c>
      <c r="H1160" s="2">
        <f t="shared" si="144"/>
        <v>2015</v>
      </c>
      <c r="I1160" s="2">
        <f t="shared" si="145"/>
        <v>2</v>
      </c>
      <c r="J1160" s="2">
        <f t="shared" si="146"/>
        <v>4</v>
      </c>
      <c r="K1160" s="2">
        <f t="shared" si="147"/>
        <v>4</v>
      </c>
      <c r="L1160" s="2">
        <f t="shared" si="148"/>
        <v>3</v>
      </c>
      <c r="M1160" s="3">
        <f t="shared" si="149"/>
        <v>218.36000100000001</v>
      </c>
      <c r="N1160" s="1">
        <f t="shared" ca="1" si="150"/>
        <v>218.36000100000001</v>
      </c>
      <c r="O1160" s="5">
        <f t="shared" si="151"/>
        <v>8.7013188830309396E-4</v>
      </c>
    </row>
    <row r="1161" spans="1:15" s="2" customFormat="1" x14ac:dyDescent="0.5">
      <c r="A1161" s="6">
        <v>42040</v>
      </c>
      <c r="B1161" s="1">
        <v>219.88000500000001</v>
      </c>
      <c r="C1161" s="1">
        <v>225.479996</v>
      </c>
      <c r="D1161" s="1">
        <v>219.63999899999999</v>
      </c>
      <c r="E1161" s="1">
        <v>220.990005</v>
      </c>
      <c r="F1161" s="1">
        <v>220.990005</v>
      </c>
      <c r="G1161" s="2">
        <v>3522900</v>
      </c>
      <c r="H1161" s="2">
        <f t="shared" si="144"/>
        <v>2015</v>
      </c>
      <c r="I1161" s="2">
        <f t="shared" si="145"/>
        <v>2</v>
      </c>
      <c r="J1161" s="2">
        <f t="shared" si="146"/>
        <v>5</v>
      </c>
      <c r="K1161" s="2">
        <f t="shared" si="147"/>
        <v>5</v>
      </c>
      <c r="L1161" s="2">
        <f t="shared" si="148"/>
        <v>3</v>
      </c>
      <c r="M1161" s="3">
        <f t="shared" si="149"/>
        <v>218.550003</v>
      </c>
      <c r="N1161" s="1">
        <f t="shared" ca="1" si="150"/>
        <v>218.550003</v>
      </c>
      <c r="O1161" s="5">
        <f t="shared" si="151"/>
        <v>1.1164502248943053E-2</v>
      </c>
    </row>
    <row r="1162" spans="1:15" s="2" customFormat="1" x14ac:dyDescent="0.5">
      <c r="A1162" s="6">
        <v>42041</v>
      </c>
      <c r="B1162" s="1">
        <v>222</v>
      </c>
      <c r="C1162" s="1">
        <v>223.39999399999999</v>
      </c>
      <c r="D1162" s="1">
        <v>216.5</v>
      </c>
      <c r="E1162" s="1">
        <v>217.36000100000001</v>
      </c>
      <c r="F1162" s="1">
        <v>217.36000100000001</v>
      </c>
      <c r="G1162" s="2">
        <v>3233200</v>
      </c>
      <c r="H1162" s="2">
        <f t="shared" si="144"/>
        <v>2015</v>
      </c>
      <c r="I1162" s="2">
        <f t="shared" si="145"/>
        <v>2</v>
      </c>
      <c r="J1162" s="2">
        <f t="shared" si="146"/>
        <v>6</v>
      </c>
      <c r="K1162" s="2">
        <f t="shared" si="147"/>
        <v>6</v>
      </c>
      <c r="L1162" s="2">
        <f t="shared" si="148"/>
        <v>3</v>
      </c>
      <c r="M1162" s="3">
        <f t="shared" si="149"/>
        <v>220.990005</v>
      </c>
      <c r="N1162" s="1">
        <f t="shared" ca="1" si="150"/>
        <v>220.990005</v>
      </c>
      <c r="O1162" s="5">
        <f t="shared" si="151"/>
        <v>-1.6426100356891626E-2</v>
      </c>
    </row>
    <row r="1163" spans="1:15" s="2" customFormat="1" x14ac:dyDescent="0.5">
      <c r="A1163" s="6">
        <v>42044</v>
      </c>
      <c r="B1163" s="1">
        <v>215.38000500000001</v>
      </c>
      <c r="C1163" s="1">
        <v>217.929993</v>
      </c>
      <c r="D1163" s="1">
        <v>211.990005</v>
      </c>
      <c r="E1163" s="1">
        <v>217.479996</v>
      </c>
      <c r="F1163" s="1">
        <v>217.479996</v>
      </c>
      <c r="G1163" s="2">
        <v>3472400</v>
      </c>
      <c r="H1163" s="2">
        <f t="shared" si="144"/>
        <v>2015</v>
      </c>
      <c r="I1163" s="2">
        <f t="shared" si="145"/>
        <v>2</v>
      </c>
      <c r="J1163" s="2">
        <f t="shared" si="146"/>
        <v>9</v>
      </c>
      <c r="K1163" s="2">
        <f t="shared" si="147"/>
        <v>2</v>
      </c>
      <c r="L1163" s="2">
        <f t="shared" si="148"/>
        <v>3</v>
      </c>
      <c r="M1163" s="3">
        <f t="shared" si="149"/>
        <v>217.36000100000001</v>
      </c>
      <c r="N1163" s="1">
        <f t="shared" ca="1" si="150"/>
        <v>217.36000100000001</v>
      </c>
      <c r="O1163" s="5">
        <f t="shared" si="151"/>
        <v>5.5205649359546527E-4</v>
      </c>
    </row>
    <row r="1164" spans="1:15" s="2" customFormat="1" x14ac:dyDescent="0.5">
      <c r="A1164" s="6">
        <v>42045</v>
      </c>
      <c r="B1164" s="1">
        <v>217.550003</v>
      </c>
      <c r="C1164" s="1">
        <v>220.5</v>
      </c>
      <c r="D1164" s="1">
        <v>215</v>
      </c>
      <c r="E1164" s="1">
        <v>216.28999300000001</v>
      </c>
      <c r="F1164" s="1">
        <v>216.28999300000001</v>
      </c>
      <c r="G1164" s="2">
        <v>5390500</v>
      </c>
      <c r="H1164" s="2">
        <f t="shared" si="144"/>
        <v>2015</v>
      </c>
      <c r="I1164" s="2">
        <f t="shared" si="145"/>
        <v>2</v>
      </c>
      <c r="J1164" s="2">
        <f t="shared" si="146"/>
        <v>10</v>
      </c>
      <c r="K1164" s="2">
        <f t="shared" si="147"/>
        <v>3</v>
      </c>
      <c r="L1164" s="2">
        <f t="shared" si="148"/>
        <v>3</v>
      </c>
      <c r="M1164" s="3">
        <f t="shared" si="149"/>
        <v>217.479996</v>
      </c>
      <c r="N1164" s="1">
        <f t="shared" ca="1" si="150"/>
        <v>217.479996</v>
      </c>
      <c r="O1164" s="5">
        <f t="shared" si="151"/>
        <v>-5.471781413863841E-3</v>
      </c>
    </row>
    <row r="1165" spans="1:15" s="2" customFormat="1" x14ac:dyDescent="0.5">
      <c r="A1165" s="6">
        <v>42046</v>
      </c>
      <c r="B1165" s="1">
        <v>212.21000699999999</v>
      </c>
      <c r="C1165" s="1">
        <v>214.740005</v>
      </c>
      <c r="D1165" s="1">
        <v>207.279999</v>
      </c>
      <c r="E1165" s="1">
        <v>212.800003</v>
      </c>
      <c r="F1165" s="1">
        <v>212.800003</v>
      </c>
      <c r="G1165" s="2">
        <v>9769100</v>
      </c>
      <c r="H1165" s="2">
        <f t="shared" si="144"/>
        <v>2015</v>
      </c>
      <c r="I1165" s="2">
        <f t="shared" si="145"/>
        <v>2</v>
      </c>
      <c r="J1165" s="2">
        <f t="shared" si="146"/>
        <v>11</v>
      </c>
      <c r="K1165" s="2">
        <f t="shared" si="147"/>
        <v>4</v>
      </c>
      <c r="L1165" s="2">
        <f t="shared" si="148"/>
        <v>3</v>
      </c>
      <c r="M1165" s="3">
        <f t="shared" si="149"/>
        <v>216.28999300000001</v>
      </c>
      <c r="N1165" s="1">
        <f t="shared" ca="1" si="150"/>
        <v>216.28999300000001</v>
      </c>
      <c r="O1165" s="5">
        <f t="shared" si="151"/>
        <v>-1.6135697965462548E-2</v>
      </c>
    </row>
    <row r="1166" spans="1:15" s="2" customFormat="1" x14ac:dyDescent="0.5">
      <c r="A1166" s="6">
        <v>42047</v>
      </c>
      <c r="B1166" s="1">
        <v>193.570007</v>
      </c>
      <c r="C1166" s="1">
        <v>203.08999600000001</v>
      </c>
      <c r="D1166" s="1">
        <v>193.279999</v>
      </c>
      <c r="E1166" s="1">
        <v>202.88000500000001</v>
      </c>
      <c r="F1166" s="1">
        <v>202.88000500000001</v>
      </c>
      <c r="G1166" s="2">
        <v>15649600</v>
      </c>
      <c r="H1166" s="2">
        <f t="shared" si="144"/>
        <v>2015</v>
      </c>
      <c r="I1166" s="2">
        <f t="shared" si="145"/>
        <v>2</v>
      </c>
      <c r="J1166" s="2">
        <f t="shared" si="146"/>
        <v>12</v>
      </c>
      <c r="K1166" s="2">
        <f t="shared" si="147"/>
        <v>5</v>
      </c>
      <c r="L1166" s="2">
        <f t="shared" si="148"/>
        <v>3</v>
      </c>
      <c r="M1166" s="3">
        <f t="shared" si="149"/>
        <v>212.800003</v>
      </c>
      <c r="N1166" s="1">
        <f t="shared" ca="1" si="150"/>
        <v>212.800003</v>
      </c>
      <c r="O1166" s="5">
        <f t="shared" si="151"/>
        <v>-4.6616531297699271E-2</v>
      </c>
    </row>
    <row r="1167" spans="1:15" s="2" customFormat="1" x14ac:dyDescent="0.5">
      <c r="A1167" s="6">
        <v>42048</v>
      </c>
      <c r="B1167" s="1">
        <v>202.89999399999999</v>
      </c>
      <c r="C1167" s="1">
        <v>205.990005</v>
      </c>
      <c r="D1167" s="1">
        <v>200.91000399999999</v>
      </c>
      <c r="E1167" s="1">
        <v>203.770004</v>
      </c>
      <c r="F1167" s="1">
        <v>203.770004</v>
      </c>
      <c r="G1167" s="2">
        <v>6191000</v>
      </c>
      <c r="H1167" s="2">
        <f t="shared" si="144"/>
        <v>2015</v>
      </c>
      <c r="I1167" s="2">
        <f t="shared" si="145"/>
        <v>2</v>
      </c>
      <c r="J1167" s="2">
        <f t="shared" si="146"/>
        <v>13</v>
      </c>
      <c r="K1167" s="2">
        <f t="shared" si="147"/>
        <v>6</v>
      </c>
      <c r="L1167" s="2">
        <f t="shared" si="148"/>
        <v>3</v>
      </c>
      <c r="M1167" s="3">
        <f t="shared" si="149"/>
        <v>202.88000500000001</v>
      </c>
      <c r="N1167" s="1">
        <f t="shared" ca="1" si="150"/>
        <v>202.88000500000001</v>
      </c>
      <c r="O1167" s="5">
        <f t="shared" si="151"/>
        <v>4.3868246158609292E-3</v>
      </c>
    </row>
    <row r="1168" spans="1:15" s="2" customFormat="1" x14ac:dyDescent="0.5">
      <c r="A1168" s="6">
        <v>42052</v>
      </c>
      <c r="B1168" s="1">
        <v>205.699997</v>
      </c>
      <c r="C1168" s="1">
        <v>205.699997</v>
      </c>
      <c r="D1168" s="1">
        <v>201.5</v>
      </c>
      <c r="E1168" s="1">
        <v>204.35000600000001</v>
      </c>
      <c r="F1168" s="1">
        <v>204.35000600000001</v>
      </c>
      <c r="G1168" s="2">
        <v>3979600</v>
      </c>
      <c r="H1168" s="2">
        <f t="shared" si="144"/>
        <v>2015</v>
      </c>
      <c r="I1168" s="2">
        <f t="shared" si="145"/>
        <v>2</v>
      </c>
      <c r="J1168" s="2">
        <f t="shared" si="146"/>
        <v>17</v>
      </c>
      <c r="K1168" s="2">
        <f t="shared" si="147"/>
        <v>3</v>
      </c>
      <c r="L1168" s="2">
        <f t="shared" si="148"/>
        <v>3</v>
      </c>
      <c r="M1168" s="3">
        <f t="shared" si="149"/>
        <v>203.770004</v>
      </c>
      <c r="N1168" s="1">
        <f t="shared" ca="1" si="150"/>
        <v>203.770004</v>
      </c>
      <c r="O1168" s="5">
        <f t="shared" si="151"/>
        <v>2.846356130022043E-3</v>
      </c>
    </row>
    <row r="1169" spans="1:15" s="2" customFormat="1" x14ac:dyDescent="0.5">
      <c r="A1169" s="6">
        <v>42053</v>
      </c>
      <c r="B1169" s="1">
        <v>204.16999799999999</v>
      </c>
      <c r="C1169" s="1">
        <v>206.16999799999999</v>
      </c>
      <c r="D1169" s="1">
        <v>202.60000600000001</v>
      </c>
      <c r="E1169" s="1">
        <v>204.46000699999999</v>
      </c>
      <c r="F1169" s="1">
        <v>204.46000699999999</v>
      </c>
      <c r="G1169" s="2">
        <v>2708800</v>
      </c>
      <c r="H1169" s="2">
        <f t="shared" si="144"/>
        <v>2015</v>
      </c>
      <c r="I1169" s="2">
        <f t="shared" si="145"/>
        <v>2</v>
      </c>
      <c r="J1169" s="2">
        <f t="shared" si="146"/>
        <v>18</v>
      </c>
      <c r="K1169" s="2">
        <f t="shared" si="147"/>
        <v>4</v>
      </c>
      <c r="L1169" s="2">
        <f t="shared" si="148"/>
        <v>3</v>
      </c>
      <c r="M1169" s="3">
        <f t="shared" si="149"/>
        <v>204.35000600000001</v>
      </c>
      <c r="N1169" s="1">
        <f t="shared" ca="1" si="150"/>
        <v>204.35000600000001</v>
      </c>
      <c r="O1169" s="5">
        <f t="shared" si="151"/>
        <v>5.3829702358787479E-4</v>
      </c>
    </row>
    <row r="1170" spans="1:15" s="2" customFormat="1" x14ac:dyDescent="0.5">
      <c r="A1170" s="6">
        <v>42054</v>
      </c>
      <c r="B1170" s="1">
        <v>205</v>
      </c>
      <c r="C1170" s="1">
        <v>212.44000199999999</v>
      </c>
      <c r="D1170" s="1">
        <v>203.75</v>
      </c>
      <c r="E1170" s="1">
        <v>211.71000699999999</v>
      </c>
      <c r="F1170" s="1">
        <v>211.71000699999999</v>
      </c>
      <c r="G1170" s="2">
        <v>5154100</v>
      </c>
      <c r="H1170" s="2">
        <f t="shared" si="144"/>
        <v>2015</v>
      </c>
      <c r="I1170" s="2">
        <f t="shared" si="145"/>
        <v>2</v>
      </c>
      <c r="J1170" s="2">
        <f t="shared" si="146"/>
        <v>19</v>
      </c>
      <c r="K1170" s="2">
        <f t="shared" si="147"/>
        <v>5</v>
      </c>
      <c r="L1170" s="2">
        <f t="shared" si="148"/>
        <v>3</v>
      </c>
      <c r="M1170" s="3">
        <f t="shared" si="149"/>
        <v>204.46000699999999</v>
      </c>
      <c r="N1170" s="1">
        <f t="shared" ca="1" si="150"/>
        <v>204.46000699999999</v>
      </c>
      <c r="O1170" s="5">
        <f t="shared" si="151"/>
        <v>3.5459257320674897E-2</v>
      </c>
    </row>
    <row r="1171" spans="1:15" s="2" customFormat="1" x14ac:dyDescent="0.5">
      <c r="A1171" s="6">
        <v>42055</v>
      </c>
      <c r="B1171" s="1">
        <v>210.779999</v>
      </c>
      <c r="C1171" s="1">
        <v>217.60000600000001</v>
      </c>
      <c r="D1171" s="1">
        <v>209.80999800000001</v>
      </c>
      <c r="E1171" s="1">
        <v>217.11000100000001</v>
      </c>
      <c r="F1171" s="1">
        <v>217.11000100000001</v>
      </c>
      <c r="G1171" s="2">
        <v>5982100</v>
      </c>
      <c r="H1171" s="2">
        <f t="shared" si="144"/>
        <v>2015</v>
      </c>
      <c r="I1171" s="2">
        <f t="shared" si="145"/>
        <v>2</v>
      </c>
      <c r="J1171" s="2">
        <f t="shared" si="146"/>
        <v>20</v>
      </c>
      <c r="K1171" s="2">
        <f t="shared" si="147"/>
        <v>6</v>
      </c>
      <c r="L1171" s="2">
        <f t="shared" si="148"/>
        <v>3</v>
      </c>
      <c r="M1171" s="3">
        <f t="shared" si="149"/>
        <v>211.71000699999999</v>
      </c>
      <c r="N1171" s="1">
        <f t="shared" ca="1" si="150"/>
        <v>211.71000699999999</v>
      </c>
      <c r="O1171" s="5">
        <f t="shared" si="151"/>
        <v>2.5506560018204727E-2</v>
      </c>
    </row>
    <row r="1172" spans="1:15" s="2" customFormat="1" x14ac:dyDescent="0.5">
      <c r="A1172" s="6">
        <v>42058</v>
      </c>
      <c r="B1172" s="1">
        <v>215.66000399999999</v>
      </c>
      <c r="C1172" s="1">
        <v>218.199997</v>
      </c>
      <c r="D1172" s="1">
        <v>206.33000200000001</v>
      </c>
      <c r="E1172" s="1">
        <v>207.33999600000001</v>
      </c>
      <c r="F1172" s="1">
        <v>207.33999600000001</v>
      </c>
      <c r="G1172" s="2">
        <v>8499800</v>
      </c>
      <c r="H1172" s="2">
        <f t="shared" si="144"/>
        <v>2015</v>
      </c>
      <c r="I1172" s="2">
        <f t="shared" si="145"/>
        <v>2</v>
      </c>
      <c r="J1172" s="2">
        <f t="shared" si="146"/>
        <v>23</v>
      </c>
      <c r="K1172" s="2">
        <f t="shared" si="147"/>
        <v>2</v>
      </c>
      <c r="L1172" s="2">
        <f t="shared" si="148"/>
        <v>3</v>
      </c>
      <c r="M1172" s="3">
        <f t="shared" si="149"/>
        <v>217.11000100000001</v>
      </c>
      <c r="N1172" s="1">
        <f t="shared" ca="1" si="150"/>
        <v>217.11000100000001</v>
      </c>
      <c r="O1172" s="5">
        <f t="shared" si="151"/>
        <v>-4.5000253120536793E-2</v>
      </c>
    </row>
    <row r="1173" spans="1:15" s="2" customFormat="1" x14ac:dyDescent="0.5">
      <c r="A1173" s="6">
        <v>42059</v>
      </c>
      <c r="B1173" s="1">
        <v>207.28999300000001</v>
      </c>
      <c r="C1173" s="1">
        <v>207.28999300000001</v>
      </c>
      <c r="D1173" s="1">
        <v>201.699997</v>
      </c>
      <c r="E1173" s="1">
        <v>204.11000100000001</v>
      </c>
      <c r="F1173" s="1">
        <v>204.11000100000001</v>
      </c>
      <c r="G1173" s="2">
        <v>6584900</v>
      </c>
      <c r="H1173" s="2">
        <f t="shared" si="144"/>
        <v>2015</v>
      </c>
      <c r="I1173" s="2">
        <f t="shared" si="145"/>
        <v>2</v>
      </c>
      <c r="J1173" s="2">
        <f t="shared" si="146"/>
        <v>24</v>
      </c>
      <c r="K1173" s="2">
        <f t="shared" si="147"/>
        <v>3</v>
      </c>
      <c r="L1173" s="2">
        <f t="shared" si="148"/>
        <v>3</v>
      </c>
      <c r="M1173" s="3">
        <f t="shared" si="149"/>
        <v>207.33999600000001</v>
      </c>
      <c r="N1173" s="1">
        <f t="shared" ca="1" si="150"/>
        <v>207.33999600000001</v>
      </c>
      <c r="O1173" s="5">
        <f t="shared" si="151"/>
        <v>-1.5578253411367871E-2</v>
      </c>
    </row>
    <row r="1174" spans="1:15" s="2" customFormat="1" x14ac:dyDescent="0.5">
      <c r="A1174" s="6">
        <v>42060</v>
      </c>
      <c r="B1174" s="1">
        <v>204.94000199999999</v>
      </c>
      <c r="C1174" s="1">
        <v>207.13999899999999</v>
      </c>
      <c r="D1174" s="1">
        <v>202.58000200000001</v>
      </c>
      <c r="E1174" s="1">
        <v>203.759995</v>
      </c>
      <c r="F1174" s="1">
        <v>203.759995</v>
      </c>
      <c r="G1174" s="2">
        <v>3909500</v>
      </c>
      <c r="H1174" s="2">
        <f t="shared" si="144"/>
        <v>2015</v>
      </c>
      <c r="I1174" s="2">
        <f t="shared" si="145"/>
        <v>2</v>
      </c>
      <c r="J1174" s="2">
        <f t="shared" si="146"/>
        <v>25</v>
      </c>
      <c r="K1174" s="2">
        <f t="shared" si="147"/>
        <v>4</v>
      </c>
      <c r="L1174" s="2">
        <f t="shared" si="148"/>
        <v>3</v>
      </c>
      <c r="M1174" s="3">
        <f t="shared" si="149"/>
        <v>204.11000100000001</v>
      </c>
      <c r="N1174" s="1">
        <f t="shared" ca="1" si="150"/>
        <v>204.11000100000001</v>
      </c>
      <c r="O1174" s="5">
        <f t="shared" si="151"/>
        <v>-1.714791035643648E-3</v>
      </c>
    </row>
    <row r="1175" spans="1:15" s="2" customFormat="1" x14ac:dyDescent="0.5">
      <c r="A1175" s="6">
        <v>42061</v>
      </c>
      <c r="B1175" s="1">
        <v>204</v>
      </c>
      <c r="C1175" s="1">
        <v>211.08999600000001</v>
      </c>
      <c r="D1175" s="1">
        <v>202.220001</v>
      </c>
      <c r="E1175" s="1">
        <v>207.19000199999999</v>
      </c>
      <c r="F1175" s="1">
        <v>207.19000199999999</v>
      </c>
      <c r="G1175" s="2">
        <v>6472900</v>
      </c>
      <c r="H1175" s="2">
        <f t="shared" si="144"/>
        <v>2015</v>
      </c>
      <c r="I1175" s="2">
        <f t="shared" si="145"/>
        <v>2</v>
      </c>
      <c r="J1175" s="2">
        <f t="shared" si="146"/>
        <v>26</v>
      </c>
      <c r="K1175" s="2">
        <f t="shared" si="147"/>
        <v>5</v>
      </c>
      <c r="L1175" s="2">
        <f t="shared" si="148"/>
        <v>3</v>
      </c>
      <c r="M1175" s="3">
        <f t="shared" si="149"/>
        <v>203.759995</v>
      </c>
      <c r="N1175" s="1">
        <f t="shared" ca="1" si="150"/>
        <v>203.759995</v>
      </c>
      <c r="O1175" s="5">
        <f t="shared" si="151"/>
        <v>1.6833564409932222E-2</v>
      </c>
    </row>
    <row r="1176" spans="1:15" s="2" customFormat="1" x14ac:dyDescent="0.5">
      <c r="A1176" s="6">
        <v>42062</v>
      </c>
      <c r="B1176" s="1">
        <v>206.89999399999999</v>
      </c>
      <c r="C1176" s="1">
        <v>208.550003</v>
      </c>
      <c r="D1176" s="1">
        <v>202.800003</v>
      </c>
      <c r="E1176" s="1">
        <v>203.33999600000001</v>
      </c>
      <c r="F1176" s="1">
        <v>203.33999600000001</v>
      </c>
      <c r="G1176" s="2">
        <v>3882100</v>
      </c>
      <c r="H1176" s="2">
        <f t="shared" si="144"/>
        <v>2015</v>
      </c>
      <c r="I1176" s="2">
        <f t="shared" si="145"/>
        <v>2</v>
      </c>
      <c r="J1176" s="2">
        <f t="shared" si="146"/>
        <v>27</v>
      </c>
      <c r="K1176" s="2">
        <f t="shared" si="147"/>
        <v>6</v>
      </c>
      <c r="L1176" s="2">
        <f t="shared" si="148"/>
        <v>3</v>
      </c>
      <c r="M1176" s="3">
        <f t="shared" si="149"/>
        <v>207.19000199999999</v>
      </c>
      <c r="N1176" s="1">
        <f t="shared" ca="1" si="150"/>
        <v>207.19000199999999</v>
      </c>
      <c r="O1176" s="5">
        <f t="shared" si="151"/>
        <v>-1.8582006674240925E-2</v>
      </c>
    </row>
    <row r="1177" spans="1:15" s="2" customFormat="1" x14ac:dyDescent="0.5">
      <c r="A1177" s="6">
        <v>42065</v>
      </c>
      <c r="B1177" s="1">
        <v>202.699997</v>
      </c>
      <c r="C1177" s="1">
        <v>203.33999600000001</v>
      </c>
      <c r="D1177" s="1">
        <v>195.83000200000001</v>
      </c>
      <c r="E1177" s="1">
        <v>197.33000200000001</v>
      </c>
      <c r="F1177" s="1">
        <v>197.33000200000001</v>
      </c>
      <c r="G1177" s="2">
        <v>7922100</v>
      </c>
      <c r="H1177" s="2">
        <f t="shared" si="144"/>
        <v>2015</v>
      </c>
      <c r="I1177" s="2">
        <f t="shared" si="145"/>
        <v>3</v>
      </c>
      <c r="J1177" s="2">
        <f t="shared" si="146"/>
        <v>2</v>
      </c>
      <c r="K1177" s="2">
        <f t="shared" si="147"/>
        <v>2</v>
      </c>
      <c r="L1177" s="2">
        <f t="shared" si="148"/>
        <v>4</v>
      </c>
      <c r="M1177" s="3">
        <f t="shared" si="149"/>
        <v>203.33999600000001</v>
      </c>
      <c r="N1177" s="1">
        <f t="shared" ca="1" si="150"/>
        <v>203.33999600000001</v>
      </c>
      <c r="O1177" s="5">
        <f t="shared" si="151"/>
        <v>-2.9556379060812099E-2</v>
      </c>
    </row>
    <row r="1178" spans="1:15" s="2" customFormat="1" x14ac:dyDescent="0.5">
      <c r="A1178" s="6">
        <v>42066</v>
      </c>
      <c r="B1178" s="1">
        <v>196.80999800000001</v>
      </c>
      <c r="C1178" s="1">
        <v>200.240005</v>
      </c>
      <c r="D1178" s="1">
        <v>195.320007</v>
      </c>
      <c r="E1178" s="1">
        <v>199.55999800000001</v>
      </c>
      <c r="F1178" s="1">
        <v>199.55999800000001</v>
      </c>
      <c r="G1178" s="2">
        <v>4432300</v>
      </c>
      <c r="H1178" s="2">
        <f t="shared" si="144"/>
        <v>2015</v>
      </c>
      <c r="I1178" s="2">
        <f t="shared" si="145"/>
        <v>3</v>
      </c>
      <c r="J1178" s="2">
        <f t="shared" si="146"/>
        <v>3</v>
      </c>
      <c r="K1178" s="2">
        <f t="shared" si="147"/>
        <v>3</v>
      </c>
      <c r="L1178" s="2">
        <f t="shared" si="148"/>
        <v>4</v>
      </c>
      <c r="M1178" s="3">
        <f t="shared" si="149"/>
        <v>197.33000200000001</v>
      </c>
      <c r="N1178" s="1">
        <f t="shared" ca="1" si="150"/>
        <v>197.33000200000001</v>
      </c>
      <c r="O1178" s="5">
        <f t="shared" si="151"/>
        <v>1.1300846183541768E-2</v>
      </c>
    </row>
    <row r="1179" spans="1:15" s="2" customFormat="1" x14ac:dyDescent="0.5">
      <c r="A1179" s="6">
        <v>42067</v>
      </c>
      <c r="B1179" s="1">
        <v>199.25</v>
      </c>
      <c r="C1179" s="1">
        <v>202.520004</v>
      </c>
      <c r="D1179" s="1">
        <v>197.21000699999999</v>
      </c>
      <c r="E1179" s="1">
        <v>202.44000199999999</v>
      </c>
      <c r="F1179" s="1">
        <v>202.44000199999999</v>
      </c>
      <c r="G1179" s="2">
        <v>4212000</v>
      </c>
      <c r="H1179" s="2">
        <f t="shared" si="144"/>
        <v>2015</v>
      </c>
      <c r="I1179" s="2">
        <f t="shared" si="145"/>
        <v>3</v>
      </c>
      <c r="J1179" s="2">
        <f t="shared" si="146"/>
        <v>4</v>
      </c>
      <c r="K1179" s="2">
        <f t="shared" si="147"/>
        <v>4</v>
      </c>
      <c r="L1179" s="2">
        <f t="shared" si="148"/>
        <v>4</v>
      </c>
      <c r="M1179" s="3">
        <f t="shared" si="149"/>
        <v>199.55999800000001</v>
      </c>
      <c r="N1179" s="1">
        <f t="shared" ca="1" si="150"/>
        <v>199.55999800000001</v>
      </c>
      <c r="O1179" s="5">
        <f t="shared" si="151"/>
        <v>1.4431770038402014E-2</v>
      </c>
    </row>
    <row r="1180" spans="1:15" s="2" customFormat="1" x14ac:dyDescent="0.5">
      <c r="A1180" s="6">
        <v>42068</v>
      </c>
      <c r="B1180" s="1">
        <v>202.85000600000001</v>
      </c>
      <c r="C1180" s="1">
        <v>206.19000199999999</v>
      </c>
      <c r="D1180" s="1">
        <v>200.14999399999999</v>
      </c>
      <c r="E1180" s="1">
        <v>200.63000500000001</v>
      </c>
      <c r="F1180" s="1">
        <v>200.63000500000001</v>
      </c>
      <c r="G1180" s="2">
        <v>4877000</v>
      </c>
      <c r="H1180" s="2">
        <f t="shared" si="144"/>
        <v>2015</v>
      </c>
      <c r="I1180" s="2">
        <f t="shared" si="145"/>
        <v>3</v>
      </c>
      <c r="J1180" s="2">
        <f t="shared" si="146"/>
        <v>5</v>
      </c>
      <c r="K1180" s="2">
        <f t="shared" si="147"/>
        <v>5</v>
      </c>
      <c r="L1180" s="2">
        <f t="shared" si="148"/>
        <v>4</v>
      </c>
      <c r="M1180" s="3">
        <f t="shared" si="149"/>
        <v>202.44000199999999</v>
      </c>
      <c r="N1180" s="1">
        <f t="shared" ca="1" si="150"/>
        <v>202.44000199999999</v>
      </c>
      <c r="O1180" s="5">
        <f t="shared" si="151"/>
        <v>-8.9409058591096713E-3</v>
      </c>
    </row>
    <row r="1181" spans="1:15" s="2" customFormat="1" x14ac:dyDescent="0.5">
      <c r="A1181" s="6">
        <v>42069</v>
      </c>
      <c r="B1181" s="1">
        <v>199.21000699999999</v>
      </c>
      <c r="C1181" s="1">
        <v>200.75</v>
      </c>
      <c r="D1181" s="1">
        <v>192.14999399999999</v>
      </c>
      <c r="E1181" s="1">
        <v>193.88000500000001</v>
      </c>
      <c r="F1181" s="1">
        <v>193.88000500000001</v>
      </c>
      <c r="G1181" s="2">
        <v>6712400</v>
      </c>
      <c r="H1181" s="2">
        <f t="shared" si="144"/>
        <v>2015</v>
      </c>
      <c r="I1181" s="2">
        <f t="shared" si="145"/>
        <v>3</v>
      </c>
      <c r="J1181" s="2">
        <f t="shared" si="146"/>
        <v>6</v>
      </c>
      <c r="K1181" s="2">
        <f t="shared" si="147"/>
        <v>6</v>
      </c>
      <c r="L1181" s="2">
        <f t="shared" si="148"/>
        <v>4</v>
      </c>
      <c r="M1181" s="3">
        <f t="shared" si="149"/>
        <v>200.63000500000001</v>
      </c>
      <c r="N1181" s="1">
        <f t="shared" ca="1" si="150"/>
        <v>200.63000500000001</v>
      </c>
      <c r="O1181" s="5">
        <f t="shared" si="151"/>
        <v>-3.3644020494342342E-2</v>
      </c>
    </row>
    <row r="1182" spans="1:15" s="2" customFormat="1" x14ac:dyDescent="0.5">
      <c r="A1182" s="6">
        <v>42072</v>
      </c>
      <c r="B1182" s="1">
        <v>194.38999899999999</v>
      </c>
      <c r="C1182" s="1">
        <v>194.490005</v>
      </c>
      <c r="D1182" s="1">
        <v>188.25</v>
      </c>
      <c r="E1182" s="1">
        <v>190.88000500000001</v>
      </c>
      <c r="F1182" s="1">
        <v>190.88000500000001</v>
      </c>
      <c r="G1182" s="2">
        <v>6736700</v>
      </c>
      <c r="H1182" s="2">
        <f t="shared" si="144"/>
        <v>2015</v>
      </c>
      <c r="I1182" s="2">
        <f t="shared" si="145"/>
        <v>3</v>
      </c>
      <c r="J1182" s="2">
        <f t="shared" si="146"/>
        <v>9</v>
      </c>
      <c r="K1182" s="2">
        <f t="shared" si="147"/>
        <v>2</v>
      </c>
      <c r="L1182" s="2">
        <f t="shared" si="148"/>
        <v>4</v>
      </c>
      <c r="M1182" s="3">
        <f t="shared" si="149"/>
        <v>193.88000500000001</v>
      </c>
      <c r="N1182" s="1">
        <f t="shared" ca="1" si="150"/>
        <v>193.88000500000001</v>
      </c>
      <c r="O1182" s="5">
        <f t="shared" si="151"/>
        <v>-1.5473488356883447E-2</v>
      </c>
    </row>
    <row r="1183" spans="1:15" s="2" customFormat="1" x14ac:dyDescent="0.5">
      <c r="A1183" s="6">
        <v>42073</v>
      </c>
      <c r="B1183" s="1">
        <v>188.46000699999999</v>
      </c>
      <c r="C1183" s="1">
        <v>193.5</v>
      </c>
      <c r="D1183" s="1">
        <v>187.60000600000001</v>
      </c>
      <c r="E1183" s="1">
        <v>190.320007</v>
      </c>
      <c r="F1183" s="1">
        <v>190.320007</v>
      </c>
      <c r="G1183" s="2">
        <v>5530900</v>
      </c>
      <c r="H1183" s="2">
        <f t="shared" si="144"/>
        <v>2015</v>
      </c>
      <c r="I1183" s="2">
        <f t="shared" si="145"/>
        <v>3</v>
      </c>
      <c r="J1183" s="2">
        <f t="shared" si="146"/>
        <v>10</v>
      </c>
      <c r="K1183" s="2">
        <f t="shared" si="147"/>
        <v>3</v>
      </c>
      <c r="L1183" s="2">
        <f t="shared" si="148"/>
        <v>4</v>
      </c>
      <c r="M1183" s="3">
        <f t="shared" si="149"/>
        <v>190.88000500000001</v>
      </c>
      <c r="N1183" s="1">
        <f t="shared" ca="1" si="150"/>
        <v>190.88000500000001</v>
      </c>
      <c r="O1183" s="5">
        <f t="shared" si="151"/>
        <v>-2.9337698309469529E-3</v>
      </c>
    </row>
    <row r="1184" spans="1:15" s="2" customFormat="1" x14ac:dyDescent="0.5">
      <c r="A1184" s="6">
        <v>42074</v>
      </c>
      <c r="B1184" s="1">
        <v>191.14999399999999</v>
      </c>
      <c r="C1184" s="1">
        <v>196.179993</v>
      </c>
      <c r="D1184" s="1">
        <v>191.009995</v>
      </c>
      <c r="E1184" s="1">
        <v>193.740005</v>
      </c>
      <c r="F1184" s="1">
        <v>193.740005</v>
      </c>
      <c r="G1184" s="2">
        <v>4974900</v>
      </c>
      <c r="H1184" s="2">
        <f t="shared" si="144"/>
        <v>2015</v>
      </c>
      <c r="I1184" s="2">
        <f t="shared" si="145"/>
        <v>3</v>
      </c>
      <c r="J1184" s="2">
        <f t="shared" si="146"/>
        <v>11</v>
      </c>
      <c r="K1184" s="2">
        <f t="shared" si="147"/>
        <v>4</v>
      </c>
      <c r="L1184" s="2">
        <f t="shared" si="148"/>
        <v>4</v>
      </c>
      <c r="M1184" s="3">
        <f t="shared" si="149"/>
        <v>190.320007</v>
      </c>
      <c r="N1184" s="1">
        <f t="shared" ca="1" si="150"/>
        <v>190.320007</v>
      </c>
      <c r="O1184" s="5">
        <f t="shared" si="151"/>
        <v>1.7969724013303434E-2</v>
      </c>
    </row>
    <row r="1185" spans="1:15" s="2" customFormat="1" x14ac:dyDescent="0.5">
      <c r="A1185" s="6">
        <v>42075</v>
      </c>
      <c r="B1185" s="1">
        <v>193.75</v>
      </c>
      <c r="C1185" s="1">
        <v>194.449997</v>
      </c>
      <c r="D1185" s="1">
        <v>189.75</v>
      </c>
      <c r="E1185" s="1">
        <v>191.070007</v>
      </c>
      <c r="F1185" s="1">
        <v>191.070007</v>
      </c>
      <c r="G1185" s="2">
        <v>4149300</v>
      </c>
      <c r="H1185" s="2">
        <f t="shared" si="144"/>
        <v>2015</v>
      </c>
      <c r="I1185" s="2">
        <f t="shared" si="145"/>
        <v>3</v>
      </c>
      <c r="J1185" s="2">
        <f t="shared" si="146"/>
        <v>12</v>
      </c>
      <c r="K1185" s="2">
        <f t="shared" si="147"/>
        <v>5</v>
      </c>
      <c r="L1185" s="2">
        <f t="shared" si="148"/>
        <v>4</v>
      </c>
      <c r="M1185" s="3">
        <f t="shared" si="149"/>
        <v>193.740005</v>
      </c>
      <c r="N1185" s="1">
        <f t="shared" ca="1" si="150"/>
        <v>193.740005</v>
      </c>
      <c r="O1185" s="5">
        <f t="shared" si="151"/>
        <v>-1.3781345778328014E-2</v>
      </c>
    </row>
    <row r="1186" spans="1:15" s="2" customFormat="1" x14ac:dyDescent="0.5">
      <c r="A1186" s="6">
        <v>42076</v>
      </c>
      <c r="B1186" s="1">
        <v>188.949997</v>
      </c>
      <c r="C1186" s="1">
        <v>191.75</v>
      </c>
      <c r="D1186" s="1">
        <v>187.320007</v>
      </c>
      <c r="E1186" s="1">
        <v>188.679993</v>
      </c>
      <c r="F1186" s="1">
        <v>188.679993</v>
      </c>
      <c r="G1186" s="2">
        <v>5434300</v>
      </c>
      <c r="H1186" s="2">
        <f t="shared" si="144"/>
        <v>2015</v>
      </c>
      <c r="I1186" s="2">
        <f t="shared" si="145"/>
        <v>3</v>
      </c>
      <c r="J1186" s="2">
        <f t="shared" si="146"/>
        <v>13</v>
      </c>
      <c r="K1186" s="2">
        <f t="shared" si="147"/>
        <v>6</v>
      </c>
      <c r="L1186" s="2">
        <f t="shared" si="148"/>
        <v>4</v>
      </c>
      <c r="M1186" s="3">
        <f t="shared" si="149"/>
        <v>191.070007</v>
      </c>
      <c r="N1186" s="1">
        <f t="shared" ca="1" si="150"/>
        <v>191.070007</v>
      </c>
      <c r="O1186" s="5">
        <f t="shared" si="151"/>
        <v>-1.2508577549798283E-2</v>
      </c>
    </row>
    <row r="1187" spans="1:15" s="2" customFormat="1" x14ac:dyDescent="0.5">
      <c r="A1187" s="6">
        <v>42079</v>
      </c>
      <c r="B1187" s="1">
        <v>192</v>
      </c>
      <c r="C1187" s="1">
        <v>195.91000399999999</v>
      </c>
      <c r="D1187" s="1">
        <v>189.800003</v>
      </c>
      <c r="E1187" s="1">
        <v>195.699997</v>
      </c>
      <c r="F1187" s="1">
        <v>195.699997</v>
      </c>
      <c r="G1187" s="2">
        <v>5628800</v>
      </c>
      <c r="H1187" s="2">
        <f t="shared" si="144"/>
        <v>2015</v>
      </c>
      <c r="I1187" s="2">
        <f t="shared" si="145"/>
        <v>3</v>
      </c>
      <c r="J1187" s="2">
        <f t="shared" si="146"/>
        <v>16</v>
      </c>
      <c r="K1187" s="2">
        <f t="shared" si="147"/>
        <v>2</v>
      </c>
      <c r="L1187" s="2">
        <f t="shared" si="148"/>
        <v>4</v>
      </c>
      <c r="M1187" s="3">
        <f t="shared" si="149"/>
        <v>188.679993</v>
      </c>
      <c r="N1187" s="1">
        <f t="shared" ca="1" si="150"/>
        <v>188.679993</v>
      </c>
      <c r="O1187" s="5">
        <f t="shared" si="151"/>
        <v>3.7205873756842811E-2</v>
      </c>
    </row>
    <row r="1188" spans="1:15" s="2" customFormat="1" x14ac:dyDescent="0.5">
      <c r="A1188" s="6">
        <v>42080</v>
      </c>
      <c r="B1188" s="1">
        <v>195.429993</v>
      </c>
      <c r="C1188" s="1">
        <v>198.71000699999999</v>
      </c>
      <c r="D1188" s="1">
        <v>193.94000199999999</v>
      </c>
      <c r="E1188" s="1">
        <v>194.729996</v>
      </c>
      <c r="F1188" s="1">
        <v>194.729996</v>
      </c>
      <c r="G1188" s="2">
        <v>4883200</v>
      </c>
      <c r="H1188" s="2">
        <f t="shared" si="144"/>
        <v>2015</v>
      </c>
      <c r="I1188" s="2">
        <f t="shared" si="145"/>
        <v>3</v>
      </c>
      <c r="J1188" s="2">
        <f t="shared" si="146"/>
        <v>17</v>
      </c>
      <c r="K1188" s="2">
        <f t="shared" si="147"/>
        <v>3</v>
      </c>
      <c r="L1188" s="2">
        <f t="shared" si="148"/>
        <v>4</v>
      </c>
      <c r="M1188" s="3">
        <f t="shared" si="149"/>
        <v>195.699997</v>
      </c>
      <c r="N1188" s="1">
        <f t="shared" ca="1" si="150"/>
        <v>195.699997</v>
      </c>
      <c r="O1188" s="5">
        <f t="shared" si="151"/>
        <v>-4.9565713585575377E-3</v>
      </c>
    </row>
    <row r="1189" spans="1:15" s="2" customFormat="1" x14ac:dyDescent="0.5">
      <c r="A1189" s="6">
        <v>42081</v>
      </c>
      <c r="B1189" s="1">
        <v>194.96000699999999</v>
      </c>
      <c r="C1189" s="1">
        <v>200.88000500000001</v>
      </c>
      <c r="D1189" s="1">
        <v>193.11000100000001</v>
      </c>
      <c r="E1189" s="1">
        <v>200.71000699999999</v>
      </c>
      <c r="F1189" s="1">
        <v>200.71000699999999</v>
      </c>
      <c r="G1189" s="2">
        <v>4756300</v>
      </c>
      <c r="H1189" s="2">
        <f t="shared" si="144"/>
        <v>2015</v>
      </c>
      <c r="I1189" s="2">
        <f t="shared" si="145"/>
        <v>3</v>
      </c>
      <c r="J1189" s="2">
        <f t="shared" si="146"/>
        <v>18</v>
      </c>
      <c r="K1189" s="2">
        <f t="shared" si="147"/>
        <v>4</v>
      </c>
      <c r="L1189" s="2">
        <f t="shared" si="148"/>
        <v>4</v>
      </c>
      <c r="M1189" s="3">
        <f t="shared" si="149"/>
        <v>194.729996</v>
      </c>
      <c r="N1189" s="1">
        <f t="shared" ca="1" si="150"/>
        <v>194.729996</v>
      </c>
      <c r="O1189" s="5">
        <f t="shared" si="151"/>
        <v>3.0709244198823926E-2</v>
      </c>
    </row>
    <row r="1190" spans="1:15" s="2" customFormat="1" x14ac:dyDescent="0.5">
      <c r="A1190" s="6">
        <v>42082</v>
      </c>
      <c r="B1190" s="1">
        <v>202</v>
      </c>
      <c r="C1190" s="1">
        <v>204.58999600000001</v>
      </c>
      <c r="D1190" s="1">
        <v>194.529999</v>
      </c>
      <c r="E1190" s="1">
        <v>195.64999399999999</v>
      </c>
      <c r="F1190" s="1">
        <v>195.64999399999999</v>
      </c>
      <c r="G1190" s="2">
        <v>8475200</v>
      </c>
      <c r="H1190" s="2">
        <f t="shared" si="144"/>
        <v>2015</v>
      </c>
      <c r="I1190" s="2">
        <f t="shared" si="145"/>
        <v>3</v>
      </c>
      <c r="J1190" s="2">
        <f t="shared" si="146"/>
        <v>19</v>
      </c>
      <c r="K1190" s="2">
        <f t="shared" si="147"/>
        <v>5</v>
      </c>
      <c r="L1190" s="2">
        <f t="shared" si="148"/>
        <v>4</v>
      </c>
      <c r="M1190" s="3">
        <f t="shared" si="149"/>
        <v>200.71000699999999</v>
      </c>
      <c r="N1190" s="1">
        <f t="shared" ca="1" si="150"/>
        <v>200.71000699999999</v>
      </c>
      <c r="O1190" s="5">
        <f t="shared" si="151"/>
        <v>-2.5210566606178264E-2</v>
      </c>
    </row>
    <row r="1191" spans="1:15" s="2" customFormat="1" x14ac:dyDescent="0.5">
      <c r="A1191" s="6">
        <v>42083</v>
      </c>
      <c r="B1191" s="1">
        <v>197.449997</v>
      </c>
      <c r="C1191" s="1">
        <v>198.990005</v>
      </c>
      <c r="D1191" s="1">
        <v>195.61999499999999</v>
      </c>
      <c r="E1191" s="1">
        <v>198.08000200000001</v>
      </c>
      <c r="F1191" s="1">
        <v>198.08000200000001</v>
      </c>
      <c r="G1191" s="2">
        <v>4269500</v>
      </c>
      <c r="H1191" s="2">
        <f t="shared" si="144"/>
        <v>2015</v>
      </c>
      <c r="I1191" s="2">
        <f t="shared" si="145"/>
        <v>3</v>
      </c>
      <c r="J1191" s="2">
        <f t="shared" si="146"/>
        <v>20</v>
      </c>
      <c r="K1191" s="2">
        <f t="shared" si="147"/>
        <v>6</v>
      </c>
      <c r="L1191" s="2">
        <f t="shared" si="148"/>
        <v>4</v>
      </c>
      <c r="M1191" s="3">
        <f t="shared" si="149"/>
        <v>195.64999399999999</v>
      </c>
      <c r="N1191" s="1">
        <f t="shared" ca="1" si="150"/>
        <v>195.64999399999999</v>
      </c>
      <c r="O1191" s="5">
        <f t="shared" si="151"/>
        <v>1.2420179271766418E-2</v>
      </c>
    </row>
    <row r="1192" spans="1:15" s="2" customFormat="1" x14ac:dyDescent="0.5">
      <c r="A1192" s="6">
        <v>42086</v>
      </c>
      <c r="B1192" s="1">
        <v>198.5</v>
      </c>
      <c r="C1192" s="1">
        <v>200.5</v>
      </c>
      <c r="D1192" s="1">
        <v>197.470001</v>
      </c>
      <c r="E1192" s="1">
        <v>199.63000500000001</v>
      </c>
      <c r="F1192" s="1">
        <v>199.63000500000001</v>
      </c>
      <c r="G1192" s="2">
        <v>2620900</v>
      </c>
      <c r="H1192" s="2">
        <f t="shared" si="144"/>
        <v>2015</v>
      </c>
      <c r="I1192" s="2">
        <f t="shared" si="145"/>
        <v>3</v>
      </c>
      <c r="J1192" s="2">
        <f t="shared" si="146"/>
        <v>23</v>
      </c>
      <c r="K1192" s="2">
        <f t="shared" si="147"/>
        <v>2</v>
      </c>
      <c r="L1192" s="2">
        <f t="shared" si="148"/>
        <v>4</v>
      </c>
      <c r="M1192" s="3">
        <f t="shared" si="149"/>
        <v>198.08000200000001</v>
      </c>
      <c r="N1192" s="1">
        <f t="shared" ca="1" si="150"/>
        <v>198.08000200000001</v>
      </c>
      <c r="O1192" s="5">
        <f t="shared" si="151"/>
        <v>7.8251362295522764E-3</v>
      </c>
    </row>
    <row r="1193" spans="1:15" s="2" customFormat="1" x14ac:dyDescent="0.5">
      <c r="A1193" s="6">
        <v>42087</v>
      </c>
      <c r="B1193" s="1">
        <v>201.58000200000001</v>
      </c>
      <c r="C1193" s="1">
        <v>203.78999300000001</v>
      </c>
      <c r="D1193" s="1">
        <v>199.75</v>
      </c>
      <c r="E1193" s="1">
        <v>201.720001</v>
      </c>
      <c r="F1193" s="1">
        <v>201.720001</v>
      </c>
      <c r="G1193" s="2">
        <v>3649900</v>
      </c>
      <c r="H1193" s="2">
        <f t="shared" si="144"/>
        <v>2015</v>
      </c>
      <c r="I1193" s="2">
        <f t="shared" si="145"/>
        <v>3</v>
      </c>
      <c r="J1193" s="2">
        <f t="shared" si="146"/>
        <v>24</v>
      </c>
      <c r="K1193" s="2">
        <f t="shared" si="147"/>
        <v>3</v>
      </c>
      <c r="L1193" s="2">
        <f t="shared" si="148"/>
        <v>4</v>
      </c>
      <c r="M1193" s="3">
        <f t="shared" si="149"/>
        <v>199.63000500000001</v>
      </c>
      <c r="N1193" s="1">
        <f t="shared" ca="1" si="150"/>
        <v>199.63000500000001</v>
      </c>
      <c r="O1193" s="5">
        <f t="shared" si="151"/>
        <v>1.0469348032125625E-2</v>
      </c>
    </row>
    <row r="1194" spans="1:15" s="2" customFormat="1" x14ac:dyDescent="0.5">
      <c r="A1194" s="6">
        <v>42088</v>
      </c>
      <c r="B1194" s="1">
        <v>198.270004</v>
      </c>
      <c r="C1194" s="1">
        <v>198.58999600000001</v>
      </c>
      <c r="D1194" s="1">
        <v>192.699997</v>
      </c>
      <c r="E1194" s="1">
        <v>194.300003</v>
      </c>
      <c r="F1194" s="1">
        <v>194.300003</v>
      </c>
      <c r="G1194" s="2">
        <v>5730400</v>
      </c>
      <c r="H1194" s="2">
        <f t="shared" si="144"/>
        <v>2015</v>
      </c>
      <c r="I1194" s="2">
        <f t="shared" si="145"/>
        <v>3</v>
      </c>
      <c r="J1194" s="2">
        <f t="shared" si="146"/>
        <v>25</v>
      </c>
      <c r="K1194" s="2">
        <f t="shared" si="147"/>
        <v>4</v>
      </c>
      <c r="L1194" s="2">
        <f t="shared" si="148"/>
        <v>4</v>
      </c>
      <c r="M1194" s="3">
        <f t="shared" si="149"/>
        <v>201.720001</v>
      </c>
      <c r="N1194" s="1">
        <f t="shared" ca="1" si="150"/>
        <v>201.720001</v>
      </c>
      <c r="O1194" s="5">
        <f t="shared" si="151"/>
        <v>-3.6783650422448688E-2</v>
      </c>
    </row>
    <row r="1195" spans="1:15" s="2" customFormat="1" x14ac:dyDescent="0.5">
      <c r="A1195" s="6">
        <v>42089</v>
      </c>
      <c r="B1195" s="1">
        <v>193.91999799999999</v>
      </c>
      <c r="C1195" s="1">
        <v>194.78999300000001</v>
      </c>
      <c r="D1195" s="1">
        <v>189.699997</v>
      </c>
      <c r="E1195" s="1">
        <v>190.41000399999999</v>
      </c>
      <c r="F1195" s="1">
        <v>190.41000399999999</v>
      </c>
      <c r="G1195" s="2">
        <v>4128000</v>
      </c>
      <c r="H1195" s="2">
        <f t="shared" si="144"/>
        <v>2015</v>
      </c>
      <c r="I1195" s="2">
        <f t="shared" si="145"/>
        <v>3</v>
      </c>
      <c r="J1195" s="2">
        <f t="shared" si="146"/>
        <v>26</v>
      </c>
      <c r="K1195" s="2">
        <f t="shared" si="147"/>
        <v>5</v>
      </c>
      <c r="L1195" s="2">
        <f t="shared" si="148"/>
        <v>4</v>
      </c>
      <c r="M1195" s="3">
        <f t="shared" si="149"/>
        <v>194.300003</v>
      </c>
      <c r="N1195" s="1">
        <f t="shared" ca="1" si="150"/>
        <v>194.300003</v>
      </c>
      <c r="O1195" s="5">
        <f t="shared" si="151"/>
        <v>-2.0020581265765669E-2</v>
      </c>
    </row>
    <row r="1196" spans="1:15" s="2" customFormat="1" x14ac:dyDescent="0.5">
      <c r="A1196" s="6">
        <v>42090</v>
      </c>
      <c r="B1196" s="1">
        <v>189.070007</v>
      </c>
      <c r="C1196" s="1">
        <v>189.28999300000001</v>
      </c>
      <c r="D1196" s="1">
        <v>181.39999399999999</v>
      </c>
      <c r="E1196" s="1">
        <v>185</v>
      </c>
      <c r="F1196" s="1">
        <v>185</v>
      </c>
      <c r="G1196" s="2">
        <v>8526900</v>
      </c>
      <c r="H1196" s="2">
        <f t="shared" si="144"/>
        <v>2015</v>
      </c>
      <c r="I1196" s="2">
        <f t="shared" si="145"/>
        <v>3</v>
      </c>
      <c r="J1196" s="2">
        <f t="shared" si="146"/>
        <v>27</v>
      </c>
      <c r="K1196" s="2">
        <f t="shared" si="147"/>
        <v>6</v>
      </c>
      <c r="L1196" s="2">
        <f t="shared" si="148"/>
        <v>4</v>
      </c>
      <c r="M1196" s="3">
        <f t="shared" si="149"/>
        <v>190.41000399999999</v>
      </c>
      <c r="N1196" s="1">
        <f t="shared" ca="1" si="150"/>
        <v>190.41000399999999</v>
      </c>
      <c r="O1196" s="5">
        <f t="shared" si="151"/>
        <v>-2.8412393710153916E-2</v>
      </c>
    </row>
    <row r="1197" spans="1:15" s="2" customFormat="1" x14ac:dyDescent="0.5">
      <c r="A1197" s="6">
        <v>42093</v>
      </c>
      <c r="B1197" s="1">
        <v>185.85000600000001</v>
      </c>
      <c r="C1197" s="1">
        <v>192.25</v>
      </c>
      <c r="D1197" s="1">
        <v>181.800003</v>
      </c>
      <c r="E1197" s="1">
        <v>190.570007</v>
      </c>
      <c r="F1197" s="1">
        <v>190.570007</v>
      </c>
      <c r="G1197" s="2">
        <v>10089500</v>
      </c>
      <c r="H1197" s="2">
        <f t="shared" si="144"/>
        <v>2015</v>
      </c>
      <c r="I1197" s="2">
        <f t="shared" si="145"/>
        <v>3</v>
      </c>
      <c r="J1197" s="2">
        <f t="shared" si="146"/>
        <v>30</v>
      </c>
      <c r="K1197" s="2">
        <f t="shared" si="147"/>
        <v>2</v>
      </c>
      <c r="L1197" s="2">
        <f t="shared" si="148"/>
        <v>4</v>
      </c>
      <c r="M1197" s="3">
        <f t="shared" si="149"/>
        <v>185</v>
      </c>
      <c r="N1197" s="1">
        <f t="shared" ca="1" si="150"/>
        <v>185</v>
      </c>
      <c r="O1197" s="5">
        <f t="shared" si="151"/>
        <v>3.0108145945946019E-2</v>
      </c>
    </row>
    <row r="1198" spans="1:15" s="2" customFormat="1" x14ac:dyDescent="0.5">
      <c r="A1198" s="6">
        <v>42094</v>
      </c>
      <c r="B1198" s="1">
        <v>193.529999</v>
      </c>
      <c r="C1198" s="1">
        <v>193.759995</v>
      </c>
      <c r="D1198" s="1">
        <v>188.41000399999999</v>
      </c>
      <c r="E1198" s="1">
        <v>188.770004</v>
      </c>
      <c r="F1198" s="1">
        <v>188.770004</v>
      </c>
      <c r="G1198" s="2">
        <v>5026600</v>
      </c>
      <c r="H1198" s="2">
        <f t="shared" si="144"/>
        <v>2015</v>
      </c>
      <c r="I1198" s="2">
        <f t="shared" si="145"/>
        <v>3</v>
      </c>
      <c r="J1198" s="2">
        <f t="shared" si="146"/>
        <v>31</v>
      </c>
      <c r="K1198" s="2">
        <f t="shared" si="147"/>
        <v>3</v>
      </c>
      <c r="L1198" s="2">
        <f t="shared" si="148"/>
        <v>4</v>
      </c>
      <c r="M1198" s="3">
        <f t="shared" si="149"/>
        <v>190.570007</v>
      </c>
      <c r="N1198" s="1">
        <f t="shared" ca="1" si="150"/>
        <v>190.570007</v>
      </c>
      <c r="O1198" s="5">
        <f t="shared" si="151"/>
        <v>-9.4453635613289677E-3</v>
      </c>
    </row>
    <row r="1199" spans="1:15" s="2" customFormat="1" x14ac:dyDescent="0.5">
      <c r="A1199" s="6">
        <v>42095</v>
      </c>
      <c r="B1199" s="1">
        <v>188.699997</v>
      </c>
      <c r="C1199" s="1">
        <v>192.300003</v>
      </c>
      <c r="D1199" s="1">
        <v>186.050003</v>
      </c>
      <c r="E1199" s="1">
        <v>187.58999600000001</v>
      </c>
      <c r="F1199" s="1">
        <v>187.58999600000001</v>
      </c>
      <c r="G1199" s="2">
        <v>3786000</v>
      </c>
      <c r="H1199" s="2">
        <f t="shared" si="144"/>
        <v>2015</v>
      </c>
      <c r="I1199" s="2">
        <f t="shared" si="145"/>
        <v>4</v>
      </c>
      <c r="J1199" s="2">
        <f t="shared" si="146"/>
        <v>1</v>
      </c>
      <c r="K1199" s="2">
        <f t="shared" si="147"/>
        <v>4</v>
      </c>
      <c r="L1199" s="2">
        <f t="shared" si="148"/>
        <v>5</v>
      </c>
      <c r="M1199" s="3">
        <f t="shared" si="149"/>
        <v>188.770004</v>
      </c>
      <c r="N1199" s="1">
        <f t="shared" ca="1" si="150"/>
        <v>188.770004</v>
      </c>
      <c r="O1199" s="5">
        <f t="shared" si="151"/>
        <v>-6.2510355193931E-3</v>
      </c>
    </row>
    <row r="1200" spans="1:15" s="2" customFormat="1" x14ac:dyDescent="0.5">
      <c r="A1200" s="6">
        <v>42096</v>
      </c>
      <c r="B1200" s="1">
        <v>190.229996</v>
      </c>
      <c r="C1200" s="1">
        <v>193.229996</v>
      </c>
      <c r="D1200" s="1">
        <v>190</v>
      </c>
      <c r="E1200" s="1">
        <v>191</v>
      </c>
      <c r="F1200" s="1">
        <v>191</v>
      </c>
      <c r="G1200" s="2">
        <v>5010400</v>
      </c>
      <c r="H1200" s="2">
        <f t="shared" si="144"/>
        <v>2015</v>
      </c>
      <c r="I1200" s="2">
        <f t="shared" si="145"/>
        <v>4</v>
      </c>
      <c r="J1200" s="2">
        <f t="shared" si="146"/>
        <v>2</v>
      </c>
      <c r="K1200" s="2">
        <f t="shared" si="147"/>
        <v>5</v>
      </c>
      <c r="L1200" s="2">
        <f t="shared" si="148"/>
        <v>5</v>
      </c>
      <c r="M1200" s="3">
        <f t="shared" si="149"/>
        <v>187.58999600000001</v>
      </c>
      <c r="N1200" s="1">
        <f t="shared" ca="1" si="150"/>
        <v>187.58999600000001</v>
      </c>
      <c r="O1200" s="5">
        <f t="shared" si="151"/>
        <v>1.8177962965572947E-2</v>
      </c>
    </row>
    <row r="1201" spans="1:15" s="2" customFormat="1" x14ac:dyDescent="0.5">
      <c r="A1201" s="6">
        <v>42100</v>
      </c>
      <c r="B1201" s="1">
        <v>198</v>
      </c>
      <c r="C1201" s="1">
        <v>207.75</v>
      </c>
      <c r="D1201" s="1">
        <v>197.5</v>
      </c>
      <c r="E1201" s="1">
        <v>203.10000600000001</v>
      </c>
      <c r="F1201" s="1">
        <v>203.10000600000001</v>
      </c>
      <c r="G1201" s="2">
        <v>12455800</v>
      </c>
      <c r="H1201" s="2">
        <f t="shared" si="144"/>
        <v>2015</v>
      </c>
      <c r="I1201" s="2">
        <f t="shared" si="145"/>
        <v>4</v>
      </c>
      <c r="J1201" s="2">
        <f t="shared" si="146"/>
        <v>6</v>
      </c>
      <c r="K1201" s="2">
        <f t="shared" si="147"/>
        <v>2</v>
      </c>
      <c r="L1201" s="2">
        <f t="shared" si="148"/>
        <v>5</v>
      </c>
      <c r="M1201" s="3">
        <f t="shared" si="149"/>
        <v>191</v>
      </c>
      <c r="N1201" s="1">
        <f t="shared" ca="1" si="150"/>
        <v>191</v>
      </c>
      <c r="O1201" s="5">
        <f t="shared" si="151"/>
        <v>6.3350816753926731E-2</v>
      </c>
    </row>
    <row r="1202" spans="1:15" s="2" customFormat="1" x14ac:dyDescent="0.5">
      <c r="A1202" s="6">
        <v>42101</v>
      </c>
      <c r="B1202" s="1">
        <v>202.509995</v>
      </c>
      <c r="C1202" s="1">
        <v>205.05999800000001</v>
      </c>
      <c r="D1202" s="1">
        <v>201.13999899999999</v>
      </c>
      <c r="E1202" s="1">
        <v>203.25</v>
      </c>
      <c r="F1202" s="1">
        <v>203.25</v>
      </c>
      <c r="G1202" s="2">
        <v>4347900</v>
      </c>
      <c r="H1202" s="2">
        <f t="shared" si="144"/>
        <v>2015</v>
      </c>
      <c r="I1202" s="2">
        <f t="shared" si="145"/>
        <v>4</v>
      </c>
      <c r="J1202" s="2">
        <f t="shared" si="146"/>
        <v>7</v>
      </c>
      <c r="K1202" s="2">
        <f t="shared" si="147"/>
        <v>3</v>
      </c>
      <c r="L1202" s="2">
        <f t="shared" si="148"/>
        <v>5</v>
      </c>
      <c r="M1202" s="3">
        <f t="shared" si="149"/>
        <v>203.10000600000001</v>
      </c>
      <c r="N1202" s="1">
        <f t="shared" ca="1" si="150"/>
        <v>203.10000600000001</v>
      </c>
      <c r="O1202" s="5">
        <f t="shared" si="151"/>
        <v>7.3852287330811173E-4</v>
      </c>
    </row>
    <row r="1203" spans="1:15" s="2" customFormat="1" x14ac:dyDescent="0.5">
      <c r="A1203" s="6">
        <v>42102</v>
      </c>
      <c r="B1203" s="1">
        <v>208.199997</v>
      </c>
      <c r="C1203" s="1">
        <v>210.89999399999999</v>
      </c>
      <c r="D1203" s="1">
        <v>205.86999499999999</v>
      </c>
      <c r="E1203" s="1">
        <v>207.66999799999999</v>
      </c>
      <c r="F1203" s="1">
        <v>207.66999799999999</v>
      </c>
      <c r="G1203" s="2">
        <v>6303100</v>
      </c>
      <c r="H1203" s="2">
        <f t="shared" si="144"/>
        <v>2015</v>
      </c>
      <c r="I1203" s="2">
        <f t="shared" si="145"/>
        <v>4</v>
      </c>
      <c r="J1203" s="2">
        <f t="shared" si="146"/>
        <v>8</v>
      </c>
      <c r="K1203" s="2">
        <f t="shared" si="147"/>
        <v>4</v>
      </c>
      <c r="L1203" s="2">
        <f t="shared" si="148"/>
        <v>5</v>
      </c>
      <c r="M1203" s="3">
        <f t="shared" si="149"/>
        <v>203.25</v>
      </c>
      <c r="N1203" s="1">
        <f t="shared" ca="1" si="150"/>
        <v>203.25</v>
      </c>
      <c r="O1203" s="5">
        <f t="shared" si="151"/>
        <v>2.1746607626076164E-2</v>
      </c>
    </row>
    <row r="1204" spans="1:15" s="2" customFormat="1" x14ac:dyDescent="0.5">
      <c r="A1204" s="6">
        <v>42103</v>
      </c>
      <c r="B1204" s="1">
        <v>208.429993</v>
      </c>
      <c r="C1204" s="1">
        <v>210.36999499999999</v>
      </c>
      <c r="D1204" s="1">
        <v>206.11999499999999</v>
      </c>
      <c r="E1204" s="1">
        <v>210.08999600000001</v>
      </c>
      <c r="F1204" s="1">
        <v>210.08999600000001</v>
      </c>
      <c r="G1204" s="2">
        <v>3800200</v>
      </c>
      <c r="H1204" s="2">
        <f t="shared" si="144"/>
        <v>2015</v>
      </c>
      <c r="I1204" s="2">
        <f t="shared" si="145"/>
        <v>4</v>
      </c>
      <c r="J1204" s="2">
        <f t="shared" si="146"/>
        <v>9</v>
      </c>
      <c r="K1204" s="2">
        <f t="shared" si="147"/>
        <v>5</v>
      </c>
      <c r="L1204" s="2">
        <f t="shared" si="148"/>
        <v>5</v>
      </c>
      <c r="M1204" s="3">
        <f t="shared" si="149"/>
        <v>207.66999799999999</v>
      </c>
      <c r="N1204" s="1">
        <f t="shared" ca="1" si="150"/>
        <v>207.66999799999999</v>
      </c>
      <c r="O1204" s="5">
        <f t="shared" si="151"/>
        <v>1.1653093963048144E-2</v>
      </c>
    </row>
    <row r="1205" spans="1:15" s="2" customFormat="1" x14ac:dyDescent="0.5">
      <c r="A1205" s="6">
        <v>42104</v>
      </c>
      <c r="B1205" s="1">
        <v>209.85000600000001</v>
      </c>
      <c r="C1205" s="1">
        <v>211.64999399999999</v>
      </c>
      <c r="D1205" s="1">
        <v>209</v>
      </c>
      <c r="E1205" s="1">
        <v>210.89999399999999</v>
      </c>
      <c r="F1205" s="1">
        <v>210.89999399999999</v>
      </c>
      <c r="G1205" s="2">
        <v>4067700</v>
      </c>
      <c r="H1205" s="2">
        <f t="shared" si="144"/>
        <v>2015</v>
      </c>
      <c r="I1205" s="2">
        <f t="shared" si="145"/>
        <v>4</v>
      </c>
      <c r="J1205" s="2">
        <f t="shared" si="146"/>
        <v>10</v>
      </c>
      <c r="K1205" s="2">
        <f t="shared" si="147"/>
        <v>6</v>
      </c>
      <c r="L1205" s="2">
        <f t="shared" si="148"/>
        <v>5</v>
      </c>
      <c r="M1205" s="3">
        <f t="shared" si="149"/>
        <v>210.08999600000001</v>
      </c>
      <c r="N1205" s="1">
        <f t="shared" ca="1" si="150"/>
        <v>210.08999600000001</v>
      </c>
      <c r="O1205" s="5">
        <f t="shared" si="151"/>
        <v>3.8554810577462462E-3</v>
      </c>
    </row>
    <row r="1206" spans="1:15" s="2" customFormat="1" x14ac:dyDescent="0.5">
      <c r="A1206" s="6">
        <v>42107</v>
      </c>
      <c r="B1206" s="1">
        <v>210.44000199999999</v>
      </c>
      <c r="C1206" s="1">
        <v>213</v>
      </c>
      <c r="D1206" s="1">
        <v>209.050003</v>
      </c>
      <c r="E1206" s="1">
        <v>209.779999</v>
      </c>
      <c r="F1206" s="1">
        <v>209.779999</v>
      </c>
      <c r="G1206" s="2">
        <v>3758200</v>
      </c>
      <c r="H1206" s="2">
        <f t="shared" si="144"/>
        <v>2015</v>
      </c>
      <c r="I1206" s="2">
        <f t="shared" si="145"/>
        <v>4</v>
      </c>
      <c r="J1206" s="2">
        <f t="shared" si="146"/>
        <v>13</v>
      </c>
      <c r="K1206" s="2">
        <f t="shared" si="147"/>
        <v>2</v>
      </c>
      <c r="L1206" s="2">
        <f t="shared" si="148"/>
        <v>5</v>
      </c>
      <c r="M1206" s="3">
        <f t="shared" si="149"/>
        <v>210.89999399999999</v>
      </c>
      <c r="N1206" s="1">
        <f t="shared" ca="1" si="150"/>
        <v>210.89999399999999</v>
      </c>
      <c r="O1206" s="5">
        <f t="shared" si="151"/>
        <v>-5.3105501747903183E-3</v>
      </c>
    </row>
    <row r="1207" spans="1:15" s="2" customFormat="1" x14ac:dyDescent="0.5">
      <c r="A1207" s="6">
        <v>42108</v>
      </c>
      <c r="B1207" s="1">
        <v>208.570007</v>
      </c>
      <c r="C1207" s="1">
        <v>209.490005</v>
      </c>
      <c r="D1207" s="1">
        <v>205.5</v>
      </c>
      <c r="E1207" s="1">
        <v>207.46000699999999</v>
      </c>
      <c r="F1207" s="1">
        <v>207.46000699999999</v>
      </c>
      <c r="G1207" s="2">
        <v>3017000</v>
      </c>
      <c r="H1207" s="2">
        <f t="shared" si="144"/>
        <v>2015</v>
      </c>
      <c r="I1207" s="2">
        <f t="shared" si="145"/>
        <v>4</v>
      </c>
      <c r="J1207" s="2">
        <f t="shared" si="146"/>
        <v>14</v>
      </c>
      <c r="K1207" s="2">
        <f t="shared" si="147"/>
        <v>3</v>
      </c>
      <c r="L1207" s="2">
        <f t="shared" si="148"/>
        <v>5</v>
      </c>
      <c r="M1207" s="3">
        <f t="shared" si="149"/>
        <v>209.779999</v>
      </c>
      <c r="N1207" s="1">
        <f t="shared" ca="1" si="150"/>
        <v>209.779999</v>
      </c>
      <c r="O1207" s="5">
        <f t="shared" si="151"/>
        <v>-1.1059166798833009E-2</v>
      </c>
    </row>
    <row r="1208" spans="1:15" s="2" customFormat="1" x14ac:dyDescent="0.5">
      <c r="A1208" s="6">
        <v>42109</v>
      </c>
      <c r="B1208" s="1">
        <v>207.46000699999999</v>
      </c>
      <c r="C1208" s="1">
        <v>209.58999600000001</v>
      </c>
      <c r="D1208" s="1">
        <v>206.60000600000001</v>
      </c>
      <c r="E1208" s="1">
        <v>207.83000200000001</v>
      </c>
      <c r="F1208" s="1">
        <v>207.83000200000001</v>
      </c>
      <c r="G1208" s="2">
        <v>1952400</v>
      </c>
      <c r="H1208" s="2">
        <f t="shared" si="144"/>
        <v>2015</v>
      </c>
      <c r="I1208" s="2">
        <f t="shared" si="145"/>
        <v>4</v>
      </c>
      <c r="J1208" s="2">
        <f t="shared" si="146"/>
        <v>15</v>
      </c>
      <c r="K1208" s="2">
        <f t="shared" si="147"/>
        <v>4</v>
      </c>
      <c r="L1208" s="2">
        <f t="shared" si="148"/>
        <v>5</v>
      </c>
      <c r="M1208" s="3">
        <f t="shared" si="149"/>
        <v>207.46000699999999</v>
      </c>
      <c r="N1208" s="1">
        <f t="shared" ca="1" si="150"/>
        <v>207.46000699999999</v>
      </c>
      <c r="O1208" s="5">
        <f t="shared" si="151"/>
        <v>1.7834521715793805E-3</v>
      </c>
    </row>
    <row r="1209" spans="1:15" s="2" customFormat="1" x14ac:dyDescent="0.5">
      <c r="A1209" s="6">
        <v>42110</v>
      </c>
      <c r="B1209" s="1">
        <v>207.699997</v>
      </c>
      <c r="C1209" s="1">
        <v>209.16999799999999</v>
      </c>
      <c r="D1209" s="1">
        <v>206.28999300000001</v>
      </c>
      <c r="E1209" s="1">
        <v>206.699997</v>
      </c>
      <c r="F1209" s="1">
        <v>206.699997</v>
      </c>
      <c r="G1209" s="2">
        <v>1659100</v>
      </c>
      <c r="H1209" s="2">
        <f t="shared" si="144"/>
        <v>2015</v>
      </c>
      <c r="I1209" s="2">
        <f t="shared" si="145"/>
        <v>4</v>
      </c>
      <c r="J1209" s="2">
        <f t="shared" si="146"/>
        <v>16</v>
      </c>
      <c r="K1209" s="2">
        <f t="shared" si="147"/>
        <v>5</v>
      </c>
      <c r="L1209" s="2">
        <f t="shared" si="148"/>
        <v>5</v>
      </c>
      <c r="M1209" s="3">
        <f t="shared" si="149"/>
        <v>207.83000200000001</v>
      </c>
      <c r="N1209" s="1">
        <f t="shared" ca="1" si="150"/>
        <v>207.83000200000001</v>
      </c>
      <c r="O1209" s="5">
        <f t="shared" si="151"/>
        <v>-5.4371601266693936E-3</v>
      </c>
    </row>
    <row r="1210" spans="1:15" s="2" customFormat="1" x14ac:dyDescent="0.5">
      <c r="A1210" s="6">
        <v>42111</v>
      </c>
      <c r="B1210" s="1">
        <v>204.990005</v>
      </c>
      <c r="C1210" s="1">
        <v>206.88000500000001</v>
      </c>
      <c r="D1210" s="1">
        <v>203.5</v>
      </c>
      <c r="E1210" s="1">
        <v>206.78999300000001</v>
      </c>
      <c r="F1210" s="1">
        <v>206.78999300000001</v>
      </c>
      <c r="G1210" s="2">
        <v>2469900</v>
      </c>
      <c r="H1210" s="2">
        <f t="shared" si="144"/>
        <v>2015</v>
      </c>
      <c r="I1210" s="2">
        <f t="shared" si="145"/>
        <v>4</v>
      </c>
      <c r="J1210" s="2">
        <f t="shared" si="146"/>
        <v>17</v>
      </c>
      <c r="K1210" s="2">
        <f t="shared" si="147"/>
        <v>6</v>
      </c>
      <c r="L1210" s="2">
        <f t="shared" si="148"/>
        <v>5</v>
      </c>
      <c r="M1210" s="3">
        <f t="shared" si="149"/>
        <v>206.699997</v>
      </c>
      <c r="N1210" s="1">
        <f t="shared" ca="1" si="150"/>
        <v>206.699997</v>
      </c>
      <c r="O1210" s="5">
        <f t="shared" si="151"/>
        <v>4.3539429756256354E-4</v>
      </c>
    </row>
    <row r="1211" spans="1:15" s="2" customFormat="1" x14ac:dyDescent="0.5">
      <c r="A1211" s="6">
        <v>42114</v>
      </c>
      <c r="B1211" s="1">
        <v>206.779999</v>
      </c>
      <c r="C1211" s="1">
        <v>207.85000600000001</v>
      </c>
      <c r="D1211" s="1">
        <v>203.85000600000001</v>
      </c>
      <c r="E1211" s="1">
        <v>205.270004</v>
      </c>
      <c r="F1211" s="1">
        <v>205.270004</v>
      </c>
      <c r="G1211" s="2">
        <v>2554700</v>
      </c>
      <c r="H1211" s="2">
        <f t="shared" si="144"/>
        <v>2015</v>
      </c>
      <c r="I1211" s="2">
        <f t="shared" si="145"/>
        <v>4</v>
      </c>
      <c r="J1211" s="2">
        <f t="shared" si="146"/>
        <v>20</v>
      </c>
      <c r="K1211" s="2">
        <f t="shared" si="147"/>
        <v>2</v>
      </c>
      <c r="L1211" s="2">
        <f t="shared" si="148"/>
        <v>5</v>
      </c>
      <c r="M1211" s="3">
        <f t="shared" si="149"/>
        <v>206.78999300000001</v>
      </c>
      <c r="N1211" s="1">
        <f t="shared" ca="1" si="150"/>
        <v>206.78999300000001</v>
      </c>
      <c r="O1211" s="5">
        <f t="shared" si="151"/>
        <v>-7.3503992042787125E-3</v>
      </c>
    </row>
    <row r="1212" spans="1:15" s="2" customFormat="1" x14ac:dyDescent="0.5">
      <c r="A1212" s="6">
        <v>42115</v>
      </c>
      <c r="B1212" s="1">
        <v>205.800003</v>
      </c>
      <c r="C1212" s="1">
        <v>210.75</v>
      </c>
      <c r="D1212" s="1">
        <v>204.30999800000001</v>
      </c>
      <c r="E1212" s="1">
        <v>209.41000399999999</v>
      </c>
      <c r="F1212" s="1">
        <v>209.41000399999999</v>
      </c>
      <c r="G1212" s="2">
        <v>3432500</v>
      </c>
      <c r="H1212" s="2">
        <f t="shared" si="144"/>
        <v>2015</v>
      </c>
      <c r="I1212" s="2">
        <f t="shared" si="145"/>
        <v>4</v>
      </c>
      <c r="J1212" s="2">
        <f t="shared" si="146"/>
        <v>21</v>
      </c>
      <c r="K1212" s="2">
        <f t="shared" si="147"/>
        <v>3</v>
      </c>
      <c r="L1212" s="2">
        <f t="shared" si="148"/>
        <v>5</v>
      </c>
      <c r="M1212" s="3">
        <f t="shared" si="149"/>
        <v>205.270004</v>
      </c>
      <c r="N1212" s="1">
        <f t="shared" ca="1" si="150"/>
        <v>205.270004</v>
      </c>
      <c r="O1212" s="5">
        <f t="shared" si="151"/>
        <v>2.0168558090932764E-2</v>
      </c>
    </row>
    <row r="1213" spans="1:15" s="2" customFormat="1" x14ac:dyDescent="0.5">
      <c r="A1213" s="6">
        <v>42116</v>
      </c>
      <c r="B1213" s="1">
        <v>212.5</v>
      </c>
      <c r="C1213" s="1">
        <v>221.88000500000001</v>
      </c>
      <c r="D1213" s="1">
        <v>211.69000199999999</v>
      </c>
      <c r="E1213" s="1">
        <v>219.44000199999999</v>
      </c>
      <c r="F1213" s="1">
        <v>219.44000199999999</v>
      </c>
      <c r="G1213" s="2">
        <v>7863000</v>
      </c>
      <c r="H1213" s="2">
        <f t="shared" si="144"/>
        <v>2015</v>
      </c>
      <c r="I1213" s="2">
        <f t="shared" si="145"/>
        <v>4</v>
      </c>
      <c r="J1213" s="2">
        <f t="shared" si="146"/>
        <v>22</v>
      </c>
      <c r="K1213" s="2">
        <f t="shared" si="147"/>
        <v>4</v>
      </c>
      <c r="L1213" s="2">
        <f t="shared" si="148"/>
        <v>5</v>
      </c>
      <c r="M1213" s="3">
        <f t="shared" si="149"/>
        <v>209.41000399999999</v>
      </c>
      <c r="N1213" s="1">
        <f t="shared" ca="1" si="150"/>
        <v>209.41000399999999</v>
      </c>
      <c r="O1213" s="5">
        <f t="shared" si="151"/>
        <v>4.7896460572151023E-2</v>
      </c>
    </row>
    <row r="1214" spans="1:15" s="2" customFormat="1" x14ac:dyDescent="0.5">
      <c r="A1214" s="6">
        <v>42117</v>
      </c>
      <c r="B1214" s="1">
        <v>218.270004</v>
      </c>
      <c r="C1214" s="1">
        <v>221.479996</v>
      </c>
      <c r="D1214" s="1">
        <v>217.14999399999999</v>
      </c>
      <c r="E1214" s="1">
        <v>218.60000600000001</v>
      </c>
      <c r="F1214" s="1">
        <v>218.60000600000001</v>
      </c>
      <c r="G1214" s="2">
        <v>4411200</v>
      </c>
      <c r="H1214" s="2">
        <f t="shared" si="144"/>
        <v>2015</v>
      </c>
      <c r="I1214" s="2">
        <f t="shared" si="145"/>
        <v>4</v>
      </c>
      <c r="J1214" s="2">
        <f t="shared" si="146"/>
        <v>23</v>
      </c>
      <c r="K1214" s="2">
        <f t="shared" si="147"/>
        <v>5</v>
      </c>
      <c r="L1214" s="2">
        <f t="shared" si="148"/>
        <v>5</v>
      </c>
      <c r="M1214" s="3">
        <f t="shared" si="149"/>
        <v>219.44000199999999</v>
      </c>
      <c r="N1214" s="1">
        <f t="shared" ca="1" si="150"/>
        <v>219.44000199999999</v>
      </c>
      <c r="O1214" s="5">
        <f t="shared" si="151"/>
        <v>-3.8279073657682128E-3</v>
      </c>
    </row>
    <row r="1215" spans="1:15" s="2" customFormat="1" x14ac:dyDescent="0.5">
      <c r="A1215" s="6">
        <v>42118</v>
      </c>
      <c r="B1215" s="1">
        <v>220.5</v>
      </c>
      <c r="C1215" s="1">
        <v>220.800003</v>
      </c>
      <c r="D1215" s="1">
        <v>218.009995</v>
      </c>
      <c r="E1215" s="1">
        <v>218.429993</v>
      </c>
      <c r="F1215" s="1">
        <v>218.429993</v>
      </c>
      <c r="G1215" s="2">
        <v>2427800</v>
      </c>
      <c r="H1215" s="2">
        <f t="shared" si="144"/>
        <v>2015</v>
      </c>
      <c r="I1215" s="2">
        <f t="shared" si="145"/>
        <v>4</v>
      </c>
      <c r="J1215" s="2">
        <f t="shared" si="146"/>
        <v>24</v>
      </c>
      <c r="K1215" s="2">
        <f t="shared" si="147"/>
        <v>6</v>
      </c>
      <c r="L1215" s="2">
        <f t="shared" si="148"/>
        <v>5</v>
      </c>
      <c r="M1215" s="3">
        <f t="shared" si="149"/>
        <v>218.60000600000001</v>
      </c>
      <c r="N1215" s="1">
        <f t="shared" ca="1" si="150"/>
        <v>218.60000600000001</v>
      </c>
      <c r="O1215" s="5">
        <f t="shared" si="151"/>
        <v>-7.7773556877214212E-4</v>
      </c>
    </row>
    <row r="1216" spans="1:15" s="2" customFormat="1" x14ac:dyDescent="0.5">
      <c r="A1216" s="6">
        <v>42121</v>
      </c>
      <c r="B1216" s="1">
        <v>222.55999800000001</v>
      </c>
      <c r="C1216" s="1">
        <v>238.75</v>
      </c>
      <c r="D1216" s="1">
        <v>222</v>
      </c>
      <c r="E1216" s="1">
        <v>231.550003</v>
      </c>
      <c r="F1216" s="1">
        <v>231.550003</v>
      </c>
      <c r="G1216" s="2">
        <v>11672600</v>
      </c>
      <c r="H1216" s="2">
        <f t="shared" si="144"/>
        <v>2015</v>
      </c>
      <c r="I1216" s="2">
        <f t="shared" si="145"/>
        <v>4</v>
      </c>
      <c r="J1216" s="2">
        <f t="shared" si="146"/>
        <v>27</v>
      </c>
      <c r="K1216" s="2">
        <f t="shared" si="147"/>
        <v>2</v>
      </c>
      <c r="L1216" s="2">
        <f t="shared" si="148"/>
        <v>5</v>
      </c>
      <c r="M1216" s="3">
        <f t="shared" si="149"/>
        <v>218.429993</v>
      </c>
      <c r="N1216" s="1">
        <f t="shared" ca="1" si="150"/>
        <v>218.429993</v>
      </c>
      <c r="O1216" s="5">
        <f t="shared" si="151"/>
        <v>6.0065057091312601E-2</v>
      </c>
    </row>
    <row r="1217" spans="1:15" s="2" customFormat="1" x14ac:dyDescent="0.5">
      <c r="A1217" s="6">
        <v>42122</v>
      </c>
      <c r="B1217" s="1">
        <v>234.75</v>
      </c>
      <c r="C1217" s="1">
        <v>235.5</v>
      </c>
      <c r="D1217" s="1">
        <v>228.029999</v>
      </c>
      <c r="E1217" s="1">
        <v>230.479996</v>
      </c>
      <c r="F1217" s="1">
        <v>230.479996</v>
      </c>
      <c r="G1217" s="2">
        <v>6085400</v>
      </c>
      <c r="H1217" s="2">
        <f t="shared" si="144"/>
        <v>2015</v>
      </c>
      <c r="I1217" s="2">
        <f t="shared" si="145"/>
        <v>4</v>
      </c>
      <c r="J1217" s="2">
        <f t="shared" si="146"/>
        <v>28</v>
      </c>
      <c r="K1217" s="2">
        <f t="shared" si="147"/>
        <v>3</v>
      </c>
      <c r="L1217" s="2">
        <f t="shared" si="148"/>
        <v>5</v>
      </c>
      <c r="M1217" s="3">
        <f t="shared" si="149"/>
        <v>231.550003</v>
      </c>
      <c r="N1217" s="1">
        <f t="shared" ca="1" si="150"/>
        <v>231.550003</v>
      </c>
      <c r="O1217" s="5">
        <f t="shared" si="151"/>
        <v>-4.6210623456567346E-3</v>
      </c>
    </row>
    <row r="1218" spans="1:15" s="2" customFormat="1" x14ac:dyDescent="0.5">
      <c r="A1218" s="6">
        <v>42123</v>
      </c>
      <c r="B1218" s="1">
        <v>230.050003</v>
      </c>
      <c r="C1218" s="1">
        <v>234.970001</v>
      </c>
      <c r="D1218" s="1">
        <v>227.63000500000001</v>
      </c>
      <c r="E1218" s="1">
        <v>232.449997</v>
      </c>
      <c r="F1218" s="1">
        <v>232.449997</v>
      </c>
      <c r="G1218" s="2">
        <v>3936100</v>
      </c>
      <c r="H1218" s="2">
        <f t="shared" ref="H1218:H1281" si="152">YEAR(A1218)</f>
        <v>2015</v>
      </c>
      <c r="I1218" s="2">
        <f t="shared" ref="I1218:I1281" si="153">MONTH(A1218)</f>
        <v>4</v>
      </c>
      <c r="J1218" s="2">
        <f t="shared" ref="J1218:J1281" si="154">DAY(A1218)</f>
        <v>29</v>
      </c>
      <c r="K1218" s="2">
        <f t="shared" ref="K1218:K1281" si="155">WEEKDAY(A1218)</f>
        <v>4</v>
      </c>
      <c r="L1218" s="2">
        <f t="shared" si="148"/>
        <v>5</v>
      </c>
      <c r="M1218" s="3">
        <f t="shared" si="149"/>
        <v>230.479996</v>
      </c>
      <c r="N1218" s="1">
        <f t="shared" ca="1" si="150"/>
        <v>230.479996</v>
      </c>
      <c r="O1218" s="5">
        <f t="shared" si="151"/>
        <v>8.547383869270897E-3</v>
      </c>
    </row>
    <row r="1219" spans="1:15" s="2" customFormat="1" x14ac:dyDescent="0.5">
      <c r="A1219" s="6">
        <v>42124</v>
      </c>
      <c r="B1219" s="1">
        <v>230.38999899999999</v>
      </c>
      <c r="C1219" s="1">
        <v>232.88999899999999</v>
      </c>
      <c r="D1219" s="1">
        <v>225.16999799999999</v>
      </c>
      <c r="E1219" s="1">
        <v>226.050003</v>
      </c>
      <c r="F1219" s="1">
        <v>226.050003</v>
      </c>
      <c r="G1219" s="2">
        <v>3911900</v>
      </c>
      <c r="H1219" s="2">
        <f t="shared" si="152"/>
        <v>2015</v>
      </c>
      <c r="I1219" s="2">
        <f t="shared" si="153"/>
        <v>4</v>
      </c>
      <c r="J1219" s="2">
        <f t="shared" si="154"/>
        <v>30</v>
      </c>
      <c r="K1219" s="2">
        <f t="shared" si="155"/>
        <v>5</v>
      </c>
      <c r="L1219" s="2">
        <f t="shared" ref="L1219:L1282" si="156">I1219+1</f>
        <v>5</v>
      </c>
      <c r="M1219" s="3">
        <f t="shared" ref="M1219:M1282" si="157">F1218</f>
        <v>232.449997</v>
      </c>
      <c r="N1219" s="1">
        <f t="shared" ref="N1219:N1282" ca="1" si="158">OFFSET(F1219, -1, 0)</f>
        <v>232.449997</v>
      </c>
      <c r="O1219" s="5">
        <f t="shared" ref="O1219:O1282" si="159">(F1219/M1219)-1</f>
        <v>-2.753277729661574E-2</v>
      </c>
    </row>
    <row r="1220" spans="1:15" s="2" customFormat="1" x14ac:dyDescent="0.5">
      <c r="A1220" s="6">
        <v>42125</v>
      </c>
      <c r="B1220" s="1">
        <v>229.94000199999999</v>
      </c>
      <c r="C1220" s="1">
        <v>231.770004</v>
      </c>
      <c r="D1220" s="1">
        <v>220.41000399999999</v>
      </c>
      <c r="E1220" s="1">
        <v>226.029999</v>
      </c>
      <c r="F1220" s="1">
        <v>226.029999</v>
      </c>
      <c r="G1220" s="2">
        <v>5281700</v>
      </c>
      <c r="H1220" s="2">
        <f t="shared" si="152"/>
        <v>2015</v>
      </c>
      <c r="I1220" s="2">
        <f t="shared" si="153"/>
        <v>5</v>
      </c>
      <c r="J1220" s="2">
        <f t="shared" si="154"/>
        <v>1</v>
      </c>
      <c r="K1220" s="2">
        <f t="shared" si="155"/>
        <v>6</v>
      </c>
      <c r="L1220" s="2">
        <f t="shared" si="156"/>
        <v>6</v>
      </c>
      <c r="M1220" s="3">
        <f t="shared" si="157"/>
        <v>226.050003</v>
      </c>
      <c r="N1220" s="1">
        <f t="shared" ca="1" si="158"/>
        <v>226.050003</v>
      </c>
      <c r="O1220" s="5">
        <f t="shared" si="159"/>
        <v>-8.849369491048531E-5</v>
      </c>
    </row>
    <row r="1221" spans="1:15" s="2" customFormat="1" x14ac:dyDescent="0.5">
      <c r="A1221" s="6">
        <v>42128</v>
      </c>
      <c r="B1221" s="1">
        <v>228.179993</v>
      </c>
      <c r="C1221" s="1">
        <v>234.729996</v>
      </c>
      <c r="D1221" s="1">
        <v>227.11000100000001</v>
      </c>
      <c r="E1221" s="1">
        <v>230.509995</v>
      </c>
      <c r="F1221" s="1">
        <v>230.509995</v>
      </c>
      <c r="G1221" s="2">
        <v>4434600</v>
      </c>
      <c r="H1221" s="2">
        <f t="shared" si="152"/>
        <v>2015</v>
      </c>
      <c r="I1221" s="2">
        <f t="shared" si="153"/>
        <v>5</v>
      </c>
      <c r="J1221" s="2">
        <f t="shared" si="154"/>
        <v>4</v>
      </c>
      <c r="K1221" s="2">
        <f t="shared" si="155"/>
        <v>2</v>
      </c>
      <c r="L1221" s="2">
        <f t="shared" si="156"/>
        <v>6</v>
      </c>
      <c r="M1221" s="3">
        <f t="shared" si="157"/>
        <v>226.029999</v>
      </c>
      <c r="N1221" s="1">
        <f t="shared" ca="1" si="158"/>
        <v>226.029999</v>
      </c>
      <c r="O1221" s="5">
        <f t="shared" si="159"/>
        <v>1.9820360216875388E-2</v>
      </c>
    </row>
    <row r="1222" spans="1:15" s="2" customFormat="1" x14ac:dyDescent="0.5">
      <c r="A1222" s="6">
        <v>42129</v>
      </c>
      <c r="B1222" s="1">
        <v>237.759995</v>
      </c>
      <c r="C1222" s="1">
        <v>239.5</v>
      </c>
      <c r="D1222" s="1">
        <v>229.13000500000001</v>
      </c>
      <c r="E1222" s="1">
        <v>232.949997</v>
      </c>
      <c r="F1222" s="1">
        <v>232.949997</v>
      </c>
      <c r="G1222" s="2">
        <v>5796900</v>
      </c>
      <c r="H1222" s="2">
        <f t="shared" si="152"/>
        <v>2015</v>
      </c>
      <c r="I1222" s="2">
        <f t="shared" si="153"/>
        <v>5</v>
      </c>
      <c r="J1222" s="2">
        <f t="shared" si="154"/>
        <v>5</v>
      </c>
      <c r="K1222" s="2">
        <f t="shared" si="155"/>
        <v>3</v>
      </c>
      <c r="L1222" s="2">
        <f t="shared" si="156"/>
        <v>6</v>
      </c>
      <c r="M1222" s="3">
        <f t="shared" si="157"/>
        <v>230.509995</v>
      </c>
      <c r="N1222" s="1">
        <f t="shared" ca="1" si="158"/>
        <v>230.509995</v>
      </c>
      <c r="O1222" s="5">
        <f t="shared" si="159"/>
        <v>1.0585232974387848E-2</v>
      </c>
    </row>
    <row r="1223" spans="1:15" s="2" customFormat="1" x14ac:dyDescent="0.5">
      <c r="A1223" s="6">
        <v>42130</v>
      </c>
      <c r="B1223" s="1">
        <v>234.10000600000001</v>
      </c>
      <c r="C1223" s="1">
        <v>234.470001</v>
      </c>
      <c r="D1223" s="1">
        <v>228.199997</v>
      </c>
      <c r="E1223" s="1">
        <v>230.429993</v>
      </c>
      <c r="F1223" s="1">
        <v>230.429993</v>
      </c>
      <c r="G1223" s="2">
        <v>5270900</v>
      </c>
      <c r="H1223" s="2">
        <f t="shared" si="152"/>
        <v>2015</v>
      </c>
      <c r="I1223" s="2">
        <f t="shared" si="153"/>
        <v>5</v>
      </c>
      <c r="J1223" s="2">
        <f t="shared" si="154"/>
        <v>6</v>
      </c>
      <c r="K1223" s="2">
        <f t="shared" si="155"/>
        <v>4</v>
      </c>
      <c r="L1223" s="2">
        <f t="shared" si="156"/>
        <v>6</v>
      </c>
      <c r="M1223" s="3">
        <f t="shared" si="157"/>
        <v>232.949997</v>
      </c>
      <c r="N1223" s="1">
        <f t="shared" ca="1" si="158"/>
        <v>232.949997</v>
      </c>
      <c r="O1223" s="5">
        <f t="shared" si="159"/>
        <v>-1.0817789364470309E-2</v>
      </c>
    </row>
    <row r="1224" spans="1:15" s="2" customFormat="1" x14ac:dyDescent="0.5">
      <c r="A1224" s="6">
        <v>42131</v>
      </c>
      <c r="B1224" s="1">
        <v>221</v>
      </c>
      <c r="C1224" s="1">
        <v>237.479996</v>
      </c>
      <c r="D1224" s="1">
        <v>220.25</v>
      </c>
      <c r="E1224" s="1">
        <v>236.800003</v>
      </c>
      <c r="F1224" s="1">
        <v>236.800003</v>
      </c>
      <c r="G1224" s="2">
        <v>9455900</v>
      </c>
      <c r="H1224" s="2">
        <f t="shared" si="152"/>
        <v>2015</v>
      </c>
      <c r="I1224" s="2">
        <f t="shared" si="153"/>
        <v>5</v>
      </c>
      <c r="J1224" s="2">
        <f t="shared" si="154"/>
        <v>7</v>
      </c>
      <c r="K1224" s="2">
        <f t="shared" si="155"/>
        <v>5</v>
      </c>
      <c r="L1224" s="2">
        <f t="shared" si="156"/>
        <v>6</v>
      </c>
      <c r="M1224" s="3">
        <f t="shared" si="157"/>
        <v>230.429993</v>
      </c>
      <c r="N1224" s="1">
        <f t="shared" ca="1" si="158"/>
        <v>230.429993</v>
      </c>
      <c r="O1224" s="5">
        <f t="shared" si="159"/>
        <v>2.7644014206084755E-2</v>
      </c>
    </row>
    <row r="1225" spans="1:15" s="2" customFormat="1" x14ac:dyDescent="0.5">
      <c r="A1225" s="6">
        <v>42132</v>
      </c>
      <c r="B1225" s="1">
        <v>235.990005</v>
      </c>
      <c r="C1225" s="1">
        <v>238.41000399999999</v>
      </c>
      <c r="D1225" s="1">
        <v>233.699997</v>
      </c>
      <c r="E1225" s="1">
        <v>236.61000100000001</v>
      </c>
      <c r="F1225" s="1">
        <v>236.61000100000001</v>
      </c>
      <c r="G1225" s="2">
        <v>4668200</v>
      </c>
      <c r="H1225" s="2">
        <f t="shared" si="152"/>
        <v>2015</v>
      </c>
      <c r="I1225" s="2">
        <f t="shared" si="153"/>
        <v>5</v>
      </c>
      <c r="J1225" s="2">
        <f t="shared" si="154"/>
        <v>8</v>
      </c>
      <c r="K1225" s="2">
        <f t="shared" si="155"/>
        <v>6</v>
      </c>
      <c r="L1225" s="2">
        <f t="shared" si="156"/>
        <v>6</v>
      </c>
      <c r="M1225" s="3">
        <f t="shared" si="157"/>
        <v>236.800003</v>
      </c>
      <c r="N1225" s="1">
        <f t="shared" ca="1" si="158"/>
        <v>236.800003</v>
      </c>
      <c r="O1225" s="5">
        <f t="shared" si="159"/>
        <v>-8.0237330064558687E-4</v>
      </c>
    </row>
    <row r="1226" spans="1:15" s="2" customFormat="1" x14ac:dyDescent="0.5">
      <c r="A1226" s="6">
        <v>42135</v>
      </c>
      <c r="B1226" s="1">
        <v>236.28999300000001</v>
      </c>
      <c r="C1226" s="1">
        <v>242.88000500000001</v>
      </c>
      <c r="D1226" s="1">
        <v>235.30999800000001</v>
      </c>
      <c r="E1226" s="1">
        <v>239.490005</v>
      </c>
      <c r="F1226" s="1">
        <v>239.490005</v>
      </c>
      <c r="G1226" s="2">
        <v>5672300</v>
      </c>
      <c r="H1226" s="2">
        <f t="shared" si="152"/>
        <v>2015</v>
      </c>
      <c r="I1226" s="2">
        <f t="shared" si="153"/>
        <v>5</v>
      </c>
      <c r="J1226" s="2">
        <f t="shared" si="154"/>
        <v>11</v>
      </c>
      <c r="K1226" s="2">
        <f t="shared" si="155"/>
        <v>2</v>
      </c>
      <c r="L1226" s="2">
        <f t="shared" si="156"/>
        <v>6</v>
      </c>
      <c r="M1226" s="3">
        <f t="shared" si="157"/>
        <v>236.61000100000001</v>
      </c>
      <c r="N1226" s="1">
        <f t="shared" ca="1" si="158"/>
        <v>236.61000100000001</v>
      </c>
      <c r="O1226" s="5">
        <f t="shared" si="159"/>
        <v>1.2171945343933288E-2</v>
      </c>
    </row>
    <row r="1227" spans="1:15" s="2" customFormat="1" x14ac:dyDescent="0.5">
      <c r="A1227" s="6">
        <v>42136</v>
      </c>
      <c r="B1227" s="1">
        <v>240.11000100000001</v>
      </c>
      <c r="C1227" s="1">
        <v>246.35000600000001</v>
      </c>
      <c r="D1227" s="1">
        <v>238.19000199999999</v>
      </c>
      <c r="E1227" s="1">
        <v>244.740005</v>
      </c>
      <c r="F1227" s="1">
        <v>244.740005</v>
      </c>
      <c r="G1227" s="2">
        <v>6363400</v>
      </c>
      <c r="H1227" s="2">
        <f t="shared" si="152"/>
        <v>2015</v>
      </c>
      <c r="I1227" s="2">
        <f t="shared" si="153"/>
        <v>5</v>
      </c>
      <c r="J1227" s="2">
        <f t="shared" si="154"/>
        <v>12</v>
      </c>
      <c r="K1227" s="2">
        <f t="shared" si="155"/>
        <v>3</v>
      </c>
      <c r="L1227" s="2">
        <f t="shared" si="156"/>
        <v>6</v>
      </c>
      <c r="M1227" s="3">
        <f t="shared" si="157"/>
        <v>239.490005</v>
      </c>
      <c r="N1227" s="1">
        <f t="shared" ca="1" si="158"/>
        <v>239.490005</v>
      </c>
      <c r="O1227" s="5">
        <f t="shared" si="159"/>
        <v>2.1921582906977655E-2</v>
      </c>
    </row>
    <row r="1228" spans="1:15" s="2" customFormat="1" x14ac:dyDescent="0.5">
      <c r="A1228" s="6">
        <v>42137</v>
      </c>
      <c r="B1228" s="1">
        <v>247.61000100000001</v>
      </c>
      <c r="C1228" s="1">
        <v>248.300003</v>
      </c>
      <c r="D1228" s="1">
        <v>242.25</v>
      </c>
      <c r="E1228" s="1">
        <v>243.179993</v>
      </c>
      <c r="F1228" s="1">
        <v>243.179993</v>
      </c>
      <c r="G1228" s="2">
        <v>5440200</v>
      </c>
      <c r="H1228" s="2">
        <f t="shared" si="152"/>
        <v>2015</v>
      </c>
      <c r="I1228" s="2">
        <f t="shared" si="153"/>
        <v>5</v>
      </c>
      <c r="J1228" s="2">
        <f t="shared" si="154"/>
        <v>13</v>
      </c>
      <c r="K1228" s="2">
        <f t="shared" si="155"/>
        <v>4</v>
      </c>
      <c r="L1228" s="2">
        <f t="shared" si="156"/>
        <v>6</v>
      </c>
      <c r="M1228" s="3">
        <f t="shared" si="157"/>
        <v>244.740005</v>
      </c>
      <c r="N1228" s="1">
        <f t="shared" ca="1" si="158"/>
        <v>244.740005</v>
      </c>
      <c r="O1228" s="5">
        <f t="shared" si="159"/>
        <v>-6.3741602031919253E-3</v>
      </c>
    </row>
    <row r="1229" spans="1:15" s="2" customFormat="1" x14ac:dyDescent="0.5">
      <c r="A1229" s="6">
        <v>42138</v>
      </c>
      <c r="B1229" s="1">
        <v>244.820007</v>
      </c>
      <c r="C1229" s="1">
        <v>244.88999899999999</v>
      </c>
      <c r="D1229" s="1">
        <v>241.25</v>
      </c>
      <c r="E1229" s="1">
        <v>244.10000600000001</v>
      </c>
      <c r="F1229" s="1">
        <v>244.10000600000001</v>
      </c>
      <c r="G1229" s="2">
        <v>2895900</v>
      </c>
      <c r="H1229" s="2">
        <f t="shared" si="152"/>
        <v>2015</v>
      </c>
      <c r="I1229" s="2">
        <f t="shared" si="153"/>
        <v>5</v>
      </c>
      <c r="J1229" s="2">
        <f t="shared" si="154"/>
        <v>14</v>
      </c>
      <c r="K1229" s="2">
        <f t="shared" si="155"/>
        <v>5</v>
      </c>
      <c r="L1229" s="2">
        <f t="shared" si="156"/>
        <v>6</v>
      </c>
      <c r="M1229" s="3">
        <f t="shared" si="157"/>
        <v>243.179993</v>
      </c>
      <c r="N1229" s="1">
        <f t="shared" ca="1" si="158"/>
        <v>243.179993</v>
      </c>
      <c r="O1229" s="5">
        <f t="shared" si="159"/>
        <v>3.7832594229905148E-3</v>
      </c>
    </row>
    <row r="1230" spans="1:15" s="2" customFormat="1" x14ac:dyDescent="0.5">
      <c r="A1230" s="6">
        <v>42139</v>
      </c>
      <c r="B1230" s="1">
        <v>243.929993</v>
      </c>
      <c r="C1230" s="1">
        <v>249.39999399999999</v>
      </c>
      <c r="D1230" s="1">
        <v>242.5</v>
      </c>
      <c r="E1230" s="1">
        <v>248.83999600000001</v>
      </c>
      <c r="F1230" s="1">
        <v>248.83999600000001</v>
      </c>
      <c r="G1230" s="2">
        <v>4527600</v>
      </c>
      <c r="H1230" s="2">
        <f t="shared" si="152"/>
        <v>2015</v>
      </c>
      <c r="I1230" s="2">
        <f t="shared" si="153"/>
        <v>5</v>
      </c>
      <c r="J1230" s="2">
        <f t="shared" si="154"/>
        <v>15</v>
      </c>
      <c r="K1230" s="2">
        <f t="shared" si="155"/>
        <v>6</v>
      </c>
      <c r="L1230" s="2">
        <f t="shared" si="156"/>
        <v>6</v>
      </c>
      <c r="M1230" s="3">
        <f t="shared" si="157"/>
        <v>244.10000600000001</v>
      </c>
      <c r="N1230" s="1">
        <f t="shared" ca="1" si="158"/>
        <v>244.10000600000001</v>
      </c>
      <c r="O1230" s="5">
        <f t="shared" si="159"/>
        <v>1.9418229756209104E-2</v>
      </c>
    </row>
    <row r="1231" spans="1:15" s="2" customFormat="1" x14ac:dyDescent="0.5">
      <c r="A1231" s="6">
        <v>42142</v>
      </c>
      <c r="B1231" s="1">
        <v>247</v>
      </c>
      <c r="C1231" s="1">
        <v>249.89999399999999</v>
      </c>
      <c r="D1231" s="1">
        <v>246</v>
      </c>
      <c r="E1231" s="1">
        <v>248.75</v>
      </c>
      <c r="F1231" s="1">
        <v>248.75</v>
      </c>
      <c r="G1231" s="2">
        <v>3348000</v>
      </c>
      <c r="H1231" s="2">
        <f t="shared" si="152"/>
        <v>2015</v>
      </c>
      <c r="I1231" s="2">
        <f t="shared" si="153"/>
        <v>5</v>
      </c>
      <c r="J1231" s="2">
        <f t="shared" si="154"/>
        <v>18</v>
      </c>
      <c r="K1231" s="2">
        <f t="shared" si="155"/>
        <v>2</v>
      </c>
      <c r="L1231" s="2">
        <f t="shared" si="156"/>
        <v>6</v>
      </c>
      <c r="M1231" s="3">
        <f t="shared" si="157"/>
        <v>248.83999600000001</v>
      </c>
      <c r="N1231" s="1">
        <f t="shared" ca="1" si="158"/>
        <v>248.83999600000001</v>
      </c>
      <c r="O1231" s="5">
        <f t="shared" si="159"/>
        <v>-3.6166211801424986E-4</v>
      </c>
    </row>
    <row r="1232" spans="1:15" s="2" customFormat="1" x14ac:dyDescent="0.5">
      <c r="A1232" s="6">
        <v>42143</v>
      </c>
      <c r="B1232" s="1">
        <v>248.429993</v>
      </c>
      <c r="C1232" s="1">
        <v>251</v>
      </c>
      <c r="D1232" s="1">
        <v>246.14999399999999</v>
      </c>
      <c r="E1232" s="1">
        <v>247.13999899999999</v>
      </c>
      <c r="F1232" s="1">
        <v>247.13999899999999</v>
      </c>
      <c r="G1232" s="2">
        <v>3674200</v>
      </c>
      <c r="H1232" s="2">
        <f t="shared" si="152"/>
        <v>2015</v>
      </c>
      <c r="I1232" s="2">
        <f t="shared" si="153"/>
        <v>5</v>
      </c>
      <c r="J1232" s="2">
        <f t="shared" si="154"/>
        <v>19</v>
      </c>
      <c r="K1232" s="2">
        <f t="shared" si="155"/>
        <v>3</v>
      </c>
      <c r="L1232" s="2">
        <f t="shared" si="156"/>
        <v>6</v>
      </c>
      <c r="M1232" s="3">
        <f t="shared" si="157"/>
        <v>248.75</v>
      </c>
      <c r="N1232" s="1">
        <f t="shared" ca="1" si="158"/>
        <v>248.75</v>
      </c>
      <c r="O1232" s="5">
        <f t="shared" si="159"/>
        <v>-6.4723658291457875E-3</v>
      </c>
    </row>
    <row r="1233" spans="1:15" s="2" customFormat="1" x14ac:dyDescent="0.5">
      <c r="A1233" s="6">
        <v>42144</v>
      </c>
      <c r="B1233" s="1">
        <v>247.13000500000001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244.35000600000001</v>
      </c>
      <c r="G1233" s="2">
        <v>3755600</v>
      </c>
      <c r="H1233" s="2">
        <f t="shared" si="152"/>
        <v>2015</v>
      </c>
      <c r="I1233" s="2">
        <f t="shared" si="153"/>
        <v>5</v>
      </c>
      <c r="J1233" s="2">
        <f t="shared" si="154"/>
        <v>20</v>
      </c>
      <c r="K1233" s="2">
        <f t="shared" si="155"/>
        <v>4</v>
      </c>
      <c r="L1233" s="2">
        <f t="shared" si="156"/>
        <v>6</v>
      </c>
      <c r="M1233" s="3">
        <f t="shared" si="157"/>
        <v>247.13999899999999</v>
      </c>
      <c r="N1233" s="1">
        <f t="shared" ca="1" si="158"/>
        <v>247.13999899999999</v>
      </c>
      <c r="O1233" s="5">
        <f t="shared" si="159"/>
        <v>-1.1289119573072326E-2</v>
      </c>
    </row>
    <row r="1234" spans="1:15" s="2" customFormat="1" x14ac:dyDescent="0.5">
      <c r="A1234" s="6">
        <v>42145</v>
      </c>
      <c r="B1234" s="1">
        <v>243.029999</v>
      </c>
      <c r="C1234" s="1">
        <v>246.61999499999999</v>
      </c>
      <c r="D1234" s="1">
        <v>242.36000100000001</v>
      </c>
      <c r="E1234" s="1">
        <v>245.61999499999999</v>
      </c>
      <c r="F1234" s="1">
        <v>245.61999499999999</v>
      </c>
      <c r="G1234" s="2">
        <v>1970600</v>
      </c>
      <c r="H1234" s="2">
        <f t="shared" si="152"/>
        <v>2015</v>
      </c>
      <c r="I1234" s="2">
        <f t="shared" si="153"/>
        <v>5</v>
      </c>
      <c r="J1234" s="2">
        <f t="shared" si="154"/>
        <v>21</v>
      </c>
      <c r="K1234" s="2">
        <f t="shared" si="155"/>
        <v>5</v>
      </c>
      <c r="L1234" s="2">
        <f t="shared" si="156"/>
        <v>6</v>
      </c>
      <c r="M1234" s="3">
        <f t="shared" si="157"/>
        <v>244.35000600000001</v>
      </c>
      <c r="N1234" s="1">
        <f t="shared" ca="1" si="158"/>
        <v>244.35000600000001</v>
      </c>
      <c r="O1234" s="5">
        <f t="shared" si="159"/>
        <v>5.1974175110107712E-3</v>
      </c>
    </row>
    <row r="1235" spans="1:15" s="2" customFormat="1" x14ac:dyDescent="0.5">
      <c r="A1235" s="6">
        <v>42146</v>
      </c>
      <c r="B1235" s="1">
        <v>245.38000500000001</v>
      </c>
      <c r="C1235" s="1">
        <v>248.60000600000001</v>
      </c>
      <c r="D1235" s="1">
        <v>245.009995</v>
      </c>
      <c r="E1235" s="1">
        <v>247.729996</v>
      </c>
      <c r="F1235" s="1">
        <v>247.729996</v>
      </c>
      <c r="G1235" s="2">
        <v>2223100</v>
      </c>
      <c r="H1235" s="2">
        <f t="shared" si="152"/>
        <v>2015</v>
      </c>
      <c r="I1235" s="2">
        <f t="shared" si="153"/>
        <v>5</v>
      </c>
      <c r="J1235" s="2">
        <f t="shared" si="154"/>
        <v>22</v>
      </c>
      <c r="K1235" s="2">
        <f t="shared" si="155"/>
        <v>6</v>
      </c>
      <c r="L1235" s="2">
        <f t="shared" si="156"/>
        <v>6</v>
      </c>
      <c r="M1235" s="3">
        <f t="shared" si="157"/>
        <v>245.61999499999999</v>
      </c>
      <c r="N1235" s="1">
        <f t="shared" ca="1" si="158"/>
        <v>245.61999499999999</v>
      </c>
      <c r="O1235" s="5">
        <f t="shared" si="159"/>
        <v>8.5905099053520395E-3</v>
      </c>
    </row>
    <row r="1236" spans="1:15" s="2" customFormat="1" x14ac:dyDescent="0.5">
      <c r="A1236" s="6">
        <v>42150</v>
      </c>
      <c r="B1236" s="1">
        <v>247.679993</v>
      </c>
      <c r="C1236" s="1">
        <v>252</v>
      </c>
      <c r="D1236" s="1">
        <v>246.5</v>
      </c>
      <c r="E1236" s="1">
        <v>247.46000699999999</v>
      </c>
      <c r="F1236" s="1">
        <v>247.46000699999999</v>
      </c>
      <c r="G1236" s="2">
        <v>3498700</v>
      </c>
      <c r="H1236" s="2">
        <f t="shared" si="152"/>
        <v>2015</v>
      </c>
      <c r="I1236" s="2">
        <f t="shared" si="153"/>
        <v>5</v>
      </c>
      <c r="J1236" s="2">
        <f t="shared" si="154"/>
        <v>26</v>
      </c>
      <c r="K1236" s="2">
        <f t="shared" si="155"/>
        <v>3</v>
      </c>
      <c r="L1236" s="2">
        <f t="shared" si="156"/>
        <v>6</v>
      </c>
      <c r="M1236" s="3">
        <f t="shared" si="157"/>
        <v>247.729996</v>
      </c>
      <c r="N1236" s="1">
        <f t="shared" ca="1" si="158"/>
        <v>247.729996</v>
      </c>
      <c r="O1236" s="5">
        <f t="shared" si="159"/>
        <v>-1.0898518724393735E-3</v>
      </c>
    </row>
    <row r="1237" spans="1:15" s="2" customFormat="1" x14ac:dyDescent="0.5">
      <c r="A1237" s="6">
        <v>42151</v>
      </c>
      <c r="B1237" s="1">
        <v>248.509995</v>
      </c>
      <c r="C1237" s="1">
        <v>249.5</v>
      </c>
      <c r="D1237" s="1">
        <v>245.550003</v>
      </c>
      <c r="E1237" s="1">
        <v>247.429993</v>
      </c>
      <c r="F1237" s="1">
        <v>247.429993</v>
      </c>
      <c r="G1237" s="2">
        <v>3408200</v>
      </c>
      <c r="H1237" s="2">
        <f t="shared" si="152"/>
        <v>2015</v>
      </c>
      <c r="I1237" s="2">
        <f t="shared" si="153"/>
        <v>5</v>
      </c>
      <c r="J1237" s="2">
        <f t="shared" si="154"/>
        <v>27</v>
      </c>
      <c r="K1237" s="2">
        <f t="shared" si="155"/>
        <v>4</v>
      </c>
      <c r="L1237" s="2">
        <f t="shared" si="156"/>
        <v>6</v>
      </c>
      <c r="M1237" s="3">
        <f t="shared" si="157"/>
        <v>247.46000699999999</v>
      </c>
      <c r="N1237" s="1">
        <f t="shared" ca="1" si="158"/>
        <v>247.46000699999999</v>
      </c>
      <c r="O1237" s="5">
        <f t="shared" si="159"/>
        <v>-1.2128828558544136E-4</v>
      </c>
    </row>
    <row r="1238" spans="1:15" s="2" customFormat="1" x14ac:dyDescent="0.5">
      <c r="A1238" s="6">
        <v>42152</v>
      </c>
      <c r="B1238" s="1">
        <v>247.029999</v>
      </c>
      <c r="C1238" s="1">
        <v>251.800003</v>
      </c>
      <c r="D1238" s="1">
        <v>245.050003</v>
      </c>
      <c r="E1238" s="1">
        <v>251.449997</v>
      </c>
      <c r="F1238" s="1">
        <v>251.449997</v>
      </c>
      <c r="G1238" s="2">
        <v>3647300</v>
      </c>
      <c r="H1238" s="2">
        <f t="shared" si="152"/>
        <v>2015</v>
      </c>
      <c r="I1238" s="2">
        <f t="shared" si="153"/>
        <v>5</v>
      </c>
      <c r="J1238" s="2">
        <f t="shared" si="154"/>
        <v>28</v>
      </c>
      <c r="K1238" s="2">
        <f t="shared" si="155"/>
        <v>5</v>
      </c>
      <c r="L1238" s="2">
        <f t="shared" si="156"/>
        <v>6</v>
      </c>
      <c r="M1238" s="3">
        <f t="shared" si="157"/>
        <v>247.429993</v>
      </c>
      <c r="N1238" s="1">
        <f t="shared" ca="1" si="158"/>
        <v>247.429993</v>
      </c>
      <c r="O1238" s="5">
        <f t="shared" si="159"/>
        <v>1.6247035984841229E-2</v>
      </c>
    </row>
    <row r="1239" spans="1:15" s="2" customFormat="1" x14ac:dyDescent="0.5">
      <c r="A1239" s="6">
        <v>42153</v>
      </c>
      <c r="B1239" s="1">
        <v>251</v>
      </c>
      <c r="C1239" s="1">
        <v>252.86999499999999</v>
      </c>
      <c r="D1239" s="1">
        <v>249.429993</v>
      </c>
      <c r="E1239" s="1">
        <v>250.800003</v>
      </c>
      <c r="F1239" s="1">
        <v>250.800003</v>
      </c>
      <c r="G1239" s="2">
        <v>3781700</v>
      </c>
      <c r="H1239" s="2">
        <f t="shared" si="152"/>
        <v>2015</v>
      </c>
      <c r="I1239" s="2">
        <f t="shared" si="153"/>
        <v>5</v>
      </c>
      <c r="J1239" s="2">
        <f t="shared" si="154"/>
        <v>29</v>
      </c>
      <c r="K1239" s="2">
        <f t="shared" si="155"/>
        <v>6</v>
      </c>
      <c r="L1239" s="2">
        <f t="shared" si="156"/>
        <v>6</v>
      </c>
      <c r="M1239" s="3">
        <f t="shared" si="157"/>
        <v>251.449997</v>
      </c>
      <c r="N1239" s="1">
        <f t="shared" ca="1" si="158"/>
        <v>251.449997</v>
      </c>
      <c r="O1239" s="5">
        <f t="shared" si="159"/>
        <v>-2.5849831288723424E-3</v>
      </c>
    </row>
    <row r="1240" spans="1:15" s="2" customFormat="1" x14ac:dyDescent="0.5">
      <c r="A1240" s="6">
        <v>42156</v>
      </c>
      <c r="B1240" s="1">
        <v>251.41000399999999</v>
      </c>
      <c r="C1240" s="1">
        <v>251.60000600000001</v>
      </c>
      <c r="D1240" s="1">
        <v>247.470001</v>
      </c>
      <c r="E1240" s="1">
        <v>249.449997</v>
      </c>
      <c r="F1240" s="1">
        <v>249.449997</v>
      </c>
      <c r="G1240" s="2">
        <v>2505100</v>
      </c>
      <c r="H1240" s="2">
        <f t="shared" si="152"/>
        <v>2015</v>
      </c>
      <c r="I1240" s="2">
        <f t="shared" si="153"/>
        <v>6</v>
      </c>
      <c r="J1240" s="2">
        <f t="shared" si="154"/>
        <v>1</v>
      </c>
      <c r="K1240" s="2">
        <f t="shared" si="155"/>
        <v>2</v>
      </c>
      <c r="L1240" s="2">
        <f t="shared" si="156"/>
        <v>7</v>
      </c>
      <c r="M1240" s="3">
        <f t="shared" si="157"/>
        <v>250.800003</v>
      </c>
      <c r="N1240" s="1">
        <f t="shared" ca="1" si="158"/>
        <v>250.800003</v>
      </c>
      <c r="O1240" s="5">
        <f t="shared" si="159"/>
        <v>-5.3827989786746633E-3</v>
      </c>
    </row>
    <row r="1241" spans="1:15" s="2" customFormat="1" x14ac:dyDescent="0.5">
      <c r="A1241" s="6">
        <v>42157</v>
      </c>
      <c r="B1241" s="1">
        <v>248.91999799999999</v>
      </c>
      <c r="C1241" s="1">
        <v>249.39999399999999</v>
      </c>
      <c r="D1241" s="1">
        <v>246.300003</v>
      </c>
      <c r="E1241" s="1">
        <v>248.35000600000001</v>
      </c>
      <c r="F1241" s="1">
        <v>248.35000600000001</v>
      </c>
      <c r="G1241" s="2">
        <v>2125800</v>
      </c>
      <c r="H1241" s="2">
        <f t="shared" si="152"/>
        <v>2015</v>
      </c>
      <c r="I1241" s="2">
        <f t="shared" si="153"/>
        <v>6</v>
      </c>
      <c r="J1241" s="2">
        <f t="shared" si="154"/>
        <v>2</v>
      </c>
      <c r="K1241" s="2">
        <f t="shared" si="155"/>
        <v>3</v>
      </c>
      <c r="L1241" s="2">
        <f t="shared" si="156"/>
        <v>7</v>
      </c>
      <c r="M1241" s="3">
        <f t="shared" si="157"/>
        <v>249.449997</v>
      </c>
      <c r="N1241" s="1">
        <f t="shared" ca="1" si="158"/>
        <v>249.449997</v>
      </c>
      <c r="O1241" s="5">
        <f t="shared" si="159"/>
        <v>-4.4096653166124655E-3</v>
      </c>
    </row>
    <row r="1242" spans="1:15" s="2" customFormat="1" x14ac:dyDescent="0.5">
      <c r="A1242" s="6">
        <v>42158</v>
      </c>
      <c r="B1242" s="1">
        <v>248.199997</v>
      </c>
      <c r="C1242" s="1">
        <v>250.720001</v>
      </c>
      <c r="D1242" s="1">
        <v>247.009995</v>
      </c>
      <c r="E1242" s="1">
        <v>248.990005</v>
      </c>
      <c r="F1242" s="1">
        <v>248.990005</v>
      </c>
      <c r="G1242" s="2">
        <v>1781500</v>
      </c>
      <c r="H1242" s="2">
        <f t="shared" si="152"/>
        <v>2015</v>
      </c>
      <c r="I1242" s="2">
        <f t="shared" si="153"/>
        <v>6</v>
      </c>
      <c r="J1242" s="2">
        <f t="shared" si="154"/>
        <v>3</v>
      </c>
      <c r="K1242" s="2">
        <f t="shared" si="155"/>
        <v>4</v>
      </c>
      <c r="L1242" s="2">
        <f t="shared" si="156"/>
        <v>7</v>
      </c>
      <c r="M1242" s="3">
        <f t="shared" si="157"/>
        <v>248.35000600000001</v>
      </c>
      <c r="N1242" s="1">
        <f t="shared" ca="1" si="158"/>
        <v>248.35000600000001</v>
      </c>
      <c r="O1242" s="5">
        <f t="shared" si="159"/>
        <v>2.5770041656452136E-3</v>
      </c>
    </row>
    <row r="1243" spans="1:15" s="2" customFormat="1" x14ac:dyDescent="0.5">
      <c r="A1243" s="6">
        <v>42159</v>
      </c>
      <c r="B1243" s="1">
        <v>247.5</v>
      </c>
      <c r="C1243" s="1">
        <v>249.300003</v>
      </c>
      <c r="D1243" s="1">
        <v>245.71000699999999</v>
      </c>
      <c r="E1243" s="1">
        <v>245.91999799999999</v>
      </c>
      <c r="F1243" s="1">
        <v>245.91999799999999</v>
      </c>
      <c r="G1243" s="2">
        <v>2453600</v>
      </c>
      <c r="H1243" s="2">
        <f t="shared" si="152"/>
        <v>2015</v>
      </c>
      <c r="I1243" s="2">
        <f t="shared" si="153"/>
        <v>6</v>
      </c>
      <c r="J1243" s="2">
        <f t="shared" si="154"/>
        <v>4</v>
      </c>
      <c r="K1243" s="2">
        <f t="shared" si="155"/>
        <v>5</v>
      </c>
      <c r="L1243" s="2">
        <f t="shared" si="156"/>
        <v>7</v>
      </c>
      <c r="M1243" s="3">
        <f t="shared" si="157"/>
        <v>248.990005</v>
      </c>
      <c r="N1243" s="1">
        <f t="shared" ca="1" si="158"/>
        <v>248.990005</v>
      </c>
      <c r="O1243" s="5">
        <f t="shared" si="159"/>
        <v>-1.2329840308248574E-2</v>
      </c>
    </row>
    <row r="1244" spans="1:15" s="2" customFormat="1" x14ac:dyDescent="0.5">
      <c r="A1244" s="6">
        <v>42160</v>
      </c>
      <c r="B1244" s="1">
        <v>246</v>
      </c>
      <c r="C1244" s="1">
        <v>249.699997</v>
      </c>
      <c r="D1244" s="1">
        <v>245.679993</v>
      </c>
      <c r="E1244" s="1">
        <v>249.13999899999999</v>
      </c>
      <c r="F1244" s="1">
        <v>249.13999899999999</v>
      </c>
      <c r="G1244" s="2">
        <v>3022000</v>
      </c>
      <c r="H1244" s="2">
        <f t="shared" si="152"/>
        <v>2015</v>
      </c>
      <c r="I1244" s="2">
        <f t="shared" si="153"/>
        <v>6</v>
      </c>
      <c r="J1244" s="2">
        <f t="shared" si="154"/>
        <v>5</v>
      </c>
      <c r="K1244" s="2">
        <f t="shared" si="155"/>
        <v>6</v>
      </c>
      <c r="L1244" s="2">
        <f t="shared" si="156"/>
        <v>7</v>
      </c>
      <c r="M1244" s="3">
        <f t="shared" si="157"/>
        <v>245.91999799999999</v>
      </c>
      <c r="N1244" s="1">
        <f t="shared" ca="1" si="158"/>
        <v>245.91999799999999</v>
      </c>
      <c r="O1244" s="5">
        <f t="shared" si="159"/>
        <v>1.309369317740483E-2</v>
      </c>
    </row>
    <row r="1245" spans="1:15" s="2" customFormat="1" x14ac:dyDescent="0.5">
      <c r="A1245" s="6">
        <v>42163</v>
      </c>
      <c r="B1245" s="1">
        <v>250.85000600000001</v>
      </c>
      <c r="C1245" s="1">
        <v>258.75</v>
      </c>
      <c r="D1245" s="1">
        <v>250.30999800000001</v>
      </c>
      <c r="E1245" s="1">
        <v>256.290009</v>
      </c>
      <c r="F1245" s="1">
        <v>256.290009</v>
      </c>
      <c r="G1245" s="2">
        <v>5001200</v>
      </c>
      <c r="H1245" s="2">
        <f t="shared" si="152"/>
        <v>2015</v>
      </c>
      <c r="I1245" s="2">
        <f t="shared" si="153"/>
        <v>6</v>
      </c>
      <c r="J1245" s="2">
        <f t="shared" si="154"/>
        <v>8</v>
      </c>
      <c r="K1245" s="2">
        <f t="shared" si="155"/>
        <v>2</v>
      </c>
      <c r="L1245" s="2">
        <f t="shared" si="156"/>
        <v>7</v>
      </c>
      <c r="M1245" s="3">
        <f t="shared" si="157"/>
        <v>249.13999899999999</v>
      </c>
      <c r="N1245" s="1">
        <f t="shared" ca="1" si="158"/>
        <v>249.13999899999999</v>
      </c>
      <c r="O1245" s="5">
        <f t="shared" si="159"/>
        <v>2.8698763862482046E-2</v>
      </c>
    </row>
    <row r="1246" spans="1:15" s="2" customFormat="1" x14ac:dyDescent="0.5">
      <c r="A1246" s="6">
        <v>42164</v>
      </c>
      <c r="B1246" s="1">
        <v>255.39999399999999</v>
      </c>
      <c r="C1246" s="1">
        <v>257.73998999999998</v>
      </c>
      <c r="D1246" s="1">
        <v>254.13999899999999</v>
      </c>
      <c r="E1246" s="1">
        <v>256</v>
      </c>
      <c r="F1246" s="1">
        <v>256</v>
      </c>
      <c r="G1246" s="2">
        <v>2611100</v>
      </c>
      <c r="H1246" s="2">
        <f t="shared" si="152"/>
        <v>2015</v>
      </c>
      <c r="I1246" s="2">
        <f t="shared" si="153"/>
        <v>6</v>
      </c>
      <c r="J1246" s="2">
        <f t="shared" si="154"/>
        <v>9</v>
      </c>
      <c r="K1246" s="2">
        <f t="shared" si="155"/>
        <v>3</v>
      </c>
      <c r="L1246" s="2">
        <f t="shared" si="156"/>
        <v>7</v>
      </c>
      <c r="M1246" s="3">
        <f t="shared" si="157"/>
        <v>256.290009</v>
      </c>
      <c r="N1246" s="1">
        <f t="shared" ca="1" si="158"/>
        <v>256.290009</v>
      </c>
      <c r="O1246" s="5">
        <f t="shared" si="159"/>
        <v>-1.1315657646256971E-3</v>
      </c>
    </row>
    <row r="1247" spans="1:15" s="2" customFormat="1" x14ac:dyDescent="0.5">
      <c r="A1247" s="6">
        <v>42165</v>
      </c>
      <c r="B1247" s="1">
        <v>251.89999399999999</v>
      </c>
      <c r="C1247" s="1">
        <v>254</v>
      </c>
      <c r="D1247" s="1">
        <v>248.5</v>
      </c>
      <c r="E1247" s="1">
        <v>250.699997</v>
      </c>
      <c r="F1247" s="1">
        <v>250.699997</v>
      </c>
      <c r="G1247" s="2">
        <v>3454500</v>
      </c>
      <c r="H1247" s="2">
        <f t="shared" si="152"/>
        <v>2015</v>
      </c>
      <c r="I1247" s="2">
        <f t="shared" si="153"/>
        <v>6</v>
      </c>
      <c r="J1247" s="2">
        <f t="shared" si="154"/>
        <v>10</v>
      </c>
      <c r="K1247" s="2">
        <f t="shared" si="155"/>
        <v>4</v>
      </c>
      <c r="L1247" s="2">
        <f t="shared" si="156"/>
        <v>7</v>
      </c>
      <c r="M1247" s="3">
        <f t="shared" si="157"/>
        <v>256</v>
      </c>
      <c r="N1247" s="1">
        <f t="shared" ca="1" si="158"/>
        <v>256</v>
      </c>
      <c r="O1247" s="5">
        <f t="shared" si="159"/>
        <v>-2.0703136718750015E-2</v>
      </c>
    </row>
    <row r="1248" spans="1:15" s="2" customFormat="1" x14ac:dyDescent="0.5">
      <c r="A1248" s="6">
        <v>42166</v>
      </c>
      <c r="B1248" s="1">
        <v>253.259995</v>
      </c>
      <c r="C1248" s="1">
        <v>254.36999499999999</v>
      </c>
      <c r="D1248" s="1">
        <v>250.429993</v>
      </c>
      <c r="E1248" s="1">
        <v>251.41000399999999</v>
      </c>
      <c r="F1248" s="1">
        <v>251.41000399999999</v>
      </c>
      <c r="G1248" s="2">
        <v>2044100</v>
      </c>
      <c r="H1248" s="2">
        <f t="shared" si="152"/>
        <v>2015</v>
      </c>
      <c r="I1248" s="2">
        <f t="shared" si="153"/>
        <v>6</v>
      </c>
      <c r="J1248" s="2">
        <f t="shared" si="154"/>
        <v>11</v>
      </c>
      <c r="K1248" s="2">
        <f t="shared" si="155"/>
        <v>5</v>
      </c>
      <c r="L1248" s="2">
        <f t="shared" si="156"/>
        <v>7</v>
      </c>
      <c r="M1248" s="3">
        <f t="shared" si="157"/>
        <v>250.699997</v>
      </c>
      <c r="N1248" s="1">
        <f t="shared" ca="1" si="158"/>
        <v>250.699997</v>
      </c>
      <c r="O1248" s="5">
        <f t="shared" si="159"/>
        <v>2.832098159139651E-3</v>
      </c>
    </row>
    <row r="1249" spans="1:15" s="2" customFormat="1" x14ac:dyDescent="0.5">
      <c r="A1249" s="6">
        <v>42167</v>
      </c>
      <c r="B1249" s="1">
        <v>250.21000699999999</v>
      </c>
      <c r="C1249" s="1">
        <v>253.46000699999999</v>
      </c>
      <c r="D1249" s="1">
        <v>250.21000699999999</v>
      </c>
      <c r="E1249" s="1">
        <v>250.69000199999999</v>
      </c>
      <c r="F1249" s="1">
        <v>250.69000199999999</v>
      </c>
      <c r="G1249" s="2">
        <v>1422300</v>
      </c>
      <c r="H1249" s="2">
        <f t="shared" si="152"/>
        <v>2015</v>
      </c>
      <c r="I1249" s="2">
        <f t="shared" si="153"/>
        <v>6</v>
      </c>
      <c r="J1249" s="2">
        <f t="shared" si="154"/>
        <v>12</v>
      </c>
      <c r="K1249" s="2">
        <f t="shared" si="155"/>
        <v>6</v>
      </c>
      <c r="L1249" s="2">
        <f t="shared" si="156"/>
        <v>7</v>
      </c>
      <c r="M1249" s="3">
        <f t="shared" si="157"/>
        <v>251.41000399999999</v>
      </c>
      <c r="N1249" s="1">
        <f t="shared" ca="1" si="158"/>
        <v>251.41000399999999</v>
      </c>
      <c r="O1249" s="5">
        <f t="shared" si="159"/>
        <v>-2.8638558074244314E-3</v>
      </c>
    </row>
    <row r="1250" spans="1:15" s="2" customFormat="1" x14ac:dyDescent="0.5">
      <c r="A1250" s="6">
        <v>42170</v>
      </c>
      <c r="B1250" s="1">
        <v>249.699997</v>
      </c>
      <c r="C1250" s="1">
        <v>251.279999</v>
      </c>
      <c r="D1250" s="1">
        <v>246.009995</v>
      </c>
      <c r="E1250" s="1">
        <v>250.38000500000001</v>
      </c>
      <c r="F1250" s="1">
        <v>250.38000500000001</v>
      </c>
      <c r="G1250" s="2">
        <v>2186200</v>
      </c>
      <c r="H1250" s="2">
        <f t="shared" si="152"/>
        <v>2015</v>
      </c>
      <c r="I1250" s="2">
        <f t="shared" si="153"/>
        <v>6</v>
      </c>
      <c r="J1250" s="2">
        <f t="shared" si="154"/>
        <v>15</v>
      </c>
      <c r="K1250" s="2">
        <f t="shared" si="155"/>
        <v>2</v>
      </c>
      <c r="L1250" s="2">
        <f t="shared" si="156"/>
        <v>7</v>
      </c>
      <c r="M1250" s="3">
        <f t="shared" si="157"/>
        <v>250.69000199999999</v>
      </c>
      <c r="N1250" s="1">
        <f t="shared" ca="1" si="158"/>
        <v>250.69000199999999</v>
      </c>
      <c r="O1250" s="5">
        <f t="shared" si="159"/>
        <v>-1.2365750429886857E-3</v>
      </c>
    </row>
    <row r="1251" spans="1:15" s="2" customFormat="1" x14ac:dyDescent="0.5">
      <c r="A1251" s="6">
        <v>42171</v>
      </c>
      <c r="B1251" s="1">
        <v>250.13000500000001</v>
      </c>
      <c r="C1251" s="1">
        <v>253.44000199999999</v>
      </c>
      <c r="D1251" s="1">
        <v>249.10000600000001</v>
      </c>
      <c r="E1251" s="1">
        <v>253.11999499999999</v>
      </c>
      <c r="F1251" s="1">
        <v>253.11999499999999</v>
      </c>
      <c r="G1251" s="2">
        <v>1984700</v>
      </c>
      <c r="H1251" s="2">
        <f t="shared" si="152"/>
        <v>2015</v>
      </c>
      <c r="I1251" s="2">
        <f t="shared" si="153"/>
        <v>6</v>
      </c>
      <c r="J1251" s="2">
        <f t="shared" si="154"/>
        <v>16</v>
      </c>
      <c r="K1251" s="2">
        <f t="shared" si="155"/>
        <v>3</v>
      </c>
      <c r="L1251" s="2">
        <f t="shared" si="156"/>
        <v>7</v>
      </c>
      <c r="M1251" s="3">
        <f t="shared" si="157"/>
        <v>250.38000500000001</v>
      </c>
      <c r="N1251" s="1">
        <f t="shared" ca="1" si="158"/>
        <v>250.38000500000001</v>
      </c>
      <c r="O1251" s="5">
        <f t="shared" si="159"/>
        <v>1.0943325925726333E-2</v>
      </c>
    </row>
    <row r="1252" spans="1:15" s="2" customFormat="1" x14ac:dyDescent="0.5">
      <c r="A1252" s="6">
        <v>42172</v>
      </c>
      <c r="B1252" s="1">
        <v>252.16999799999999</v>
      </c>
      <c r="C1252" s="1">
        <v>264.35998499999999</v>
      </c>
      <c r="D1252" s="1">
        <v>252.020004</v>
      </c>
      <c r="E1252" s="1">
        <v>260.41000400000001</v>
      </c>
      <c r="F1252" s="1">
        <v>260.41000400000001</v>
      </c>
      <c r="G1252" s="2">
        <v>5512900</v>
      </c>
      <c r="H1252" s="2">
        <f t="shared" si="152"/>
        <v>2015</v>
      </c>
      <c r="I1252" s="2">
        <f t="shared" si="153"/>
        <v>6</v>
      </c>
      <c r="J1252" s="2">
        <f t="shared" si="154"/>
        <v>17</v>
      </c>
      <c r="K1252" s="2">
        <f t="shared" si="155"/>
        <v>4</v>
      </c>
      <c r="L1252" s="2">
        <f t="shared" si="156"/>
        <v>7</v>
      </c>
      <c r="M1252" s="3">
        <f t="shared" si="157"/>
        <v>253.11999499999999</v>
      </c>
      <c r="N1252" s="1">
        <f t="shared" ca="1" si="158"/>
        <v>253.11999499999999</v>
      </c>
      <c r="O1252" s="5">
        <f t="shared" si="159"/>
        <v>2.8800605025296466E-2</v>
      </c>
    </row>
    <row r="1253" spans="1:15" s="2" customFormat="1" x14ac:dyDescent="0.5">
      <c r="A1253" s="6">
        <v>42173</v>
      </c>
      <c r="B1253" s="1">
        <v>262</v>
      </c>
      <c r="C1253" s="1">
        <v>263.459991</v>
      </c>
      <c r="D1253" s="1">
        <v>260.01998900000001</v>
      </c>
      <c r="E1253" s="1">
        <v>261.89001500000001</v>
      </c>
      <c r="F1253" s="1">
        <v>261.89001500000001</v>
      </c>
      <c r="G1253" s="2">
        <v>2782700</v>
      </c>
      <c r="H1253" s="2">
        <f t="shared" si="152"/>
        <v>2015</v>
      </c>
      <c r="I1253" s="2">
        <f t="shared" si="153"/>
        <v>6</v>
      </c>
      <c r="J1253" s="2">
        <f t="shared" si="154"/>
        <v>18</v>
      </c>
      <c r="K1253" s="2">
        <f t="shared" si="155"/>
        <v>5</v>
      </c>
      <c r="L1253" s="2">
        <f t="shared" si="156"/>
        <v>7</v>
      </c>
      <c r="M1253" s="3">
        <f t="shared" si="157"/>
        <v>260.41000400000001</v>
      </c>
      <c r="N1253" s="1">
        <f t="shared" ca="1" si="158"/>
        <v>260.41000400000001</v>
      </c>
      <c r="O1253" s="5">
        <f t="shared" si="159"/>
        <v>5.6833876474269296E-3</v>
      </c>
    </row>
    <row r="1254" spans="1:15" s="2" customFormat="1" x14ac:dyDescent="0.5">
      <c r="A1254" s="6">
        <v>42174</v>
      </c>
      <c r="B1254" s="1">
        <v>262.39999399999999</v>
      </c>
      <c r="C1254" s="1">
        <v>263.79998799999998</v>
      </c>
      <c r="D1254" s="1">
        <v>260.10000600000001</v>
      </c>
      <c r="E1254" s="1">
        <v>262.51001000000002</v>
      </c>
      <c r="F1254" s="1">
        <v>262.51001000000002</v>
      </c>
      <c r="G1254" s="2">
        <v>2463000</v>
      </c>
      <c r="H1254" s="2">
        <f t="shared" si="152"/>
        <v>2015</v>
      </c>
      <c r="I1254" s="2">
        <f t="shared" si="153"/>
        <v>6</v>
      </c>
      <c r="J1254" s="2">
        <f t="shared" si="154"/>
        <v>19</v>
      </c>
      <c r="K1254" s="2">
        <f t="shared" si="155"/>
        <v>6</v>
      </c>
      <c r="L1254" s="2">
        <f t="shared" si="156"/>
        <v>7</v>
      </c>
      <c r="M1254" s="3">
        <f t="shared" si="157"/>
        <v>261.89001500000001</v>
      </c>
      <c r="N1254" s="1">
        <f t="shared" ca="1" si="158"/>
        <v>261.89001500000001</v>
      </c>
      <c r="O1254" s="5">
        <f t="shared" si="159"/>
        <v>2.3673869353133536E-3</v>
      </c>
    </row>
    <row r="1255" spans="1:15" s="2" customFormat="1" x14ac:dyDescent="0.5">
      <c r="A1255" s="6">
        <v>42177</v>
      </c>
      <c r="B1255" s="1">
        <v>262.14999399999999</v>
      </c>
      <c r="C1255" s="1">
        <v>264.39999399999999</v>
      </c>
      <c r="D1255" s="1">
        <v>255.69000199999999</v>
      </c>
      <c r="E1255" s="1">
        <v>259.790009</v>
      </c>
      <c r="F1255" s="1">
        <v>259.790009</v>
      </c>
      <c r="G1255" s="2">
        <v>4561100</v>
      </c>
      <c r="H1255" s="2">
        <f t="shared" si="152"/>
        <v>2015</v>
      </c>
      <c r="I1255" s="2">
        <f t="shared" si="153"/>
        <v>6</v>
      </c>
      <c r="J1255" s="2">
        <f t="shared" si="154"/>
        <v>22</v>
      </c>
      <c r="K1255" s="2">
        <f t="shared" si="155"/>
        <v>2</v>
      </c>
      <c r="L1255" s="2">
        <f t="shared" si="156"/>
        <v>7</v>
      </c>
      <c r="M1255" s="3">
        <f t="shared" si="157"/>
        <v>262.51001000000002</v>
      </c>
      <c r="N1255" s="1">
        <f t="shared" ca="1" si="158"/>
        <v>262.51001000000002</v>
      </c>
      <c r="O1255" s="5">
        <f t="shared" si="159"/>
        <v>-1.0361513452382343E-2</v>
      </c>
    </row>
    <row r="1256" spans="1:15" s="2" customFormat="1" x14ac:dyDescent="0.5">
      <c r="A1256" s="6">
        <v>42178</v>
      </c>
      <c r="B1256" s="1">
        <v>260.32000699999998</v>
      </c>
      <c r="C1256" s="1">
        <v>268</v>
      </c>
      <c r="D1256" s="1">
        <v>258.57000699999998</v>
      </c>
      <c r="E1256" s="1">
        <v>267.67001299999998</v>
      </c>
      <c r="F1256" s="1">
        <v>267.67001299999998</v>
      </c>
      <c r="G1256" s="2">
        <v>3870800</v>
      </c>
      <c r="H1256" s="2">
        <f t="shared" si="152"/>
        <v>2015</v>
      </c>
      <c r="I1256" s="2">
        <f t="shared" si="153"/>
        <v>6</v>
      </c>
      <c r="J1256" s="2">
        <f t="shared" si="154"/>
        <v>23</v>
      </c>
      <c r="K1256" s="2">
        <f t="shared" si="155"/>
        <v>3</v>
      </c>
      <c r="L1256" s="2">
        <f t="shared" si="156"/>
        <v>7</v>
      </c>
      <c r="M1256" s="3">
        <f t="shared" si="157"/>
        <v>259.790009</v>
      </c>
      <c r="N1256" s="1">
        <f t="shared" ca="1" si="158"/>
        <v>259.790009</v>
      </c>
      <c r="O1256" s="5">
        <f t="shared" si="159"/>
        <v>3.0332205731591344E-2</v>
      </c>
    </row>
    <row r="1257" spans="1:15" s="2" customFormat="1" x14ac:dyDescent="0.5">
      <c r="A1257" s="6">
        <v>42179</v>
      </c>
      <c r="B1257" s="1">
        <v>266.98001099999999</v>
      </c>
      <c r="C1257" s="1">
        <v>267.35000600000001</v>
      </c>
      <c r="D1257" s="1">
        <v>263.72000100000002</v>
      </c>
      <c r="E1257" s="1">
        <v>265.17001299999998</v>
      </c>
      <c r="F1257" s="1">
        <v>265.17001299999998</v>
      </c>
      <c r="G1257" s="2">
        <v>2412300</v>
      </c>
      <c r="H1257" s="2">
        <f t="shared" si="152"/>
        <v>2015</v>
      </c>
      <c r="I1257" s="2">
        <f t="shared" si="153"/>
        <v>6</v>
      </c>
      <c r="J1257" s="2">
        <f t="shared" si="154"/>
        <v>24</v>
      </c>
      <c r="K1257" s="2">
        <f t="shared" si="155"/>
        <v>4</v>
      </c>
      <c r="L1257" s="2">
        <f t="shared" si="156"/>
        <v>7</v>
      </c>
      <c r="M1257" s="3">
        <f t="shared" si="157"/>
        <v>267.67001299999998</v>
      </c>
      <c r="N1257" s="1">
        <f t="shared" ca="1" si="158"/>
        <v>267.67001299999998</v>
      </c>
      <c r="O1257" s="5">
        <f t="shared" si="159"/>
        <v>-9.3398583277238822E-3</v>
      </c>
    </row>
    <row r="1258" spans="1:15" s="2" customFormat="1" x14ac:dyDescent="0.5">
      <c r="A1258" s="6">
        <v>42180</v>
      </c>
      <c r="B1258" s="1">
        <v>266.45001200000002</v>
      </c>
      <c r="C1258" s="1">
        <v>271.41000400000001</v>
      </c>
      <c r="D1258" s="1">
        <v>265.25</v>
      </c>
      <c r="E1258" s="1">
        <v>268.790009</v>
      </c>
      <c r="F1258" s="1">
        <v>268.790009</v>
      </c>
      <c r="G1258" s="2">
        <v>2849200</v>
      </c>
      <c r="H1258" s="2">
        <f t="shared" si="152"/>
        <v>2015</v>
      </c>
      <c r="I1258" s="2">
        <f t="shared" si="153"/>
        <v>6</v>
      </c>
      <c r="J1258" s="2">
        <f t="shared" si="154"/>
        <v>25</v>
      </c>
      <c r="K1258" s="2">
        <f t="shared" si="155"/>
        <v>5</v>
      </c>
      <c r="L1258" s="2">
        <f t="shared" si="156"/>
        <v>7</v>
      </c>
      <c r="M1258" s="3">
        <f t="shared" si="157"/>
        <v>265.17001299999998</v>
      </c>
      <c r="N1258" s="1">
        <f t="shared" ca="1" si="158"/>
        <v>265.17001299999998</v>
      </c>
      <c r="O1258" s="5">
        <f t="shared" si="159"/>
        <v>1.3651603961719605E-2</v>
      </c>
    </row>
    <row r="1259" spans="1:15" s="2" customFormat="1" x14ac:dyDescent="0.5">
      <c r="A1259" s="6">
        <v>42181</v>
      </c>
      <c r="B1259" s="1">
        <v>268.89001500000001</v>
      </c>
      <c r="C1259" s="1">
        <v>269.10998499999999</v>
      </c>
      <c r="D1259" s="1">
        <v>266</v>
      </c>
      <c r="E1259" s="1">
        <v>267.08999599999999</v>
      </c>
      <c r="F1259" s="1">
        <v>267.08999599999999</v>
      </c>
      <c r="G1259" s="2">
        <v>3838400</v>
      </c>
      <c r="H1259" s="2">
        <f t="shared" si="152"/>
        <v>2015</v>
      </c>
      <c r="I1259" s="2">
        <f t="shared" si="153"/>
        <v>6</v>
      </c>
      <c r="J1259" s="2">
        <f t="shared" si="154"/>
        <v>26</v>
      </c>
      <c r="K1259" s="2">
        <f t="shared" si="155"/>
        <v>6</v>
      </c>
      <c r="L1259" s="2">
        <f t="shared" si="156"/>
        <v>7</v>
      </c>
      <c r="M1259" s="3">
        <f t="shared" si="157"/>
        <v>268.790009</v>
      </c>
      <c r="N1259" s="1">
        <f t="shared" ca="1" si="158"/>
        <v>268.790009</v>
      </c>
      <c r="O1259" s="5">
        <f t="shared" si="159"/>
        <v>-6.3246882066959609E-3</v>
      </c>
    </row>
    <row r="1260" spans="1:15" s="2" customFormat="1" x14ac:dyDescent="0.5">
      <c r="A1260" s="6">
        <v>42184</v>
      </c>
      <c r="B1260" s="1">
        <v>261.95001200000002</v>
      </c>
      <c r="C1260" s="1">
        <v>265.95001200000002</v>
      </c>
      <c r="D1260" s="1">
        <v>260.70001200000002</v>
      </c>
      <c r="E1260" s="1">
        <v>262.01998900000001</v>
      </c>
      <c r="F1260" s="1">
        <v>262.01998900000001</v>
      </c>
      <c r="G1260" s="2">
        <v>3478900</v>
      </c>
      <c r="H1260" s="2">
        <f t="shared" si="152"/>
        <v>2015</v>
      </c>
      <c r="I1260" s="2">
        <f t="shared" si="153"/>
        <v>6</v>
      </c>
      <c r="J1260" s="2">
        <f t="shared" si="154"/>
        <v>29</v>
      </c>
      <c r="K1260" s="2">
        <f t="shared" si="155"/>
        <v>2</v>
      </c>
      <c r="L1260" s="2">
        <f t="shared" si="156"/>
        <v>7</v>
      </c>
      <c r="M1260" s="3">
        <f t="shared" si="157"/>
        <v>267.08999599999999</v>
      </c>
      <c r="N1260" s="1">
        <f t="shared" ca="1" si="158"/>
        <v>267.08999599999999</v>
      </c>
      <c r="O1260" s="5">
        <f t="shared" si="159"/>
        <v>-1.898239198745566E-2</v>
      </c>
    </row>
    <row r="1261" spans="1:15" s="2" customFormat="1" x14ac:dyDescent="0.5">
      <c r="A1261" s="6">
        <v>42185</v>
      </c>
      <c r="B1261" s="1">
        <v>264.79998799999998</v>
      </c>
      <c r="C1261" s="1">
        <v>270.92001299999998</v>
      </c>
      <c r="D1261" s="1">
        <v>264</v>
      </c>
      <c r="E1261" s="1">
        <v>268.26001000000002</v>
      </c>
      <c r="F1261" s="1">
        <v>268.26001000000002</v>
      </c>
      <c r="G1261" s="2">
        <v>3086900</v>
      </c>
      <c r="H1261" s="2">
        <f t="shared" si="152"/>
        <v>2015</v>
      </c>
      <c r="I1261" s="2">
        <f t="shared" si="153"/>
        <v>6</v>
      </c>
      <c r="J1261" s="2">
        <f t="shared" si="154"/>
        <v>30</v>
      </c>
      <c r="K1261" s="2">
        <f t="shared" si="155"/>
        <v>3</v>
      </c>
      <c r="L1261" s="2">
        <f t="shared" si="156"/>
        <v>7</v>
      </c>
      <c r="M1261" s="3">
        <f t="shared" si="157"/>
        <v>262.01998900000001</v>
      </c>
      <c r="N1261" s="1">
        <f t="shared" ca="1" si="158"/>
        <v>262.01998900000001</v>
      </c>
      <c r="O1261" s="5">
        <f t="shared" si="159"/>
        <v>2.3815057102380077E-2</v>
      </c>
    </row>
    <row r="1262" spans="1:15" s="2" customFormat="1" x14ac:dyDescent="0.5">
      <c r="A1262" s="6">
        <v>42186</v>
      </c>
      <c r="B1262" s="1">
        <v>271.10998499999999</v>
      </c>
      <c r="C1262" s="1">
        <v>272.61999500000002</v>
      </c>
      <c r="D1262" s="1">
        <v>267.85000600000001</v>
      </c>
      <c r="E1262" s="1">
        <v>269.14999399999999</v>
      </c>
      <c r="F1262" s="1">
        <v>269.14999399999999</v>
      </c>
      <c r="G1262" s="2">
        <v>2101200</v>
      </c>
      <c r="H1262" s="2">
        <f t="shared" si="152"/>
        <v>2015</v>
      </c>
      <c r="I1262" s="2">
        <f t="shared" si="153"/>
        <v>7</v>
      </c>
      <c r="J1262" s="2">
        <f t="shared" si="154"/>
        <v>1</v>
      </c>
      <c r="K1262" s="2">
        <f t="shared" si="155"/>
        <v>4</v>
      </c>
      <c r="L1262" s="2">
        <f t="shared" si="156"/>
        <v>8</v>
      </c>
      <c r="M1262" s="3">
        <f t="shared" si="157"/>
        <v>268.26001000000002</v>
      </c>
      <c r="N1262" s="1">
        <f t="shared" ca="1" si="158"/>
        <v>268.26001000000002</v>
      </c>
      <c r="O1262" s="5">
        <f t="shared" si="159"/>
        <v>3.3176171133371124E-3</v>
      </c>
    </row>
    <row r="1263" spans="1:15" s="2" customFormat="1" x14ac:dyDescent="0.5">
      <c r="A1263" s="6">
        <v>42187</v>
      </c>
      <c r="B1263" s="1">
        <v>280.20001200000002</v>
      </c>
      <c r="C1263" s="1">
        <v>282.45001200000002</v>
      </c>
      <c r="D1263" s="1">
        <v>273.30999800000001</v>
      </c>
      <c r="E1263" s="1">
        <v>280.01998900000001</v>
      </c>
      <c r="F1263" s="1">
        <v>280.01998900000001</v>
      </c>
      <c r="G1263" s="2">
        <v>7163900</v>
      </c>
      <c r="H1263" s="2">
        <f t="shared" si="152"/>
        <v>2015</v>
      </c>
      <c r="I1263" s="2">
        <f t="shared" si="153"/>
        <v>7</v>
      </c>
      <c r="J1263" s="2">
        <f t="shared" si="154"/>
        <v>2</v>
      </c>
      <c r="K1263" s="2">
        <f t="shared" si="155"/>
        <v>5</v>
      </c>
      <c r="L1263" s="2">
        <f t="shared" si="156"/>
        <v>8</v>
      </c>
      <c r="M1263" s="3">
        <f t="shared" si="157"/>
        <v>269.14999399999999</v>
      </c>
      <c r="N1263" s="1">
        <f t="shared" ca="1" si="158"/>
        <v>269.14999399999999</v>
      </c>
      <c r="O1263" s="5">
        <f t="shared" si="159"/>
        <v>4.0386383958084027E-2</v>
      </c>
    </row>
    <row r="1264" spans="1:15" s="2" customFormat="1" x14ac:dyDescent="0.5">
      <c r="A1264" s="6">
        <v>42191</v>
      </c>
      <c r="B1264" s="1">
        <v>278.88000499999998</v>
      </c>
      <c r="C1264" s="1">
        <v>281.69000199999999</v>
      </c>
      <c r="D1264" s="1">
        <v>276.29998799999998</v>
      </c>
      <c r="E1264" s="1">
        <v>279.72000100000002</v>
      </c>
      <c r="F1264" s="1">
        <v>279.72000100000002</v>
      </c>
      <c r="G1264" s="2">
        <v>4121900</v>
      </c>
      <c r="H1264" s="2">
        <f t="shared" si="152"/>
        <v>2015</v>
      </c>
      <c r="I1264" s="2">
        <f t="shared" si="153"/>
        <v>7</v>
      </c>
      <c r="J1264" s="2">
        <f t="shared" si="154"/>
        <v>6</v>
      </c>
      <c r="K1264" s="2">
        <f t="shared" si="155"/>
        <v>2</v>
      </c>
      <c r="L1264" s="2">
        <f t="shared" si="156"/>
        <v>8</v>
      </c>
      <c r="M1264" s="3">
        <f t="shared" si="157"/>
        <v>280.01998900000001</v>
      </c>
      <c r="N1264" s="1">
        <f t="shared" ca="1" si="158"/>
        <v>280.01998900000001</v>
      </c>
      <c r="O1264" s="5">
        <f t="shared" si="159"/>
        <v>-1.0713092342846675E-3</v>
      </c>
    </row>
    <row r="1265" spans="1:15" s="2" customFormat="1" x14ac:dyDescent="0.5">
      <c r="A1265" s="6">
        <v>42192</v>
      </c>
      <c r="B1265" s="1">
        <v>275</v>
      </c>
      <c r="C1265" s="1">
        <v>275.20001200000002</v>
      </c>
      <c r="D1265" s="1">
        <v>260.76998900000001</v>
      </c>
      <c r="E1265" s="1">
        <v>267.88000499999998</v>
      </c>
      <c r="F1265" s="1">
        <v>267.88000499999998</v>
      </c>
      <c r="G1265" s="2">
        <v>6105100</v>
      </c>
      <c r="H1265" s="2">
        <f t="shared" si="152"/>
        <v>2015</v>
      </c>
      <c r="I1265" s="2">
        <f t="shared" si="153"/>
        <v>7</v>
      </c>
      <c r="J1265" s="2">
        <f t="shared" si="154"/>
        <v>7</v>
      </c>
      <c r="K1265" s="2">
        <f t="shared" si="155"/>
        <v>3</v>
      </c>
      <c r="L1265" s="2">
        <f t="shared" si="156"/>
        <v>8</v>
      </c>
      <c r="M1265" s="3">
        <f t="shared" si="157"/>
        <v>279.72000100000002</v>
      </c>
      <c r="N1265" s="1">
        <f t="shared" ca="1" si="158"/>
        <v>279.72000100000002</v>
      </c>
      <c r="O1265" s="5">
        <f t="shared" si="159"/>
        <v>-4.232802787670531E-2</v>
      </c>
    </row>
    <row r="1266" spans="1:15" s="2" customFormat="1" x14ac:dyDescent="0.5">
      <c r="A1266" s="6">
        <v>42193</v>
      </c>
      <c r="B1266" s="1">
        <v>259.32000699999998</v>
      </c>
      <c r="C1266" s="1">
        <v>260.79998799999998</v>
      </c>
      <c r="D1266" s="1">
        <v>254.30999800000001</v>
      </c>
      <c r="E1266" s="1">
        <v>254.96000699999999</v>
      </c>
      <c r="F1266" s="1">
        <v>254.96000699999999</v>
      </c>
      <c r="G1266" s="2">
        <v>6221100</v>
      </c>
      <c r="H1266" s="2">
        <f t="shared" si="152"/>
        <v>2015</v>
      </c>
      <c r="I1266" s="2">
        <f t="shared" si="153"/>
        <v>7</v>
      </c>
      <c r="J1266" s="2">
        <f t="shared" si="154"/>
        <v>8</v>
      </c>
      <c r="K1266" s="2">
        <f t="shared" si="155"/>
        <v>4</v>
      </c>
      <c r="L1266" s="2">
        <f t="shared" si="156"/>
        <v>8</v>
      </c>
      <c r="M1266" s="3">
        <f t="shared" si="157"/>
        <v>267.88000499999998</v>
      </c>
      <c r="N1266" s="1">
        <f t="shared" ca="1" si="158"/>
        <v>267.88000499999998</v>
      </c>
      <c r="O1266" s="5">
        <f t="shared" si="159"/>
        <v>-4.8230542626725659E-2</v>
      </c>
    </row>
    <row r="1267" spans="1:15" s="2" customFormat="1" x14ac:dyDescent="0.5">
      <c r="A1267" s="6">
        <v>42194</v>
      </c>
      <c r="B1267" s="1">
        <v>259.07998700000002</v>
      </c>
      <c r="C1267" s="1">
        <v>262.95001200000002</v>
      </c>
      <c r="D1267" s="1">
        <v>256.790009</v>
      </c>
      <c r="E1267" s="1">
        <v>257.92001299999998</v>
      </c>
      <c r="F1267" s="1">
        <v>257.92001299999998</v>
      </c>
      <c r="G1267" s="2">
        <v>3334100</v>
      </c>
      <c r="H1267" s="2">
        <f t="shared" si="152"/>
        <v>2015</v>
      </c>
      <c r="I1267" s="2">
        <f t="shared" si="153"/>
        <v>7</v>
      </c>
      <c r="J1267" s="2">
        <f t="shared" si="154"/>
        <v>9</v>
      </c>
      <c r="K1267" s="2">
        <f t="shared" si="155"/>
        <v>5</v>
      </c>
      <c r="L1267" s="2">
        <f t="shared" si="156"/>
        <v>8</v>
      </c>
      <c r="M1267" s="3">
        <f t="shared" si="157"/>
        <v>254.96000699999999</v>
      </c>
      <c r="N1267" s="1">
        <f t="shared" ca="1" si="158"/>
        <v>254.96000699999999</v>
      </c>
      <c r="O1267" s="5">
        <f t="shared" si="159"/>
        <v>1.1609687475416353E-2</v>
      </c>
    </row>
    <row r="1268" spans="1:15" s="2" customFormat="1" x14ac:dyDescent="0.5">
      <c r="A1268" s="6">
        <v>42195</v>
      </c>
      <c r="B1268" s="1">
        <v>262.22000100000002</v>
      </c>
      <c r="C1268" s="1">
        <v>263</v>
      </c>
      <c r="D1268" s="1">
        <v>257.82000699999998</v>
      </c>
      <c r="E1268" s="1">
        <v>259.14999399999999</v>
      </c>
      <c r="F1268" s="1">
        <v>259.14999399999999</v>
      </c>
      <c r="G1268" s="2">
        <v>2610900</v>
      </c>
      <c r="H1268" s="2">
        <f t="shared" si="152"/>
        <v>2015</v>
      </c>
      <c r="I1268" s="2">
        <f t="shared" si="153"/>
        <v>7</v>
      </c>
      <c r="J1268" s="2">
        <f t="shared" si="154"/>
        <v>10</v>
      </c>
      <c r="K1268" s="2">
        <f t="shared" si="155"/>
        <v>6</v>
      </c>
      <c r="L1268" s="2">
        <f t="shared" si="156"/>
        <v>8</v>
      </c>
      <c r="M1268" s="3">
        <f t="shared" si="157"/>
        <v>257.92001299999998</v>
      </c>
      <c r="N1268" s="1">
        <f t="shared" ca="1" si="158"/>
        <v>257.92001299999998</v>
      </c>
      <c r="O1268" s="5">
        <f t="shared" si="159"/>
        <v>4.7688466889150849E-3</v>
      </c>
    </row>
    <row r="1269" spans="1:15" s="2" customFormat="1" x14ac:dyDescent="0.5">
      <c r="A1269" s="6">
        <v>42198</v>
      </c>
      <c r="B1269" s="1">
        <v>262.25</v>
      </c>
      <c r="C1269" s="1">
        <v>262.54998799999998</v>
      </c>
      <c r="D1269" s="1">
        <v>256.04998799999998</v>
      </c>
      <c r="E1269" s="1">
        <v>262.16000400000001</v>
      </c>
      <c r="F1269" s="1">
        <v>262.16000400000001</v>
      </c>
      <c r="G1269" s="2">
        <v>2960300</v>
      </c>
      <c r="H1269" s="2">
        <f t="shared" si="152"/>
        <v>2015</v>
      </c>
      <c r="I1269" s="2">
        <f t="shared" si="153"/>
        <v>7</v>
      </c>
      <c r="J1269" s="2">
        <f t="shared" si="154"/>
        <v>13</v>
      </c>
      <c r="K1269" s="2">
        <f t="shared" si="155"/>
        <v>2</v>
      </c>
      <c r="L1269" s="2">
        <f t="shared" si="156"/>
        <v>8</v>
      </c>
      <c r="M1269" s="3">
        <f t="shared" si="157"/>
        <v>259.14999399999999</v>
      </c>
      <c r="N1269" s="1">
        <f t="shared" ca="1" si="158"/>
        <v>259.14999399999999</v>
      </c>
      <c r="O1269" s="5">
        <f t="shared" si="159"/>
        <v>1.1614933705150099E-2</v>
      </c>
    </row>
    <row r="1270" spans="1:15" s="2" customFormat="1" x14ac:dyDescent="0.5">
      <c r="A1270" s="6">
        <v>42199</v>
      </c>
      <c r="B1270" s="1">
        <v>262.10000600000001</v>
      </c>
      <c r="C1270" s="1">
        <v>265.98998999999998</v>
      </c>
      <c r="D1270" s="1">
        <v>260.51001000000002</v>
      </c>
      <c r="E1270" s="1">
        <v>265.64999399999999</v>
      </c>
      <c r="F1270" s="1">
        <v>265.64999399999999</v>
      </c>
      <c r="G1270" s="2">
        <v>1907600</v>
      </c>
      <c r="H1270" s="2">
        <f t="shared" si="152"/>
        <v>2015</v>
      </c>
      <c r="I1270" s="2">
        <f t="shared" si="153"/>
        <v>7</v>
      </c>
      <c r="J1270" s="2">
        <f t="shared" si="154"/>
        <v>14</v>
      </c>
      <c r="K1270" s="2">
        <f t="shared" si="155"/>
        <v>3</v>
      </c>
      <c r="L1270" s="2">
        <f t="shared" si="156"/>
        <v>8</v>
      </c>
      <c r="M1270" s="3">
        <f t="shared" si="157"/>
        <v>262.16000400000001</v>
      </c>
      <c r="N1270" s="1">
        <f t="shared" ca="1" si="158"/>
        <v>262.16000400000001</v>
      </c>
      <c r="O1270" s="5">
        <f t="shared" si="159"/>
        <v>1.3312442579913819E-2</v>
      </c>
    </row>
    <row r="1271" spans="1:15" s="2" customFormat="1" x14ac:dyDescent="0.5">
      <c r="A1271" s="6">
        <v>42200</v>
      </c>
      <c r="B1271" s="1">
        <v>266.73998999999998</v>
      </c>
      <c r="C1271" s="1">
        <v>267.48998999999998</v>
      </c>
      <c r="D1271" s="1">
        <v>262.07998700000002</v>
      </c>
      <c r="E1271" s="1">
        <v>263.14001500000001</v>
      </c>
      <c r="F1271" s="1">
        <v>263.14001500000001</v>
      </c>
      <c r="G1271" s="2">
        <v>2021600</v>
      </c>
      <c r="H1271" s="2">
        <f t="shared" si="152"/>
        <v>2015</v>
      </c>
      <c r="I1271" s="2">
        <f t="shared" si="153"/>
        <v>7</v>
      </c>
      <c r="J1271" s="2">
        <f t="shared" si="154"/>
        <v>15</v>
      </c>
      <c r="K1271" s="2">
        <f t="shared" si="155"/>
        <v>4</v>
      </c>
      <c r="L1271" s="2">
        <f t="shared" si="156"/>
        <v>8</v>
      </c>
      <c r="M1271" s="3">
        <f t="shared" si="157"/>
        <v>265.64999399999999</v>
      </c>
      <c r="N1271" s="1">
        <f t="shared" ca="1" si="158"/>
        <v>265.64999399999999</v>
      </c>
      <c r="O1271" s="5">
        <f t="shared" si="159"/>
        <v>-9.4484436540208661E-3</v>
      </c>
    </row>
    <row r="1272" spans="1:15" s="2" customFormat="1" x14ac:dyDescent="0.5">
      <c r="A1272" s="6">
        <v>42201</v>
      </c>
      <c r="B1272" s="1">
        <v>264.22000100000002</v>
      </c>
      <c r="C1272" s="1">
        <v>267.20001200000002</v>
      </c>
      <c r="D1272" s="1">
        <v>263.16000400000001</v>
      </c>
      <c r="E1272" s="1">
        <v>266.67999300000002</v>
      </c>
      <c r="F1272" s="1">
        <v>266.67999300000002</v>
      </c>
      <c r="G1272" s="2">
        <v>1616000</v>
      </c>
      <c r="H1272" s="2">
        <f t="shared" si="152"/>
        <v>2015</v>
      </c>
      <c r="I1272" s="2">
        <f t="shared" si="153"/>
        <v>7</v>
      </c>
      <c r="J1272" s="2">
        <f t="shared" si="154"/>
        <v>16</v>
      </c>
      <c r="K1272" s="2">
        <f t="shared" si="155"/>
        <v>5</v>
      </c>
      <c r="L1272" s="2">
        <f t="shared" si="156"/>
        <v>8</v>
      </c>
      <c r="M1272" s="3">
        <f t="shared" si="157"/>
        <v>263.14001500000001</v>
      </c>
      <c r="N1272" s="1">
        <f t="shared" ca="1" si="158"/>
        <v>263.14001500000001</v>
      </c>
      <c r="O1272" s="5">
        <f t="shared" si="159"/>
        <v>1.3452830425657591E-2</v>
      </c>
    </row>
    <row r="1273" spans="1:15" s="2" customFormat="1" x14ac:dyDescent="0.5">
      <c r="A1273" s="6">
        <v>42202</v>
      </c>
      <c r="B1273" s="1">
        <v>272.5</v>
      </c>
      <c r="C1273" s="1">
        <v>275.540009</v>
      </c>
      <c r="D1273" s="1">
        <v>268.25</v>
      </c>
      <c r="E1273" s="1">
        <v>274.66000400000001</v>
      </c>
      <c r="F1273" s="1">
        <v>274.66000400000001</v>
      </c>
      <c r="G1273" s="2">
        <v>5004100</v>
      </c>
      <c r="H1273" s="2">
        <f t="shared" si="152"/>
        <v>2015</v>
      </c>
      <c r="I1273" s="2">
        <f t="shared" si="153"/>
        <v>7</v>
      </c>
      <c r="J1273" s="2">
        <f t="shared" si="154"/>
        <v>17</v>
      </c>
      <c r="K1273" s="2">
        <f t="shared" si="155"/>
        <v>6</v>
      </c>
      <c r="L1273" s="2">
        <f t="shared" si="156"/>
        <v>8</v>
      </c>
      <c r="M1273" s="3">
        <f t="shared" si="157"/>
        <v>266.67999300000002</v>
      </c>
      <c r="N1273" s="1">
        <f t="shared" ca="1" si="158"/>
        <v>266.67999300000002</v>
      </c>
      <c r="O1273" s="5">
        <f t="shared" si="159"/>
        <v>2.9923545858200118E-2</v>
      </c>
    </row>
    <row r="1274" spans="1:15" s="2" customFormat="1" x14ac:dyDescent="0.5">
      <c r="A1274" s="6">
        <v>42205</v>
      </c>
      <c r="B1274" s="1">
        <v>275</v>
      </c>
      <c r="C1274" s="1">
        <v>286.64999399999999</v>
      </c>
      <c r="D1274" s="1">
        <v>272.540009</v>
      </c>
      <c r="E1274" s="1">
        <v>282.26001000000002</v>
      </c>
      <c r="F1274" s="1">
        <v>282.26001000000002</v>
      </c>
      <c r="G1274" s="2">
        <v>4978500</v>
      </c>
      <c r="H1274" s="2">
        <f t="shared" si="152"/>
        <v>2015</v>
      </c>
      <c r="I1274" s="2">
        <f t="shared" si="153"/>
        <v>7</v>
      </c>
      <c r="J1274" s="2">
        <f t="shared" si="154"/>
        <v>20</v>
      </c>
      <c r="K1274" s="2">
        <f t="shared" si="155"/>
        <v>2</v>
      </c>
      <c r="L1274" s="2">
        <f t="shared" si="156"/>
        <v>8</v>
      </c>
      <c r="M1274" s="3">
        <f t="shared" si="157"/>
        <v>274.66000400000001</v>
      </c>
      <c r="N1274" s="1">
        <f t="shared" ca="1" si="158"/>
        <v>274.66000400000001</v>
      </c>
      <c r="O1274" s="5">
        <f t="shared" si="159"/>
        <v>2.7670595970718859E-2</v>
      </c>
    </row>
    <row r="1275" spans="1:15" s="2" customFormat="1" x14ac:dyDescent="0.5">
      <c r="A1275" s="6">
        <v>42206</v>
      </c>
      <c r="B1275" s="1">
        <v>270.04998799999998</v>
      </c>
      <c r="C1275" s="1">
        <v>273.5</v>
      </c>
      <c r="D1275" s="1">
        <v>266.54998799999998</v>
      </c>
      <c r="E1275" s="1">
        <v>266.76998900000001</v>
      </c>
      <c r="F1275" s="1">
        <v>266.76998900000001</v>
      </c>
      <c r="G1275" s="2">
        <v>6108700</v>
      </c>
      <c r="H1275" s="2">
        <f t="shared" si="152"/>
        <v>2015</v>
      </c>
      <c r="I1275" s="2">
        <f t="shared" si="153"/>
        <v>7</v>
      </c>
      <c r="J1275" s="2">
        <f t="shared" si="154"/>
        <v>21</v>
      </c>
      <c r="K1275" s="2">
        <f t="shared" si="155"/>
        <v>3</v>
      </c>
      <c r="L1275" s="2">
        <f t="shared" si="156"/>
        <v>8</v>
      </c>
      <c r="M1275" s="3">
        <f t="shared" si="157"/>
        <v>282.26001000000002</v>
      </c>
      <c r="N1275" s="1">
        <f t="shared" ca="1" si="158"/>
        <v>282.26001000000002</v>
      </c>
      <c r="O1275" s="5">
        <f t="shared" si="159"/>
        <v>-5.4878553288508769E-2</v>
      </c>
    </row>
    <row r="1276" spans="1:15" s="2" customFormat="1" x14ac:dyDescent="0.5">
      <c r="A1276" s="6">
        <v>42207</v>
      </c>
      <c r="B1276" s="1">
        <v>261.26998900000001</v>
      </c>
      <c r="C1276" s="1">
        <v>269.44000199999999</v>
      </c>
      <c r="D1276" s="1">
        <v>260.85998499999999</v>
      </c>
      <c r="E1276" s="1">
        <v>267.86999500000002</v>
      </c>
      <c r="F1276" s="1">
        <v>267.86999500000002</v>
      </c>
      <c r="G1276" s="2">
        <v>3105000</v>
      </c>
      <c r="H1276" s="2">
        <f t="shared" si="152"/>
        <v>2015</v>
      </c>
      <c r="I1276" s="2">
        <f t="shared" si="153"/>
        <v>7</v>
      </c>
      <c r="J1276" s="2">
        <f t="shared" si="154"/>
        <v>22</v>
      </c>
      <c r="K1276" s="2">
        <f t="shared" si="155"/>
        <v>4</v>
      </c>
      <c r="L1276" s="2">
        <f t="shared" si="156"/>
        <v>8</v>
      </c>
      <c r="M1276" s="3">
        <f t="shared" si="157"/>
        <v>266.76998900000001</v>
      </c>
      <c r="N1276" s="1">
        <f t="shared" ca="1" si="158"/>
        <v>266.76998900000001</v>
      </c>
      <c r="O1276" s="5">
        <f t="shared" si="159"/>
        <v>4.1234248429646847E-3</v>
      </c>
    </row>
    <row r="1277" spans="1:15" s="2" customFormat="1" x14ac:dyDescent="0.5">
      <c r="A1277" s="6">
        <v>42208</v>
      </c>
      <c r="B1277" s="1">
        <v>269.64999399999999</v>
      </c>
      <c r="C1277" s="1">
        <v>269.89999399999999</v>
      </c>
      <c r="D1277" s="1">
        <v>265.26998900000001</v>
      </c>
      <c r="E1277" s="1">
        <v>267.20001200000002</v>
      </c>
      <c r="F1277" s="1">
        <v>267.20001200000002</v>
      </c>
      <c r="G1277" s="2">
        <v>2227200</v>
      </c>
      <c r="H1277" s="2">
        <f t="shared" si="152"/>
        <v>2015</v>
      </c>
      <c r="I1277" s="2">
        <f t="shared" si="153"/>
        <v>7</v>
      </c>
      <c r="J1277" s="2">
        <f t="shared" si="154"/>
        <v>23</v>
      </c>
      <c r="K1277" s="2">
        <f t="shared" si="155"/>
        <v>5</v>
      </c>
      <c r="L1277" s="2">
        <f t="shared" si="156"/>
        <v>8</v>
      </c>
      <c r="M1277" s="3">
        <f t="shared" si="157"/>
        <v>267.86999500000002</v>
      </c>
      <c r="N1277" s="1">
        <f t="shared" ca="1" si="158"/>
        <v>267.86999500000002</v>
      </c>
      <c r="O1277" s="5">
        <f t="shared" si="159"/>
        <v>-2.5011498581616332E-3</v>
      </c>
    </row>
    <row r="1278" spans="1:15" s="2" customFormat="1" x14ac:dyDescent="0.5">
      <c r="A1278" s="6">
        <v>42209</v>
      </c>
      <c r="B1278" s="1">
        <v>267.38000499999998</v>
      </c>
      <c r="C1278" s="1">
        <v>271.08999599999999</v>
      </c>
      <c r="D1278" s="1">
        <v>263.92001299999998</v>
      </c>
      <c r="E1278" s="1">
        <v>265.41000400000001</v>
      </c>
      <c r="F1278" s="1">
        <v>265.41000400000001</v>
      </c>
      <c r="G1278" s="2">
        <v>2836500</v>
      </c>
      <c r="H1278" s="2">
        <f t="shared" si="152"/>
        <v>2015</v>
      </c>
      <c r="I1278" s="2">
        <f t="shared" si="153"/>
        <v>7</v>
      </c>
      <c r="J1278" s="2">
        <f t="shared" si="154"/>
        <v>24</v>
      </c>
      <c r="K1278" s="2">
        <f t="shared" si="155"/>
        <v>6</v>
      </c>
      <c r="L1278" s="2">
        <f t="shared" si="156"/>
        <v>8</v>
      </c>
      <c r="M1278" s="3">
        <f t="shared" si="157"/>
        <v>267.20001200000002</v>
      </c>
      <c r="N1278" s="1">
        <f t="shared" ca="1" si="158"/>
        <v>267.20001200000002</v>
      </c>
      <c r="O1278" s="5">
        <f t="shared" si="159"/>
        <v>-6.6991314356678044E-3</v>
      </c>
    </row>
    <row r="1279" spans="1:15" s="2" customFormat="1" x14ac:dyDescent="0.5">
      <c r="A1279" s="6">
        <v>42212</v>
      </c>
      <c r="B1279" s="1">
        <v>262.42999300000002</v>
      </c>
      <c r="C1279" s="1">
        <v>264.42999300000002</v>
      </c>
      <c r="D1279" s="1">
        <v>250.78999300000001</v>
      </c>
      <c r="E1279" s="1">
        <v>253.009995</v>
      </c>
      <c r="F1279" s="1">
        <v>253.009995</v>
      </c>
      <c r="G1279" s="2">
        <v>4694200</v>
      </c>
      <c r="H1279" s="2">
        <f t="shared" si="152"/>
        <v>2015</v>
      </c>
      <c r="I1279" s="2">
        <f t="shared" si="153"/>
        <v>7</v>
      </c>
      <c r="J1279" s="2">
        <f t="shared" si="154"/>
        <v>27</v>
      </c>
      <c r="K1279" s="2">
        <f t="shared" si="155"/>
        <v>2</v>
      </c>
      <c r="L1279" s="2">
        <f t="shared" si="156"/>
        <v>8</v>
      </c>
      <c r="M1279" s="3">
        <f t="shared" si="157"/>
        <v>265.41000400000001</v>
      </c>
      <c r="N1279" s="1">
        <f t="shared" ca="1" si="158"/>
        <v>265.41000400000001</v>
      </c>
      <c r="O1279" s="5">
        <f t="shared" si="159"/>
        <v>-4.6720202001127364E-2</v>
      </c>
    </row>
    <row r="1280" spans="1:15" s="2" customFormat="1" x14ac:dyDescent="0.5">
      <c r="A1280" s="6">
        <v>42213</v>
      </c>
      <c r="B1280" s="1">
        <v>255.75</v>
      </c>
      <c r="C1280" s="1">
        <v>265.39999399999999</v>
      </c>
      <c r="D1280" s="1">
        <v>251.83999600000001</v>
      </c>
      <c r="E1280" s="1">
        <v>264.82000699999998</v>
      </c>
      <c r="F1280" s="1">
        <v>264.82000699999998</v>
      </c>
      <c r="G1280" s="2">
        <v>3895800</v>
      </c>
      <c r="H1280" s="2">
        <f t="shared" si="152"/>
        <v>2015</v>
      </c>
      <c r="I1280" s="2">
        <f t="shared" si="153"/>
        <v>7</v>
      </c>
      <c r="J1280" s="2">
        <f t="shared" si="154"/>
        <v>28</v>
      </c>
      <c r="K1280" s="2">
        <f t="shared" si="155"/>
        <v>3</v>
      </c>
      <c r="L1280" s="2">
        <f t="shared" si="156"/>
        <v>8</v>
      </c>
      <c r="M1280" s="3">
        <f t="shared" si="157"/>
        <v>253.009995</v>
      </c>
      <c r="N1280" s="1">
        <f t="shared" ca="1" si="158"/>
        <v>253.009995</v>
      </c>
      <c r="O1280" s="5">
        <f t="shared" si="159"/>
        <v>4.6678045268527812E-2</v>
      </c>
    </row>
    <row r="1281" spans="1:15" s="2" customFormat="1" x14ac:dyDescent="0.5">
      <c r="A1281" s="6">
        <v>42214</v>
      </c>
      <c r="B1281" s="1">
        <v>264.26998900000001</v>
      </c>
      <c r="C1281" s="1">
        <v>267.89001500000001</v>
      </c>
      <c r="D1281" s="1">
        <v>262</v>
      </c>
      <c r="E1281" s="1">
        <v>263.82000699999998</v>
      </c>
      <c r="F1281" s="1">
        <v>263.82000699999998</v>
      </c>
      <c r="G1281" s="2">
        <v>2790100</v>
      </c>
      <c r="H1281" s="2">
        <f t="shared" si="152"/>
        <v>2015</v>
      </c>
      <c r="I1281" s="2">
        <f t="shared" si="153"/>
        <v>7</v>
      </c>
      <c r="J1281" s="2">
        <f t="shared" si="154"/>
        <v>29</v>
      </c>
      <c r="K1281" s="2">
        <f t="shared" si="155"/>
        <v>4</v>
      </c>
      <c r="L1281" s="2">
        <f t="shared" si="156"/>
        <v>8</v>
      </c>
      <c r="M1281" s="3">
        <f t="shared" si="157"/>
        <v>264.82000699999998</v>
      </c>
      <c r="N1281" s="1">
        <f t="shared" ca="1" si="158"/>
        <v>264.82000699999998</v>
      </c>
      <c r="O1281" s="5">
        <f t="shared" si="159"/>
        <v>-3.7761497378103748E-3</v>
      </c>
    </row>
    <row r="1282" spans="1:15" s="2" customFormat="1" x14ac:dyDescent="0.5">
      <c r="A1282" s="6">
        <v>42215</v>
      </c>
      <c r="B1282" s="1">
        <v>262.69000199999999</v>
      </c>
      <c r="C1282" s="1">
        <v>266.94000199999999</v>
      </c>
      <c r="D1282" s="1">
        <v>262.10998499999999</v>
      </c>
      <c r="E1282" s="1">
        <v>266.790009</v>
      </c>
      <c r="F1282" s="1">
        <v>266.790009</v>
      </c>
      <c r="G1282" s="2">
        <v>2034600</v>
      </c>
      <c r="H1282" s="2">
        <f t="shared" ref="H1282:H1345" si="160">YEAR(A1282)</f>
        <v>2015</v>
      </c>
      <c r="I1282" s="2">
        <f t="shared" ref="I1282:I1345" si="161">MONTH(A1282)</f>
        <v>7</v>
      </c>
      <c r="J1282" s="2">
        <f t="shared" ref="J1282:J1345" si="162">DAY(A1282)</f>
        <v>30</v>
      </c>
      <c r="K1282" s="2">
        <f t="shared" ref="K1282:K1345" si="163">WEEKDAY(A1282)</f>
        <v>5</v>
      </c>
      <c r="L1282" s="2">
        <f t="shared" si="156"/>
        <v>8</v>
      </c>
      <c r="M1282" s="3">
        <f t="shared" si="157"/>
        <v>263.82000699999998</v>
      </c>
      <c r="N1282" s="1">
        <f t="shared" ca="1" si="158"/>
        <v>263.82000699999998</v>
      </c>
      <c r="O1282" s="5">
        <f t="shared" si="159"/>
        <v>1.1257682970192695E-2</v>
      </c>
    </row>
    <row r="1283" spans="1:15" s="2" customFormat="1" x14ac:dyDescent="0.5">
      <c r="A1283" s="6">
        <v>42216</v>
      </c>
      <c r="B1283" s="1">
        <v>267.60000600000001</v>
      </c>
      <c r="C1283" s="1">
        <v>269.35998499999999</v>
      </c>
      <c r="D1283" s="1">
        <v>265.11999500000002</v>
      </c>
      <c r="E1283" s="1">
        <v>266.14999399999999</v>
      </c>
      <c r="F1283" s="1">
        <v>266.14999399999999</v>
      </c>
      <c r="G1283" s="2">
        <v>2222600</v>
      </c>
      <c r="H1283" s="2">
        <f t="shared" si="160"/>
        <v>2015</v>
      </c>
      <c r="I1283" s="2">
        <f t="shared" si="161"/>
        <v>7</v>
      </c>
      <c r="J1283" s="2">
        <f t="shared" si="162"/>
        <v>31</v>
      </c>
      <c r="K1283" s="2">
        <f t="shared" si="163"/>
        <v>6</v>
      </c>
      <c r="L1283" s="2">
        <f t="shared" ref="L1283:L1346" si="164">I1283+1</f>
        <v>8</v>
      </c>
      <c r="M1283" s="3">
        <f t="shared" ref="M1283:M1346" si="165">F1282</f>
        <v>266.790009</v>
      </c>
      <c r="N1283" s="1">
        <f t="shared" ref="N1283:N1346" ca="1" si="166">OFFSET(F1283, -1, 0)</f>
        <v>266.790009</v>
      </c>
      <c r="O1283" s="5">
        <f t="shared" ref="O1283:O1346" si="167">(F1283/M1283)-1</f>
        <v>-2.3989466562071016E-3</v>
      </c>
    </row>
    <row r="1284" spans="1:15" s="2" customFormat="1" x14ac:dyDescent="0.5">
      <c r="A1284" s="6">
        <v>42219</v>
      </c>
      <c r="B1284" s="1">
        <v>266.290009</v>
      </c>
      <c r="C1284" s="1">
        <v>266.709991</v>
      </c>
      <c r="D1284" s="1">
        <v>257.07000699999998</v>
      </c>
      <c r="E1284" s="1">
        <v>259.98998999999998</v>
      </c>
      <c r="F1284" s="1">
        <v>259.98998999999998</v>
      </c>
      <c r="G1284" s="2">
        <v>2553500</v>
      </c>
      <c r="H1284" s="2">
        <f t="shared" si="160"/>
        <v>2015</v>
      </c>
      <c r="I1284" s="2">
        <f t="shared" si="161"/>
        <v>8</v>
      </c>
      <c r="J1284" s="2">
        <f t="shared" si="162"/>
        <v>3</v>
      </c>
      <c r="K1284" s="2">
        <f t="shared" si="163"/>
        <v>2</v>
      </c>
      <c r="L1284" s="2">
        <f t="shared" si="164"/>
        <v>9</v>
      </c>
      <c r="M1284" s="3">
        <f t="shared" si="165"/>
        <v>266.14999399999999</v>
      </c>
      <c r="N1284" s="1">
        <f t="shared" ca="1" si="166"/>
        <v>266.14999399999999</v>
      </c>
      <c r="O1284" s="5">
        <f t="shared" si="167"/>
        <v>-2.3144858684460479E-2</v>
      </c>
    </row>
    <row r="1285" spans="1:15" s="2" customFormat="1" x14ac:dyDescent="0.5">
      <c r="A1285" s="6">
        <v>42220</v>
      </c>
      <c r="B1285" s="1">
        <v>260.01001000000002</v>
      </c>
      <c r="C1285" s="1">
        <v>266.72000100000002</v>
      </c>
      <c r="D1285" s="1">
        <v>258.33999599999999</v>
      </c>
      <c r="E1285" s="1">
        <v>266.27999899999998</v>
      </c>
      <c r="F1285" s="1">
        <v>266.27999899999998</v>
      </c>
      <c r="G1285" s="2">
        <v>2352500</v>
      </c>
      <c r="H1285" s="2">
        <f t="shared" si="160"/>
        <v>2015</v>
      </c>
      <c r="I1285" s="2">
        <f t="shared" si="161"/>
        <v>8</v>
      </c>
      <c r="J1285" s="2">
        <f t="shared" si="162"/>
        <v>4</v>
      </c>
      <c r="K1285" s="2">
        <f t="shared" si="163"/>
        <v>3</v>
      </c>
      <c r="L1285" s="2">
        <f t="shared" si="164"/>
        <v>9</v>
      </c>
      <c r="M1285" s="3">
        <f t="shared" si="165"/>
        <v>259.98998999999998</v>
      </c>
      <c r="N1285" s="1">
        <f t="shared" ca="1" si="166"/>
        <v>259.98998999999998</v>
      </c>
      <c r="O1285" s="5">
        <f t="shared" si="167"/>
        <v>2.4193273748731592E-2</v>
      </c>
    </row>
    <row r="1286" spans="1:15" s="2" customFormat="1" x14ac:dyDescent="0.5">
      <c r="A1286" s="6">
        <v>42221</v>
      </c>
      <c r="B1286" s="1">
        <v>263.57998700000002</v>
      </c>
      <c r="C1286" s="1">
        <v>271</v>
      </c>
      <c r="D1286" s="1">
        <v>260.39999399999999</v>
      </c>
      <c r="E1286" s="1">
        <v>270.13000499999998</v>
      </c>
      <c r="F1286" s="1">
        <v>270.13000499999998</v>
      </c>
      <c r="G1286" s="2">
        <v>6214300</v>
      </c>
      <c r="H1286" s="2">
        <f t="shared" si="160"/>
        <v>2015</v>
      </c>
      <c r="I1286" s="2">
        <f t="shared" si="161"/>
        <v>8</v>
      </c>
      <c r="J1286" s="2">
        <f t="shared" si="162"/>
        <v>5</v>
      </c>
      <c r="K1286" s="2">
        <f t="shared" si="163"/>
        <v>4</v>
      </c>
      <c r="L1286" s="2">
        <f t="shared" si="164"/>
        <v>9</v>
      </c>
      <c r="M1286" s="3">
        <f t="shared" si="165"/>
        <v>266.27999899999998</v>
      </c>
      <c r="N1286" s="1">
        <f t="shared" ca="1" si="166"/>
        <v>266.27999899999998</v>
      </c>
      <c r="O1286" s="5">
        <f t="shared" si="167"/>
        <v>1.4458487360892613E-2</v>
      </c>
    </row>
    <row r="1287" spans="1:15" s="2" customFormat="1" x14ac:dyDescent="0.5">
      <c r="A1287" s="6">
        <v>42222</v>
      </c>
      <c r="B1287" s="1">
        <v>249.53999300000001</v>
      </c>
      <c r="C1287" s="1">
        <v>255</v>
      </c>
      <c r="D1287" s="1">
        <v>236.11999499999999</v>
      </c>
      <c r="E1287" s="1">
        <v>246.13000500000001</v>
      </c>
      <c r="F1287" s="1">
        <v>246.13000500000001</v>
      </c>
      <c r="G1287" s="2">
        <v>14623800</v>
      </c>
      <c r="H1287" s="2">
        <f t="shared" si="160"/>
        <v>2015</v>
      </c>
      <c r="I1287" s="2">
        <f t="shared" si="161"/>
        <v>8</v>
      </c>
      <c r="J1287" s="2">
        <f t="shared" si="162"/>
        <v>6</v>
      </c>
      <c r="K1287" s="2">
        <f t="shared" si="163"/>
        <v>5</v>
      </c>
      <c r="L1287" s="2">
        <f t="shared" si="164"/>
        <v>9</v>
      </c>
      <c r="M1287" s="3">
        <f t="shared" si="165"/>
        <v>270.13000499999998</v>
      </c>
      <c r="N1287" s="1">
        <f t="shared" ca="1" si="166"/>
        <v>270.13000499999998</v>
      </c>
      <c r="O1287" s="5">
        <f t="shared" si="167"/>
        <v>-8.8846109487170755E-2</v>
      </c>
    </row>
    <row r="1288" spans="1:15" s="2" customFormat="1" x14ac:dyDescent="0.5">
      <c r="A1288" s="6">
        <v>42223</v>
      </c>
      <c r="B1288" s="1">
        <v>243.58000200000001</v>
      </c>
      <c r="C1288" s="1">
        <v>243.729996</v>
      </c>
      <c r="D1288" s="1">
        <v>238.38999899999999</v>
      </c>
      <c r="E1288" s="1">
        <v>242.509995</v>
      </c>
      <c r="F1288" s="1">
        <v>242.509995</v>
      </c>
      <c r="G1288" s="2">
        <v>5073400</v>
      </c>
      <c r="H1288" s="2">
        <f t="shared" si="160"/>
        <v>2015</v>
      </c>
      <c r="I1288" s="2">
        <f t="shared" si="161"/>
        <v>8</v>
      </c>
      <c r="J1288" s="2">
        <f t="shared" si="162"/>
        <v>7</v>
      </c>
      <c r="K1288" s="2">
        <f t="shared" si="163"/>
        <v>6</v>
      </c>
      <c r="L1288" s="2">
        <f t="shared" si="164"/>
        <v>9</v>
      </c>
      <c r="M1288" s="3">
        <f t="shared" si="165"/>
        <v>246.13000500000001</v>
      </c>
      <c r="N1288" s="1">
        <f t="shared" ca="1" si="166"/>
        <v>246.13000500000001</v>
      </c>
      <c r="O1288" s="5">
        <f t="shared" si="167"/>
        <v>-1.4707715136153432E-2</v>
      </c>
    </row>
    <row r="1289" spans="1:15" s="2" customFormat="1" x14ac:dyDescent="0.5">
      <c r="A1289" s="6">
        <v>42226</v>
      </c>
      <c r="B1289" s="1">
        <v>238.14999399999999</v>
      </c>
      <c r="C1289" s="1">
        <v>242.970001</v>
      </c>
      <c r="D1289" s="1">
        <v>236.050003</v>
      </c>
      <c r="E1289" s="1">
        <v>241.13999899999999</v>
      </c>
      <c r="F1289" s="1">
        <v>241.13999899999999</v>
      </c>
      <c r="G1289" s="2">
        <v>4185900</v>
      </c>
      <c r="H1289" s="2">
        <f t="shared" si="160"/>
        <v>2015</v>
      </c>
      <c r="I1289" s="2">
        <f t="shared" si="161"/>
        <v>8</v>
      </c>
      <c r="J1289" s="2">
        <f t="shared" si="162"/>
        <v>10</v>
      </c>
      <c r="K1289" s="2">
        <f t="shared" si="163"/>
        <v>2</v>
      </c>
      <c r="L1289" s="2">
        <f t="shared" si="164"/>
        <v>9</v>
      </c>
      <c r="M1289" s="3">
        <f t="shared" si="165"/>
        <v>242.509995</v>
      </c>
      <c r="N1289" s="1">
        <f t="shared" ca="1" si="166"/>
        <v>242.509995</v>
      </c>
      <c r="O1289" s="5">
        <f t="shared" si="167"/>
        <v>-5.6492351995637291E-3</v>
      </c>
    </row>
    <row r="1290" spans="1:15" s="2" customFormat="1" x14ac:dyDescent="0.5">
      <c r="A1290" s="6">
        <v>42227</v>
      </c>
      <c r="B1290" s="1">
        <v>237.14999399999999</v>
      </c>
      <c r="C1290" s="1">
        <v>239.300003</v>
      </c>
      <c r="D1290" s="1">
        <v>234.44000199999999</v>
      </c>
      <c r="E1290" s="1">
        <v>237.36999499999999</v>
      </c>
      <c r="F1290" s="1">
        <v>237.36999499999999</v>
      </c>
      <c r="G1290" s="2">
        <v>4253300</v>
      </c>
      <c r="H1290" s="2">
        <f t="shared" si="160"/>
        <v>2015</v>
      </c>
      <c r="I1290" s="2">
        <f t="shared" si="161"/>
        <v>8</v>
      </c>
      <c r="J1290" s="2">
        <f t="shared" si="162"/>
        <v>11</v>
      </c>
      <c r="K1290" s="2">
        <f t="shared" si="163"/>
        <v>3</v>
      </c>
      <c r="L1290" s="2">
        <f t="shared" si="164"/>
        <v>9</v>
      </c>
      <c r="M1290" s="3">
        <f t="shared" si="165"/>
        <v>241.13999899999999</v>
      </c>
      <c r="N1290" s="1">
        <f t="shared" ca="1" si="166"/>
        <v>241.13999899999999</v>
      </c>
      <c r="O1290" s="5">
        <f t="shared" si="167"/>
        <v>-1.5634088146446401E-2</v>
      </c>
    </row>
    <row r="1291" spans="1:15" s="2" customFormat="1" x14ac:dyDescent="0.5">
      <c r="A1291" s="6">
        <v>42228</v>
      </c>
      <c r="B1291" s="1">
        <v>235</v>
      </c>
      <c r="C1291" s="1">
        <v>239.770004</v>
      </c>
      <c r="D1291" s="1">
        <v>232.740005</v>
      </c>
      <c r="E1291" s="1">
        <v>238.16999799999999</v>
      </c>
      <c r="F1291" s="1">
        <v>238.16999799999999</v>
      </c>
      <c r="G1291" s="2">
        <v>3728000</v>
      </c>
      <c r="H1291" s="2">
        <f t="shared" si="160"/>
        <v>2015</v>
      </c>
      <c r="I1291" s="2">
        <f t="shared" si="161"/>
        <v>8</v>
      </c>
      <c r="J1291" s="2">
        <f t="shared" si="162"/>
        <v>12</v>
      </c>
      <c r="K1291" s="2">
        <f t="shared" si="163"/>
        <v>4</v>
      </c>
      <c r="L1291" s="2">
        <f t="shared" si="164"/>
        <v>9</v>
      </c>
      <c r="M1291" s="3">
        <f t="shared" si="165"/>
        <v>237.36999499999999</v>
      </c>
      <c r="N1291" s="1">
        <f t="shared" ca="1" si="166"/>
        <v>237.36999499999999</v>
      </c>
      <c r="O1291" s="5">
        <f t="shared" si="167"/>
        <v>3.3702785392062395E-3</v>
      </c>
    </row>
    <row r="1292" spans="1:15" s="2" customFormat="1" x14ac:dyDescent="0.5">
      <c r="A1292" s="6">
        <v>42229</v>
      </c>
      <c r="B1292" s="1">
        <v>239.86000100000001</v>
      </c>
      <c r="C1292" s="1">
        <v>246.479996</v>
      </c>
      <c r="D1292" s="1">
        <v>239.11999499999999</v>
      </c>
      <c r="E1292" s="1">
        <v>242.509995</v>
      </c>
      <c r="F1292" s="1">
        <v>242.509995</v>
      </c>
      <c r="G1292" s="2">
        <v>4689200</v>
      </c>
      <c r="H1292" s="2">
        <f t="shared" si="160"/>
        <v>2015</v>
      </c>
      <c r="I1292" s="2">
        <f t="shared" si="161"/>
        <v>8</v>
      </c>
      <c r="J1292" s="2">
        <f t="shared" si="162"/>
        <v>13</v>
      </c>
      <c r="K1292" s="2">
        <f t="shared" si="163"/>
        <v>5</v>
      </c>
      <c r="L1292" s="2">
        <f t="shared" si="164"/>
        <v>9</v>
      </c>
      <c r="M1292" s="3">
        <f t="shared" si="165"/>
        <v>238.16999799999999</v>
      </c>
      <c r="N1292" s="1">
        <f t="shared" ca="1" si="166"/>
        <v>238.16999799999999</v>
      </c>
      <c r="O1292" s="5">
        <f t="shared" si="167"/>
        <v>1.8222265761618006E-2</v>
      </c>
    </row>
    <row r="1293" spans="1:15" s="2" customFormat="1" x14ac:dyDescent="0.5">
      <c r="A1293" s="6">
        <v>42230</v>
      </c>
      <c r="B1293" s="1">
        <v>247.240005</v>
      </c>
      <c r="C1293" s="1">
        <v>247.929993</v>
      </c>
      <c r="D1293" s="1">
        <v>241.770004</v>
      </c>
      <c r="E1293" s="1">
        <v>243.14999399999999</v>
      </c>
      <c r="F1293" s="1">
        <v>243.14999399999999</v>
      </c>
      <c r="G1293" s="2">
        <v>4351700</v>
      </c>
      <c r="H1293" s="2">
        <f t="shared" si="160"/>
        <v>2015</v>
      </c>
      <c r="I1293" s="2">
        <f t="shared" si="161"/>
        <v>8</v>
      </c>
      <c r="J1293" s="2">
        <f t="shared" si="162"/>
        <v>14</v>
      </c>
      <c r="K1293" s="2">
        <f t="shared" si="163"/>
        <v>6</v>
      </c>
      <c r="L1293" s="2">
        <f t="shared" si="164"/>
        <v>9</v>
      </c>
      <c r="M1293" s="3">
        <f t="shared" si="165"/>
        <v>242.509995</v>
      </c>
      <c r="N1293" s="1">
        <f t="shared" ca="1" si="166"/>
        <v>242.509995</v>
      </c>
      <c r="O1293" s="5">
        <f t="shared" si="167"/>
        <v>2.6390623611203257E-3</v>
      </c>
    </row>
    <row r="1294" spans="1:15" s="2" customFormat="1" x14ac:dyDescent="0.5">
      <c r="A1294" s="6">
        <v>42233</v>
      </c>
      <c r="B1294" s="1">
        <v>255.55999800000001</v>
      </c>
      <c r="C1294" s="1">
        <v>256.58999599999999</v>
      </c>
      <c r="D1294" s="1">
        <v>250.509995</v>
      </c>
      <c r="E1294" s="1">
        <v>254.990005</v>
      </c>
      <c r="F1294" s="1">
        <v>254.990005</v>
      </c>
      <c r="G1294" s="2">
        <v>7176700</v>
      </c>
      <c r="H1294" s="2">
        <f t="shared" si="160"/>
        <v>2015</v>
      </c>
      <c r="I1294" s="2">
        <f t="shared" si="161"/>
        <v>8</v>
      </c>
      <c r="J1294" s="2">
        <f t="shared" si="162"/>
        <v>17</v>
      </c>
      <c r="K1294" s="2">
        <f t="shared" si="163"/>
        <v>2</v>
      </c>
      <c r="L1294" s="2">
        <f t="shared" si="164"/>
        <v>9</v>
      </c>
      <c r="M1294" s="3">
        <f t="shared" si="165"/>
        <v>243.14999399999999</v>
      </c>
      <c r="N1294" s="1">
        <f t="shared" ca="1" si="166"/>
        <v>243.14999399999999</v>
      </c>
      <c r="O1294" s="5">
        <f t="shared" si="167"/>
        <v>4.8694268115013761E-2</v>
      </c>
    </row>
    <row r="1295" spans="1:15" s="2" customFormat="1" x14ac:dyDescent="0.5">
      <c r="A1295" s="6">
        <v>42234</v>
      </c>
      <c r="B1295" s="1">
        <v>255.38000500000001</v>
      </c>
      <c r="C1295" s="1">
        <v>260.95001200000002</v>
      </c>
      <c r="D1295" s="1">
        <v>253.55999800000001</v>
      </c>
      <c r="E1295" s="1">
        <v>260.72000100000002</v>
      </c>
      <c r="F1295" s="1">
        <v>260.72000100000002</v>
      </c>
      <c r="G1295" s="2">
        <v>4195000</v>
      </c>
      <c r="H1295" s="2">
        <f t="shared" si="160"/>
        <v>2015</v>
      </c>
      <c r="I1295" s="2">
        <f t="shared" si="161"/>
        <v>8</v>
      </c>
      <c r="J1295" s="2">
        <f t="shared" si="162"/>
        <v>18</v>
      </c>
      <c r="K1295" s="2">
        <f t="shared" si="163"/>
        <v>3</v>
      </c>
      <c r="L1295" s="2">
        <f t="shared" si="164"/>
        <v>9</v>
      </c>
      <c r="M1295" s="3">
        <f t="shared" si="165"/>
        <v>254.990005</v>
      </c>
      <c r="N1295" s="1">
        <f t="shared" ca="1" si="166"/>
        <v>254.990005</v>
      </c>
      <c r="O1295" s="5">
        <f t="shared" si="167"/>
        <v>2.2471453341867287E-2</v>
      </c>
    </row>
    <row r="1296" spans="1:15" s="2" customFormat="1" x14ac:dyDescent="0.5">
      <c r="A1296" s="6">
        <v>42235</v>
      </c>
      <c r="B1296" s="1">
        <v>260.32998700000002</v>
      </c>
      <c r="C1296" s="1">
        <v>260.64999399999999</v>
      </c>
      <c r="D1296" s="1">
        <v>255.020004</v>
      </c>
      <c r="E1296" s="1">
        <v>255.25</v>
      </c>
      <c r="F1296" s="1">
        <v>255.25</v>
      </c>
      <c r="G1296" s="2">
        <v>3604300</v>
      </c>
      <c r="H1296" s="2">
        <f t="shared" si="160"/>
        <v>2015</v>
      </c>
      <c r="I1296" s="2">
        <f t="shared" si="161"/>
        <v>8</v>
      </c>
      <c r="J1296" s="2">
        <f t="shared" si="162"/>
        <v>19</v>
      </c>
      <c r="K1296" s="2">
        <f t="shared" si="163"/>
        <v>4</v>
      </c>
      <c r="L1296" s="2">
        <f t="shared" si="164"/>
        <v>9</v>
      </c>
      <c r="M1296" s="3">
        <f t="shared" si="165"/>
        <v>260.72000100000002</v>
      </c>
      <c r="N1296" s="1">
        <f t="shared" ca="1" si="166"/>
        <v>260.72000100000002</v>
      </c>
      <c r="O1296" s="5">
        <f t="shared" si="167"/>
        <v>-2.0980365829317504E-2</v>
      </c>
    </row>
    <row r="1297" spans="1:15" s="2" customFormat="1" x14ac:dyDescent="0.5">
      <c r="A1297" s="6">
        <v>42236</v>
      </c>
      <c r="B1297" s="1">
        <v>252.05999800000001</v>
      </c>
      <c r="C1297" s="1">
        <v>254.55999800000001</v>
      </c>
      <c r="D1297" s="1">
        <v>241.89999399999999</v>
      </c>
      <c r="E1297" s="1">
        <v>242.179993</v>
      </c>
      <c r="F1297" s="1">
        <v>242.179993</v>
      </c>
      <c r="G1297" s="2">
        <v>4905800</v>
      </c>
      <c r="H1297" s="2">
        <f t="shared" si="160"/>
        <v>2015</v>
      </c>
      <c r="I1297" s="2">
        <f t="shared" si="161"/>
        <v>8</v>
      </c>
      <c r="J1297" s="2">
        <f t="shared" si="162"/>
        <v>20</v>
      </c>
      <c r="K1297" s="2">
        <f t="shared" si="163"/>
        <v>5</v>
      </c>
      <c r="L1297" s="2">
        <f t="shared" si="164"/>
        <v>9</v>
      </c>
      <c r="M1297" s="3">
        <f t="shared" si="165"/>
        <v>255.25</v>
      </c>
      <c r="N1297" s="1">
        <f t="shared" ca="1" si="166"/>
        <v>255.25</v>
      </c>
      <c r="O1297" s="5">
        <f t="shared" si="167"/>
        <v>-5.1204728697355595E-2</v>
      </c>
    </row>
    <row r="1298" spans="1:15" s="2" customFormat="1" x14ac:dyDescent="0.5">
      <c r="A1298" s="6">
        <v>42237</v>
      </c>
      <c r="B1298" s="1">
        <v>236</v>
      </c>
      <c r="C1298" s="1">
        <v>243.800003</v>
      </c>
      <c r="D1298" s="1">
        <v>230.509995</v>
      </c>
      <c r="E1298" s="1">
        <v>230.770004</v>
      </c>
      <c r="F1298" s="1">
        <v>230.770004</v>
      </c>
      <c r="G1298" s="2">
        <v>6590200</v>
      </c>
      <c r="H1298" s="2">
        <f t="shared" si="160"/>
        <v>2015</v>
      </c>
      <c r="I1298" s="2">
        <f t="shared" si="161"/>
        <v>8</v>
      </c>
      <c r="J1298" s="2">
        <f t="shared" si="162"/>
        <v>21</v>
      </c>
      <c r="K1298" s="2">
        <f t="shared" si="163"/>
        <v>6</v>
      </c>
      <c r="L1298" s="2">
        <f t="shared" si="164"/>
        <v>9</v>
      </c>
      <c r="M1298" s="3">
        <f t="shared" si="165"/>
        <v>242.179993</v>
      </c>
      <c r="N1298" s="1">
        <f t="shared" ca="1" si="166"/>
        <v>242.179993</v>
      </c>
      <c r="O1298" s="5">
        <f t="shared" si="167"/>
        <v>-4.7113673010965806E-2</v>
      </c>
    </row>
    <row r="1299" spans="1:15" s="2" customFormat="1" x14ac:dyDescent="0.5">
      <c r="A1299" s="6">
        <v>42240</v>
      </c>
      <c r="B1299" s="1">
        <v>202.78999300000001</v>
      </c>
      <c r="C1299" s="1">
        <v>231.39999399999999</v>
      </c>
      <c r="D1299" s="1">
        <v>195</v>
      </c>
      <c r="E1299" s="1">
        <v>218.86999499999999</v>
      </c>
      <c r="F1299" s="1">
        <v>218.86999499999999</v>
      </c>
      <c r="G1299" s="2">
        <v>9581600</v>
      </c>
      <c r="H1299" s="2">
        <f t="shared" si="160"/>
        <v>2015</v>
      </c>
      <c r="I1299" s="2">
        <f t="shared" si="161"/>
        <v>8</v>
      </c>
      <c r="J1299" s="2">
        <f t="shared" si="162"/>
        <v>24</v>
      </c>
      <c r="K1299" s="2">
        <f t="shared" si="163"/>
        <v>2</v>
      </c>
      <c r="L1299" s="2">
        <f t="shared" si="164"/>
        <v>9</v>
      </c>
      <c r="M1299" s="3">
        <f t="shared" si="165"/>
        <v>230.770004</v>
      </c>
      <c r="N1299" s="1">
        <f t="shared" ca="1" si="166"/>
        <v>230.770004</v>
      </c>
      <c r="O1299" s="5">
        <f t="shared" si="167"/>
        <v>-5.1566532884403826E-2</v>
      </c>
    </row>
    <row r="1300" spans="1:15" s="2" customFormat="1" x14ac:dyDescent="0.5">
      <c r="A1300" s="6">
        <v>42241</v>
      </c>
      <c r="B1300" s="1">
        <v>230.520004</v>
      </c>
      <c r="C1300" s="1">
        <v>230.89999399999999</v>
      </c>
      <c r="D1300" s="1">
        <v>219.11999499999999</v>
      </c>
      <c r="E1300" s="1">
        <v>220.029999</v>
      </c>
      <c r="F1300" s="1">
        <v>220.029999</v>
      </c>
      <c r="G1300" s="2">
        <v>4327300</v>
      </c>
      <c r="H1300" s="2">
        <f t="shared" si="160"/>
        <v>2015</v>
      </c>
      <c r="I1300" s="2">
        <f t="shared" si="161"/>
        <v>8</v>
      </c>
      <c r="J1300" s="2">
        <f t="shared" si="162"/>
        <v>25</v>
      </c>
      <c r="K1300" s="2">
        <f t="shared" si="163"/>
        <v>3</v>
      </c>
      <c r="L1300" s="2">
        <f t="shared" si="164"/>
        <v>9</v>
      </c>
      <c r="M1300" s="3">
        <f t="shared" si="165"/>
        <v>218.86999499999999</v>
      </c>
      <c r="N1300" s="1">
        <f t="shared" ca="1" si="166"/>
        <v>218.86999499999999</v>
      </c>
      <c r="O1300" s="5">
        <f t="shared" si="167"/>
        <v>5.2999681386205477E-3</v>
      </c>
    </row>
    <row r="1301" spans="1:15" s="2" customFormat="1" x14ac:dyDescent="0.5">
      <c r="A1301" s="6">
        <v>42242</v>
      </c>
      <c r="B1301" s="1">
        <v>227.929993</v>
      </c>
      <c r="C1301" s="1">
        <v>228</v>
      </c>
      <c r="D1301" s="1">
        <v>215.509995</v>
      </c>
      <c r="E1301" s="1">
        <v>224.83999600000001</v>
      </c>
      <c r="F1301" s="1">
        <v>224.83999600000001</v>
      </c>
      <c r="G1301" s="2">
        <v>4963000</v>
      </c>
      <c r="H1301" s="2">
        <f t="shared" si="160"/>
        <v>2015</v>
      </c>
      <c r="I1301" s="2">
        <f t="shared" si="161"/>
        <v>8</v>
      </c>
      <c r="J1301" s="2">
        <f t="shared" si="162"/>
        <v>26</v>
      </c>
      <c r="K1301" s="2">
        <f t="shared" si="163"/>
        <v>4</v>
      </c>
      <c r="L1301" s="2">
        <f t="shared" si="164"/>
        <v>9</v>
      </c>
      <c r="M1301" s="3">
        <f t="shared" si="165"/>
        <v>220.029999</v>
      </c>
      <c r="N1301" s="1">
        <f t="shared" ca="1" si="166"/>
        <v>220.029999</v>
      </c>
      <c r="O1301" s="5">
        <f t="shared" si="167"/>
        <v>2.1860641830026228E-2</v>
      </c>
    </row>
    <row r="1302" spans="1:15" s="2" customFormat="1" x14ac:dyDescent="0.5">
      <c r="A1302" s="6">
        <v>42243</v>
      </c>
      <c r="B1302" s="1">
        <v>231</v>
      </c>
      <c r="C1302" s="1">
        <v>244.75</v>
      </c>
      <c r="D1302" s="1">
        <v>230.80999800000001</v>
      </c>
      <c r="E1302" s="1">
        <v>242.990005</v>
      </c>
      <c r="F1302" s="1">
        <v>242.990005</v>
      </c>
      <c r="G1302" s="2">
        <v>7656000</v>
      </c>
      <c r="H1302" s="2">
        <f t="shared" si="160"/>
        <v>2015</v>
      </c>
      <c r="I1302" s="2">
        <f t="shared" si="161"/>
        <v>8</v>
      </c>
      <c r="J1302" s="2">
        <f t="shared" si="162"/>
        <v>27</v>
      </c>
      <c r="K1302" s="2">
        <f t="shared" si="163"/>
        <v>5</v>
      </c>
      <c r="L1302" s="2">
        <f t="shared" si="164"/>
        <v>9</v>
      </c>
      <c r="M1302" s="3">
        <f t="shared" si="165"/>
        <v>224.83999600000001</v>
      </c>
      <c r="N1302" s="1">
        <f t="shared" ca="1" si="166"/>
        <v>224.83999600000001</v>
      </c>
      <c r="O1302" s="5">
        <f t="shared" si="167"/>
        <v>8.0724111914679098E-2</v>
      </c>
    </row>
    <row r="1303" spans="1:15" s="2" customFormat="1" x14ac:dyDescent="0.5">
      <c r="A1303" s="6">
        <v>42244</v>
      </c>
      <c r="B1303" s="1">
        <v>241.86000100000001</v>
      </c>
      <c r="C1303" s="1">
        <v>251.449997</v>
      </c>
      <c r="D1303" s="1">
        <v>241.570007</v>
      </c>
      <c r="E1303" s="1">
        <v>248.479996</v>
      </c>
      <c r="F1303" s="1">
        <v>248.479996</v>
      </c>
      <c r="G1303" s="2">
        <v>5513700</v>
      </c>
      <c r="H1303" s="2">
        <f t="shared" si="160"/>
        <v>2015</v>
      </c>
      <c r="I1303" s="2">
        <f t="shared" si="161"/>
        <v>8</v>
      </c>
      <c r="J1303" s="2">
        <f t="shared" si="162"/>
        <v>28</v>
      </c>
      <c r="K1303" s="2">
        <f t="shared" si="163"/>
        <v>6</v>
      </c>
      <c r="L1303" s="2">
        <f t="shared" si="164"/>
        <v>9</v>
      </c>
      <c r="M1303" s="3">
        <f t="shared" si="165"/>
        <v>242.990005</v>
      </c>
      <c r="N1303" s="1">
        <f t="shared" ca="1" si="166"/>
        <v>242.990005</v>
      </c>
      <c r="O1303" s="5">
        <f t="shared" si="167"/>
        <v>2.2593484863708602E-2</v>
      </c>
    </row>
    <row r="1304" spans="1:15" s="2" customFormat="1" x14ac:dyDescent="0.5">
      <c r="A1304" s="6">
        <v>42247</v>
      </c>
      <c r="B1304" s="1">
        <v>245.61999499999999</v>
      </c>
      <c r="C1304" s="1">
        <v>254.949997</v>
      </c>
      <c r="D1304" s="1">
        <v>245.509995</v>
      </c>
      <c r="E1304" s="1">
        <v>249.05999800000001</v>
      </c>
      <c r="F1304" s="1">
        <v>249.05999800000001</v>
      </c>
      <c r="G1304" s="2">
        <v>4680800</v>
      </c>
      <c r="H1304" s="2">
        <f t="shared" si="160"/>
        <v>2015</v>
      </c>
      <c r="I1304" s="2">
        <f t="shared" si="161"/>
        <v>8</v>
      </c>
      <c r="J1304" s="2">
        <f t="shared" si="162"/>
        <v>31</v>
      </c>
      <c r="K1304" s="2">
        <f t="shared" si="163"/>
        <v>2</v>
      </c>
      <c r="L1304" s="2">
        <f t="shared" si="164"/>
        <v>9</v>
      </c>
      <c r="M1304" s="3">
        <f t="shared" si="165"/>
        <v>248.479996</v>
      </c>
      <c r="N1304" s="1">
        <f t="shared" ca="1" si="166"/>
        <v>248.479996</v>
      </c>
      <c r="O1304" s="5">
        <f t="shared" si="167"/>
        <v>2.3341999731842922E-3</v>
      </c>
    </row>
    <row r="1305" spans="1:15" s="2" customFormat="1" x14ac:dyDescent="0.5">
      <c r="A1305" s="6">
        <v>42248</v>
      </c>
      <c r="B1305" s="1">
        <v>240.33999600000001</v>
      </c>
      <c r="C1305" s="1">
        <v>246</v>
      </c>
      <c r="D1305" s="1">
        <v>236.970001</v>
      </c>
      <c r="E1305" s="1">
        <v>238.63000500000001</v>
      </c>
      <c r="F1305" s="1">
        <v>238.63000500000001</v>
      </c>
      <c r="G1305" s="2">
        <v>5454800</v>
      </c>
      <c r="H1305" s="2">
        <f t="shared" si="160"/>
        <v>2015</v>
      </c>
      <c r="I1305" s="2">
        <f t="shared" si="161"/>
        <v>9</v>
      </c>
      <c r="J1305" s="2">
        <f t="shared" si="162"/>
        <v>1</v>
      </c>
      <c r="K1305" s="2">
        <f t="shared" si="163"/>
        <v>3</v>
      </c>
      <c r="L1305" s="2">
        <f t="shared" si="164"/>
        <v>10</v>
      </c>
      <c r="M1305" s="3">
        <f t="shared" si="165"/>
        <v>249.05999800000001</v>
      </c>
      <c r="N1305" s="1">
        <f t="shared" ca="1" si="166"/>
        <v>249.05999800000001</v>
      </c>
      <c r="O1305" s="5">
        <f t="shared" si="167"/>
        <v>-4.1877431477374327E-2</v>
      </c>
    </row>
    <row r="1306" spans="1:15" s="2" customFormat="1" x14ac:dyDescent="0.5">
      <c r="A1306" s="6">
        <v>42249</v>
      </c>
      <c r="B1306" s="1">
        <v>245.300003</v>
      </c>
      <c r="C1306" s="1">
        <v>247.88000500000001</v>
      </c>
      <c r="D1306" s="1">
        <v>239.779999</v>
      </c>
      <c r="E1306" s="1">
        <v>247.69000199999999</v>
      </c>
      <c r="F1306" s="1">
        <v>247.69000199999999</v>
      </c>
      <c r="G1306" s="2">
        <v>4629200</v>
      </c>
      <c r="H1306" s="2">
        <f t="shared" si="160"/>
        <v>2015</v>
      </c>
      <c r="I1306" s="2">
        <f t="shared" si="161"/>
        <v>9</v>
      </c>
      <c r="J1306" s="2">
        <f t="shared" si="162"/>
        <v>2</v>
      </c>
      <c r="K1306" s="2">
        <f t="shared" si="163"/>
        <v>4</v>
      </c>
      <c r="L1306" s="2">
        <f t="shared" si="164"/>
        <v>10</v>
      </c>
      <c r="M1306" s="3">
        <f t="shared" si="165"/>
        <v>238.63000500000001</v>
      </c>
      <c r="N1306" s="1">
        <f t="shared" ca="1" si="166"/>
        <v>238.63000500000001</v>
      </c>
      <c r="O1306" s="5">
        <f t="shared" si="167"/>
        <v>3.7966713364482318E-2</v>
      </c>
    </row>
    <row r="1307" spans="1:15" s="2" customFormat="1" x14ac:dyDescent="0.5">
      <c r="A1307" s="6">
        <v>42250</v>
      </c>
      <c r="B1307" s="1">
        <v>252.05999800000001</v>
      </c>
      <c r="C1307" s="1">
        <v>252.08000200000001</v>
      </c>
      <c r="D1307" s="1">
        <v>245</v>
      </c>
      <c r="E1307" s="1">
        <v>245.570007</v>
      </c>
      <c r="F1307" s="1">
        <v>245.570007</v>
      </c>
      <c r="G1307" s="2">
        <v>4194800</v>
      </c>
      <c r="H1307" s="2">
        <f t="shared" si="160"/>
        <v>2015</v>
      </c>
      <c r="I1307" s="2">
        <f t="shared" si="161"/>
        <v>9</v>
      </c>
      <c r="J1307" s="2">
        <f t="shared" si="162"/>
        <v>3</v>
      </c>
      <c r="K1307" s="2">
        <f t="shared" si="163"/>
        <v>5</v>
      </c>
      <c r="L1307" s="2">
        <f t="shared" si="164"/>
        <v>10</v>
      </c>
      <c r="M1307" s="3">
        <f t="shared" si="165"/>
        <v>247.69000199999999</v>
      </c>
      <c r="N1307" s="1">
        <f t="shared" ca="1" si="166"/>
        <v>247.69000199999999</v>
      </c>
      <c r="O1307" s="5">
        <f t="shared" si="167"/>
        <v>-8.5590656985823355E-3</v>
      </c>
    </row>
    <row r="1308" spans="1:15" s="2" customFormat="1" x14ac:dyDescent="0.5">
      <c r="A1308" s="6">
        <v>42251</v>
      </c>
      <c r="B1308" s="1">
        <v>240.88999899999999</v>
      </c>
      <c r="C1308" s="1">
        <v>244.08999600000001</v>
      </c>
      <c r="D1308" s="1">
        <v>238.199997</v>
      </c>
      <c r="E1308" s="1">
        <v>241.929993</v>
      </c>
      <c r="F1308" s="1">
        <v>241.929993</v>
      </c>
      <c r="G1308" s="2">
        <v>3689200</v>
      </c>
      <c r="H1308" s="2">
        <f t="shared" si="160"/>
        <v>2015</v>
      </c>
      <c r="I1308" s="2">
        <f t="shared" si="161"/>
        <v>9</v>
      </c>
      <c r="J1308" s="2">
        <f t="shared" si="162"/>
        <v>4</v>
      </c>
      <c r="K1308" s="2">
        <f t="shared" si="163"/>
        <v>6</v>
      </c>
      <c r="L1308" s="2">
        <f t="shared" si="164"/>
        <v>10</v>
      </c>
      <c r="M1308" s="3">
        <f t="shared" si="165"/>
        <v>245.570007</v>
      </c>
      <c r="N1308" s="1">
        <f t="shared" ca="1" si="166"/>
        <v>245.570007</v>
      </c>
      <c r="O1308" s="5">
        <f t="shared" si="167"/>
        <v>-1.4822714078433941E-2</v>
      </c>
    </row>
    <row r="1309" spans="1:15" s="2" customFormat="1" x14ac:dyDescent="0.5">
      <c r="A1309" s="6">
        <v>42255</v>
      </c>
      <c r="B1309" s="1">
        <v>245.050003</v>
      </c>
      <c r="C1309" s="1">
        <v>249.16000399999999</v>
      </c>
      <c r="D1309" s="1">
        <v>244.050003</v>
      </c>
      <c r="E1309" s="1">
        <v>248.16999799999999</v>
      </c>
      <c r="F1309" s="1">
        <v>248.16999799999999</v>
      </c>
      <c r="G1309" s="2">
        <v>3138200</v>
      </c>
      <c r="H1309" s="2">
        <f t="shared" si="160"/>
        <v>2015</v>
      </c>
      <c r="I1309" s="2">
        <f t="shared" si="161"/>
        <v>9</v>
      </c>
      <c r="J1309" s="2">
        <f t="shared" si="162"/>
        <v>8</v>
      </c>
      <c r="K1309" s="2">
        <f t="shared" si="163"/>
        <v>3</v>
      </c>
      <c r="L1309" s="2">
        <f t="shared" si="164"/>
        <v>10</v>
      </c>
      <c r="M1309" s="3">
        <f t="shared" si="165"/>
        <v>241.929993</v>
      </c>
      <c r="N1309" s="1">
        <f t="shared" ca="1" si="166"/>
        <v>241.929993</v>
      </c>
      <c r="O1309" s="5">
        <f t="shared" si="167"/>
        <v>2.5792606045336397E-2</v>
      </c>
    </row>
    <row r="1310" spans="1:15" s="2" customFormat="1" x14ac:dyDescent="0.5">
      <c r="A1310" s="6">
        <v>42256</v>
      </c>
      <c r="B1310" s="1">
        <v>252.050003</v>
      </c>
      <c r="C1310" s="1">
        <v>254.25</v>
      </c>
      <c r="D1310" s="1">
        <v>248.300003</v>
      </c>
      <c r="E1310" s="1">
        <v>248.91000399999999</v>
      </c>
      <c r="F1310" s="1">
        <v>248.91000399999999</v>
      </c>
      <c r="G1310" s="2">
        <v>3384700</v>
      </c>
      <c r="H1310" s="2">
        <f t="shared" si="160"/>
        <v>2015</v>
      </c>
      <c r="I1310" s="2">
        <f t="shared" si="161"/>
        <v>9</v>
      </c>
      <c r="J1310" s="2">
        <f t="shared" si="162"/>
        <v>9</v>
      </c>
      <c r="K1310" s="2">
        <f t="shared" si="163"/>
        <v>4</v>
      </c>
      <c r="L1310" s="2">
        <f t="shared" si="164"/>
        <v>10</v>
      </c>
      <c r="M1310" s="3">
        <f t="shared" si="165"/>
        <v>248.16999799999999</v>
      </c>
      <c r="N1310" s="1">
        <f t="shared" ca="1" si="166"/>
        <v>248.16999799999999</v>
      </c>
      <c r="O1310" s="5">
        <f t="shared" si="167"/>
        <v>2.9818511744517107E-3</v>
      </c>
    </row>
    <row r="1311" spans="1:15" s="2" customFormat="1" x14ac:dyDescent="0.5">
      <c r="A1311" s="6">
        <v>42257</v>
      </c>
      <c r="B1311" s="1">
        <v>247.229996</v>
      </c>
      <c r="C1311" s="1">
        <v>250.720001</v>
      </c>
      <c r="D1311" s="1">
        <v>245.33000200000001</v>
      </c>
      <c r="E1311" s="1">
        <v>248.479996</v>
      </c>
      <c r="F1311" s="1">
        <v>248.479996</v>
      </c>
      <c r="G1311" s="2">
        <v>2709000</v>
      </c>
      <c r="H1311" s="2">
        <f t="shared" si="160"/>
        <v>2015</v>
      </c>
      <c r="I1311" s="2">
        <f t="shared" si="161"/>
        <v>9</v>
      </c>
      <c r="J1311" s="2">
        <f t="shared" si="162"/>
        <v>10</v>
      </c>
      <c r="K1311" s="2">
        <f t="shared" si="163"/>
        <v>5</v>
      </c>
      <c r="L1311" s="2">
        <f t="shared" si="164"/>
        <v>10</v>
      </c>
      <c r="M1311" s="3">
        <f t="shared" si="165"/>
        <v>248.91000399999999</v>
      </c>
      <c r="N1311" s="1">
        <f t="shared" ca="1" si="166"/>
        <v>248.91000399999999</v>
      </c>
      <c r="O1311" s="5">
        <f t="shared" si="167"/>
        <v>-1.7275641520618779E-3</v>
      </c>
    </row>
    <row r="1312" spans="1:15" s="2" customFormat="1" x14ac:dyDescent="0.5">
      <c r="A1312" s="6">
        <v>42258</v>
      </c>
      <c r="B1312" s="1">
        <v>247.63999899999999</v>
      </c>
      <c r="C1312" s="1">
        <v>250.240005</v>
      </c>
      <c r="D1312" s="1">
        <v>244.729996</v>
      </c>
      <c r="E1312" s="1">
        <v>250.240005</v>
      </c>
      <c r="F1312" s="1">
        <v>250.240005</v>
      </c>
      <c r="G1312" s="2">
        <v>2350800</v>
      </c>
      <c r="H1312" s="2">
        <f t="shared" si="160"/>
        <v>2015</v>
      </c>
      <c r="I1312" s="2">
        <f t="shared" si="161"/>
        <v>9</v>
      </c>
      <c r="J1312" s="2">
        <f t="shared" si="162"/>
        <v>11</v>
      </c>
      <c r="K1312" s="2">
        <f t="shared" si="163"/>
        <v>6</v>
      </c>
      <c r="L1312" s="2">
        <f t="shared" si="164"/>
        <v>10</v>
      </c>
      <c r="M1312" s="3">
        <f t="shared" si="165"/>
        <v>248.479996</v>
      </c>
      <c r="N1312" s="1">
        <f t="shared" ca="1" si="166"/>
        <v>248.479996</v>
      </c>
      <c r="O1312" s="5">
        <f t="shared" si="167"/>
        <v>7.0831013696570633E-3</v>
      </c>
    </row>
    <row r="1313" spans="1:15" s="2" customFormat="1" x14ac:dyDescent="0.5">
      <c r="A1313" s="6">
        <v>42261</v>
      </c>
      <c r="B1313" s="1">
        <v>251.10000600000001</v>
      </c>
      <c r="C1313" s="1">
        <v>254.25</v>
      </c>
      <c r="D1313" s="1">
        <v>249.66999799999999</v>
      </c>
      <c r="E1313" s="1">
        <v>253.19000199999999</v>
      </c>
      <c r="F1313" s="1">
        <v>253.19000199999999</v>
      </c>
      <c r="G1313" s="2">
        <v>2890900</v>
      </c>
      <c r="H1313" s="2">
        <f t="shared" si="160"/>
        <v>2015</v>
      </c>
      <c r="I1313" s="2">
        <f t="shared" si="161"/>
        <v>9</v>
      </c>
      <c r="J1313" s="2">
        <f t="shared" si="162"/>
        <v>14</v>
      </c>
      <c r="K1313" s="2">
        <f t="shared" si="163"/>
        <v>2</v>
      </c>
      <c r="L1313" s="2">
        <f t="shared" si="164"/>
        <v>10</v>
      </c>
      <c r="M1313" s="3">
        <f t="shared" si="165"/>
        <v>250.240005</v>
      </c>
      <c r="N1313" s="1">
        <f t="shared" ca="1" si="166"/>
        <v>250.240005</v>
      </c>
      <c r="O1313" s="5">
        <f t="shared" si="167"/>
        <v>1.178867064041178E-2</v>
      </c>
    </row>
    <row r="1314" spans="1:15" s="2" customFormat="1" x14ac:dyDescent="0.5">
      <c r="A1314" s="6">
        <v>42262</v>
      </c>
      <c r="B1314" s="1">
        <v>252.75</v>
      </c>
      <c r="C1314" s="1">
        <v>254.60000600000001</v>
      </c>
      <c r="D1314" s="1">
        <v>249.5</v>
      </c>
      <c r="E1314" s="1">
        <v>253.570007</v>
      </c>
      <c r="F1314" s="1">
        <v>253.570007</v>
      </c>
      <c r="G1314" s="2">
        <v>2929300</v>
      </c>
      <c r="H1314" s="2">
        <f t="shared" si="160"/>
        <v>2015</v>
      </c>
      <c r="I1314" s="2">
        <f t="shared" si="161"/>
        <v>9</v>
      </c>
      <c r="J1314" s="2">
        <f t="shared" si="162"/>
        <v>15</v>
      </c>
      <c r="K1314" s="2">
        <f t="shared" si="163"/>
        <v>3</v>
      </c>
      <c r="L1314" s="2">
        <f t="shared" si="164"/>
        <v>10</v>
      </c>
      <c r="M1314" s="3">
        <f t="shared" si="165"/>
        <v>253.19000199999999</v>
      </c>
      <c r="N1314" s="1">
        <f t="shared" ca="1" si="166"/>
        <v>253.19000199999999</v>
      </c>
      <c r="O1314" s="5">
        <f t="shared" si="167"/>
        <v>1.500868900818686E-3</v>
      </c>
    </row>
    <row r="1315" spans="1:15" s="2" customFormat="1" x14ac:dyDescent="0.5">
      <c r="A1315" s="6">
        <v>42263</v>
      </c>
      <c r="B1315" s="1">
        <v>253.03999300000001</v>
      </c>
      <c r="C1315" s="1">
        <v>262.88000499999998</v>
      </c>
      <c r="D1315" s="1">
        <v>252.88000500000001</v>
      </c>
      <c r="E1315" s="1">
        <v>262.25</v>
      </c>
      <c r="F1315" s="1">
        <v>262.25</v>
      </c>
      <c r="G1315" s="2">
        <v>4417100</v>
      </c>
      <c r="H1315" s="2">
        <f t="shared" si="160"/>
        <v>2015</v>
      </c>
      <c r="I1315" s="2">
        <f t="shared" si="161"/>
        <v>9</v>
      </c>
      <c r="J1315" s="2">
        <f t="shared" si="162"/>
        <v>16</v>
      </c>
      <c r="K1315" s="2">
        <f t="shared" si="163"/>
        <v>4</v>
      </c>
      <c r="L1315" s="2">
        <f t="shared" si="164"/>
        <v>10</v>
      </c>
      <c r="M1315" s="3">
        <f t="shared" si="165"/>
        <v>253.570007</v>
      </c>
      <c r="N1315" s="1">
        <f t="shared" ca="1" si="166"/>
        <v>253.570007</v>
      </c>
      <c r="O1315" s="5">
        <f t="shared" si="167"/>
        <v>3.4231150216436967E-2</v>
      </c>
    </row>
    <row r="1316" spans="1:15" s="2" customFormat="1" x14ac:dyDescent="0.5">
      <c r="A1316" s="6">
        <v>42264</v>
      </c>
      <c r="B1316" s="1">
        <v>263.959991</v>
      </c>
      <c r="C1316" s="1">
        <v>265.5</v>
      </c>
      <c r="D1316" s="1">
        <v>260.69000199999999</v>
      </c>
      <c r="E1316" s="1">
        <v>262.07000699999998</v>
      </c>
      <c r="F1316" s="1">
        <v>262.07000699999998</v>
      </c>
      <c r="G1316" s="2">
        <v>3585800</v>
      </c>
      <c r="H1316" s="2">
        <f t="shared" si="160"/>
        <v>2015</v>
      </c>
      <c r="I1316" s="2">
        <f t="shared" si="161"/>
        <v>9</v>
      </c>
      <c r="J1316" s="2">
        <f t="shared" si="162"/>
        <v>17</v>
      </c>
      <c r="K1316" s="2">
        <f t="shared" si="163"/>
        <v>5</v>
      </c>
      <c r="L1316" s="2">
        <f t="shared" si="164"/>
        <v>10</v>
      </c>
      <c r="M1316" s="3">
        <f t="shared" si="165"/>
        <v>262.25</v>
      </c>
      <c r="N1316" s="1">
        <f t="shared" ca="1" si="166"/>
        <v>262.25</v>
      </c>
      <c r="O1316" s="5">
        <f t="shared" si="167"/>
        <v>-6.8634127740718753E-4</v>
      </c>
    </row>
    <row r="1317" spans="1:15" s="2" customFormat="1" x14ac:dyDescent="0.5">
      <c r="A1317" s="6">
        <v>42265</v>
      </c>
      <c r="B1317" s="1">
        <v>257.959991</v>
      </c>
      <c r="C1317" s="1">
        <v>263.82000699999998</v>
      </c>
      <c r="D1317" s="1">
        <v>257.5</v>
      </c>
      <c r="E1317" s="1">
        <v>260.61999500000002</v>
      </c>
      <c r="F1317" s="1">
        <v>260.61999500000002</v>
      </c>
      <c r="G1317" s="2">
        <v>3739800</v>
      </c>
      <c r="H1317" s="2">
        <f t="shared" si="160"/>
        <v>2015</v>
      </c>
      <c r="I1317" s="2">
        <f t="shared" si="161"/>
        <v>9</v>
      </c>
      <c r="J1317" s="2">
        <f t="shared" si="162"/>
        <v>18</v>
      </c>
      <c r="K1317" s="2">
        <f t="shared" si="163"/>
        <v>6</v>
      </c>
      <c r="L1317" s="2">
        <f t="shared" si="164"/>
        <v>10</v>
      </c>
      <c r="M1317" s="3">
        <f t="shared" si="165"/>
        <v>262.07000699999998</v>
      </c>
      <c r="N1317" s="1">
        <f t="shared" ca="1" si="166"/>
        <v>262.07000699999998</v>
      </c>
      <c r="O1317" s="5">
        <f t="shared" si="167"/>
        <v>-5.5329185380605939E-3</v>
      </c>
    </row>
    <row r="1318" spans="1:15" s="2" customFormat="1" x14ac:dyDescent="0.5">
      <c r="A1318" s="6">
        <v>42268</v>
      </c>
      <c r="B1318" s="1">
        <v>263.98001099999999</v>
      </c>
      <c r="C1318" s="1">
        <v>271.57000699999998</v>
      </c>
      <c r="D1318" s="1">
        <v>255.800003</v>
      </c>
      <c r="E1318" s="1">
        <v>264.20001200000002</v>
      </c>
      <c r="F1318" s="1">
        <v>264.20001200000002</v>
      </c>
      <c r="G1318" s="2">
        <v>6120200</v>
      </c>
      <c r="H1318" s="2">
        <f t="shared" si="160"/>
        <v>2015</v>
      </c>
      <c r="I1318" s="2">
        <f t="shared" si="161"/>
        <v>9</v>
      </c>
      <c r="J1318" s="2">
        <f t="shared" si="162"/>
        <v>21</v>
      </c>
      <c r="K1318" s="2">
        <f t="shared" si="163"/>
        <v>2</v>
      </c>
      <c r="L1318" s="2">
        <f t="shared" si="164"/>
        <v>10</v>
      </c>
      <c r="M1318" s="3">
        <f t="shared" si="165"/>
        <v>260.61999500000002</v>
      </c>
      <c r="N1318" s="1">
        <f t="shared" ca="1" si="166"/>
        <v>260.61999500000002</v>
      </c>
      <c r="O1318" s="5">
        <f t="shared" si="167"/>
        <v>1.3736540053268076E-2</v>
      </c>
    </row>
    <row r="1319" spans="1:15" s="2" customFormat="1" x14ac:dyDescent="0.5">
      <c r="A1319" s="6">
        <v>42269</v>
      </c>
      <c r="B1319" s="1">
        <v>259.02999899999998</v>
      </c>
      <c r="C1319" s="1">
        <v>262.64999399999999</v>
      </c>
      <c r="D1319" s="1">
        <v>255.86999499999999</v>
      </c>
      <c r="E1319" s="1">
        <v>260.94000199999999</v>
      </c>
      <c r="F1319" s="1">
        <v>260.94000199999999</v>
      </c>
      <c r="G1319" s="2">
        <v>3664400</v>
      </c>
      <c r="H1319" s="2">
        <f t="shared" si="160"/>
        <v>2015</v>
      </c>
      <c r="I1319" s="2">
        <f t="shared" si="161"/>
        <v>9</v>
      </c>
      <c r="J1319" s="2">
        <f t="shared" si="162"/>
        <v>22</v>
      </c>
      <c r="K1319" s="2">
        <f t="shared" si="163"/>
        <v>3</v>
      </c>
      <c r="L1319" s="2">
        <f t="shared" si="164"/>
        <v>10</v>
      </c>
      <c r="M1319" s="3">
        <f t="shared" si="165"/>
        <v>264.20001200000002</v>
      </c>
      <c r="N1319" s="1">
        <f t="shared" ca="1" si="166"/>
        <v>264.20001200000002</v>
      </c>
      <c r="O1319" s="5">
        <f t="shared" si="167"/>
        <v>-1.233917430707776E-2</v>
      </c>
    </row>
    <row r="1320" spans="1:15" s="2" customFormat="1" x14ac:dyDescent="0.5">
      <c r="A1320" s="6">
        <v>42270</v>
      </c>
      <c r="B1320" s="1">
        <v>261.95001200000002</v>
      </c>
      <c r="C1320" s="1">
        <v>262.07998700000002</v>
      </c>
      <c r="D1320" s="1">
        <v>257.57998700000002</v>
      </c>
      <c r="E1320" s="1">
        <v>261.05999800000001</v>
      </c>
      <c r="F1320" s="1">
        <v>261.05999800000001</v>
      </c>
      <c r="G1320" s="2">
        <v>2600800</v>
      </c>
      <c r="H1320" s="2">
        <f t="shared" si="160"/>
        <v>2015</v>
      </c>
      <c r="I1320" s="2">
        <f t="shared" si="161"/>
        <v>9</v>
      </c>
      <c r="J1320" s="2">
        <f t="shared" si="162"/>
        <v>23</v>
      </c>
      <c r="K1320" s="2">
        <f t="shared" si="163"/>
        <v>4</v>
      </c>
      <c r="L1320" s="2">
        <f t="shared" si="164"/>
        <v>10</v>
      </c>
      <c r="M1320" s="3">
        <f t="shared" si="165"/>
        <v>260.94000199999999</v>
      </c>
      <c r="N1320" s="1">
        <f t="shared" ca="1" si="166"/>
        <v>260.94000199999999</v>
      </c>
      <c r="O1320" s="5">
        <f t="shared" si="167"/>
        <v>4.5986050080593088E-4</v>
      </c>
    </row>
    <row r="1321" spans="1:15" s="2" customFormat="1" x14ac:dyDescent="0.5">
      <c r="A1321" s="6">
        <v>42271</v>
      </c>
      <c r="B1321" s="1">
        <v>259.52999899999998</v>
      </c>
      <c r="C1321" s="1">
        <v>263.45001200000002</v>
      </c>
      <c r="D1321" s="1">
        <v>256.209991</v>
      </c>
      <c r="E1321" s="1">
        <v>263.11999500000002</v>
      </c>
      <c r="F1321" s="1">
        <v>263.11999500000002</v>
      </c>
      <c r="G1321" s="2">
        <v>3448200</v>
      </c>
      <c r="H1321" s="2">
        <f t="shared" si="160"/>
        <v>2015</v>
      </c>
      <c r="I1321" s="2">
        <f t="shared" si="161"/>
        <v>9</v>
      </c>
      <c r="J1321" s="2">
        <f t="shared" si="162"/>
        <v>24</v>
      </c>
      <c r="K1321" s="2">
        <f t="shared" si="163"/>
        <v>5</v>
      </c>
      <c r="L1321" s="2">
        <f t="shared" si="164"/>
        <v>10</v>
      </c>
      <c r="M1321" s="3">
        <f t="shared" si="165"/>
        <v>261.05999800000001</v>
      </c>
      <c r="N1321" s="1">
        <f t="shared" ca="1" si="166"/>
        <v>261.05999800000001</v>
      </c>
      <c r="O1321" s="5">
        <f t="shared" si="167"/>
        <v>7.8908948739055962E-3</v>
      </c>
    </row>
    <row r="1322" spans="1:15" s="2" customFormat="1" x14ac:dyDescent="0.5">
      <c r="A1322" s="6">
        <v>42272</v>
      </c>
      <c r="B1322" s="1">
        <v>266.60998499999999</v>
      </c>
      <c r="C1322" s="1">
        <v>266.91000400000001</v>
      </c>
      <c r="D1322" s="1">
        <v>256.14999399999999</v>
      </c>
      <c r="E1322" s="1">
        <v>256.91000400000001</v>
      </c>
      <c r="F1322" s="1">
        <v>256.91000400000001</v>
      </c>
      <c r="G1322" s="2">
        <v>3773400</v>
      </c>
      <c r="H1322" s="2">
        <f t="shared" si="160"/>
        <v>2015</v>
      </c>
      <c r="I1322" s="2">
        <f t="shared" si="161"/>
        <v>9</v>
      </c>
      <c r="J1322" s="2">
        <f t="shared" si="162"/>
        <v>25</v>
      </c>
      <c r="K1322" s="2">
        <f t="shared" si="163"/>
        <v>6</v>
      </c>
      <c r="L1322" s="2">
        <f t="shared" si="164"/>
        <v>10</v>
      </c>
      <c r="M1322" s="3">
        <f t="shared" si="165"/>
        <v>263.11999500000002</v>
      </c>
      <c r="N1322" s="1">
        <f t="shared" ca="1" si="166"/>
        <v>263.11999500000002</v>
      </c>
      <c r="O1322" s="5">
        <f t="shared" si="167"/>
        <v>-2.3601364844963668E-2</v>
      </c>
    </row>
    <row r="1323" spans="1:15" s="2" customFormat="1" x14ac:dyDescent="0.5">
      <c r="A1323" s="6">
        <v>42275</v>
      </c>
      <c r="B1323" s="1">
        <v>257.35000600000001</v>
      </c>
      <c r="C1323" s="1">
        <v>259.790009</v>
      </c>
      <c r="D1323" s="1">
        <v>246.61000100000001</v>
      </c>
      <c r="E1323" s="1">
        <v>248.429993</v>
      </c>
      <c r="F1323" s="1">
        <v>248.429993</v>
      </c>
      <c r="G1323" s="2">
        <v>4901100</v>
      </c>
      <c r="H1323" s="2">
        <f t="shared" si="160"/>
        <v>2015</v>
      </c>
      <c r="I1323" s="2">
        <f t="shared" si="161"/>
        <v>9</v>
      </c>
      <c r="J1323" s="2">
        <f t="shared" si="162"/>
        <v>28</v>
      </c>
      <c r="K1323" s="2">
        <f t="shared" si="163"/>
        <v>2</v>
      </c>
      <c r="L1323" s="2">
        <f t="shared" si="164"/>
        <v>10</v>
      </c>
      <c r="M1323" s="3">
        <f t="shared" si="165"/>
        <v>256.91000400000001</v>
      </c>
      <c r="N1323" s="1">
        <f t="shared" ca="1" si="166"/>
        <v>256.91000400000001</v>
      </c>
      <c r="O1323" s="5">
        <f t="shared" si="167"/>
        <v>-3.3007710357592868E-2</v>
      </c>
    </row>
    <row r="1324" spans="1:15" s="2" customFormat="1" x14ac:dyDescent="0.5">
      <c r="A1324" s="6">
        <v>42276</v>
      </c>
      <c r="B1324" s="1">
        <v>250.46000699999999</v>
      </c>
      <c r="C1324" s="1">
        <v>254.729996</v>
      </c>
      <c r="D1324" s="1">
        <v>245.46000699999999</v>
      </c>
      <c r="E1324" s="1">
        <v>246.64999399999999</v>
      </c>
      <c r="F1324" s="1">
        <v>246.64999399999999</v>
      </c>
      <c r="G1324" s="2">
        <v>3703200</v>
      </c>
      <c r="H1324" s="2">
        <f t="shared" si="160"/>
        <v>2015</v>
      </c>
      <c r="I1324" s="2">
        <f t="shared" si="161"/>
        <v>9</v>
      </c>
      <c r="J1324" s="2">
        <f t="shared" si="162"/>
        <v>29</v>
      </c>
      <c r="K1324" s="2">
        <f t="shared" si="163"/>
        <v>3</v>
      </c>
      <c r="L1324" s="2">
        <f t="shared" si="164"/>
        <v>10</v>
      </c>
      <c r="M1324" s="3">
        <f t="shared" si="165"/>
        <v>248.429993</v>
      </c>
      <c r="N1324" s="1">
        <f t="shared" ca="1" si="166"/>
        <v>248.429993</v>
      </c>
      <c r="O1324" s="5">
        <f t="shared" si="167"/>
        <v>-7.1649923525940462E-3</v>
      </c>
    </row>
    <row r="1325" spans="1:15" s="2" customFormat="1" x14ac:dyDescent="0.5">
      <c r="A1325" s="6">
        <v>42277</v>
      </c>
      <c r="B1325" s="1">
        <v>252</v>
      </c>
      <c r="C1325" s="1">
        <v>252.39999399999999</v>
      </c>
      <c r="D1325" s="1">
        <v>242.33999600000001</v>
      </c>
      <c r="E1325" s="1">
        <v>248.39999399999999</v>
      </c>
      <c r="F1325" s="1">
        <v>248.39999399999999</v>
      </c>
      <c r="G1325" s="2">
        <v>4923300</v>
      </c>
      <c r="H1325" s="2">
        <f t="shared" si="160"/>
        <v>2015</v>
      </c>
      <c r="I1325" s="2">
        <f t="shared" si="161"/>
        <v>9</v>
      </c>
      <c r="J1325" s="2">
        <f t="shared" si="162"/>
        <v>30</v>
      </c>
      <c r="K1325" s="2">
        <f t="shared" si="163"/>
        <v>4</v>
      </c>
      <c r="L1325" s="2">
        <f t="shared" si="164"/>
        <v>10</v>
      </c>
      <c r="M1325" s="3">
        <f t="shared" si="165"/>
        <v>246.64999399999999</v>
      </c>
      <c r="N1325" s="1">
        <f t="shared" ca="1" si="166"/>
        <v>246.64999399999999</v>
      </c>
      <c r="O1325" s="5">
        <f t="shared" si="167"/>
        <v>7.095074164080506E-3</v>
      </c>
    </row>
    <row r="1326" spans="1:15" s="2" customFormat="1" x14ac:dyDescent="0.5">
      <c r="A1326" s="6">
        <v>42278</v>
      </c>
      <c r="B1326" s="1">
        <v>247.509995</v>
      </c>
      <c r="C1326" s="1">
        <v>248.5</v>
      </c>
      <c r="D1326" s="1">
        <v>237.13000500000001</v>
      </c>
      <c r="E1326" s="1">
        <v>239.88000500000001</v>
      </c>
      <c r="F1326" s="1">
        <v>239.88000500000001</v>
      </c>
      <c r="G1326" s="2">
        <v>4573000</v>
      </c>
      <c r="H1326" s="2">
        <f t="shared" si="160"/>
        <v>2015</v>
      </c>
      <c r="I1326" s="2">
        <f t="shared" si="161"/>
        <v>10</v>
      </c>
      <c r="J1326" s="2">
        <f t="shared" si="162"/>
        <v>1</v>
      </c>
      <c r="K1326" s="2">
        <f t="shared" si="163"/>
        <v>5</v>
      </c>
      <c r="L1326" s="2">
        <f t="shared" si="164"/>
        <v>11</v>
      </c>
      <c r="M1326" s="3">
        <f t="shared" si="165"/>
        <v>248.39999399999999</v>
      </c>
      <c r="N1326" s="1">
        <f t="shared" ca="1" si="166"/>
        <v>248.39999399999999</v>
      </c>
      <c r="O1326" s="5">
        <f t="shared" si="167"/>
        <v>-3.4299473453288321E-2</v>
      </c>
    </row>
    <row r="1327" spans="1:15" s="2" customFormat="1" x14ac:dyDescent="0.5">
      <c r="A1327" s="6">
        <v>42279</v>
      </c>
      <c r="B1327" s="1">
        <v>235.60000600000001</v>
      </c>
      <c r="C1327" s="1">
        <v>247.699997</v>
      </c>
      <c r="D1327" s="1">
        <v>234.929993</v>
      </c>
      <c r="E1327" s="1">
        <v>247.570007</v>
      </c>
      <c r="F1327" s="1">
        <v>247.570007</v>
      </c>
      <c r="G1327" s="2">
        <v>4424000</v>
      </c>
      <c r="H1327" s="2">
        <f t="shared" si="160"/>
        <v>2015</v>
      </c>
      <c r="I1327" s="2">
        <f t="shared" si="161"/>
        <v>10</v>
      </c>
      <c r="J1327" s="2">
        <f t="shared" si="162"/>
        <v>2</v>
      </c>
      <c r="K1327" s="2">
        <f t="shared" si="163"/>
        <v>6</v>
      </c>
      <c r="L1327" s="2">
        <f t="shared" si="164"/>
        <v>11</v>
      </c>
      <c r="M1327" s="3">
        <f t="shared" si="165"/>
        <v>239.88000500000001</v>
      </c>
      <c r="N1327" s="1">
        <f t="shared" ca="1" si="166"/>
        <v>239.88000500000001</v>
      </c>
      <c r="O1327" s="5">
        <f t="shared" si="167"/>
        <v>3.205770318372303E-2</v>
      </c>
    </row>
    <row r="1328" spans="1:15" s="2" customFormat="1" x14ac:dyDescent="0.5">
      <c r="A1328" s="6">
        <v>42282</v>
      </c>
      <c r="B1328" s="1">
        <v>248.83999600000001</v>
      </c>
      <c r="C1328" s="1">
        <v>249.83999600000001</v>
      </c>
      <c r="D1328" s="1">
        <v>244.13000500000001</v>
      </c>
      <c r="E1328" s="1">
        <v>246.14999399999999</v>
      </c>
      <c r="F1328" s="1">
        <v>246.14999399999999</v>
      </c>
      <c r="G1328" s="2">
        <v>3689900</v>
      </c>
      <c r="H1328" s="2">
        <f t="shared" si="160"/>
        <v>2015</v>
      </c>
      <c r="I1328" s="2">
        <f t="shared" si="161"/>
        <v>10</v>
      </c>
      <c r="J1328" s="2">
        <f t="shared" si="162"/>
        <v>5</v>
      </c>
      <c r="K1328" s="2">
        <f t="shared" si="163"/>
        <v>2</v>
      </c>
      <c r="L1328" s="2">
        <f t="shared" si="164"/>
        <v>11</v>
      </c>
      <c r="M1328" s="3">
        <f t="shared" si="165"/>
        <v>247.570007</v>
      </c>
      <c r="N1328" s="1">
        <f t="shared" ca="1" si="166"/>
        <v>247.570007</v>
      </c>
      <c r="O1328" s="5">
        <f t="shared" si="167"/>
        <v>-5.7358038528472211E-3</v>
      </c>
    </row>
    <row r="1329" spans="1:15" s="2" customFormat="1" x14ac:dyDescent="0.5">
      <c r="A1329" s="6">
        <v>42283</v>
      </c>
      <c r="B1329" s="1">
        <v>240</v>
      </c>
      <c r="C1329" s="1">
        <v>243.029999</v>
      </c>
      <c r="D1329" s="1">
        <v>235.58000200000001</v>
      </c>
      <c r="E1329" s="1">
        <v>241.46000699999999</v>
      </c>
      <c r="F1329" s="1">
        <v>241.46000699999999</v>
      </c>
      <c r="G1329" s="2">
        <v>5225200</v>
      </c>
      <c r="H1329" s="2">
        <f t="shared" si="160"/>
        <v>2015</v>
      </c>
      <c r="I1329" s="2">
        <f t="shared" si="161"/>
        <v>10</v>
      </c>
      <c r="J1329" s="2">
        <f t="shared" si="162"/>
        <v>6</v>
      </c>
      <c r="K1329" s="2">
        <f t="shared" si="163"/>
        <v>3</v>
      </c>
      <c r="L1329" s="2">
        <f t="shared" si="164"/>
        <v>11</v>
      </c>
      <c r="M1329" s="3">
        <f t="shared" si="165"/>
        <v>246.14999399999999</v>
      </c>
      <c r="N1329" s="1">
        <f t="shared" ca="1" si="166"/>
        <v>246.14999399999999</v>
      </c>
      <c r="O1329" s="5">
        <f t="shared" si="167"/>
        <v>-1.9053370360837762E-2</v>
      </c>
    </row>
    <row r="1330" spans="1:15" s="2" customFormat="1" x14ac:dyDescent="0.5">
      <c r="A1330" s="6">
        <v>42284</v>
      </c>
      <c r="B1330" s="1">
        <v>236.63000500000001</v>
      </c>
      <c r="C1330" s="1">
        <v>237.699997</v>
      </c>
      <c r="D1330" s="1">
        <v>229.11999499999999</v>
      </c>
      <c r="E1330" s="1">
        <v>231.96000699999999</v>
      </c>
      <c r="F1330" s="1">
        <v>231.96000699999999</v>
      </c>
      <c r="G1330" s="2">
        <v>6814000</v>
      </c>
      <c r="H1330" s="2">
        <f t="shared" si="160"/>
        <v>2015</v>
      </c>
      <c r="I1330" s="2">
        <f t="shared" si="161"/>
        <v>10</v>
      </c>
      <c r="J1330" s="2">
        <f t="shared" si="162"/>
        <v>7</v>
      </c>
      <c r="K1330" s="2">
        <f t="shared" si="163"/>
        <v>4</v>
      </c>
      <c r="L1330" s="2">
        <f t="shared" si="164"/>
        <v>11</v>
      </c>
      <c r="M1330" s="3">
        <f t="shared" si="165"/>
        <v>241.46000699999999</v>
      </c>
      <c r="N1330" s="1">
        <f t="shared" ca="1" si="166"/>
        <v>241.46000699999999</v>
      </c>
      <c r="O1330" s="5">
        <f t="shared" si="167"/>
        <v>-3.9343989582506733E-2</v>
      </c>
    </row>
    <row r="1331" spans="1:15" s="2" customFormat="1" x14ac:dyDescent="0.5">
      <c r="A1331" s="6">
        <v>42285</v>
      </c>
      <c r="B1331" s="1">
        <v>230.08000200000001</v>
      </c>
      <c r="C1331" s="1">
        <v>230.720001</v>
      </c>
      <c r="D1331" s="1">
        <v>221.30999800000001</v>
      </c>
      <c r="E1331" s="1">
        <v>226.720001</v>
      </c>
      <c r="F1331" s="1">
        <v>226.720001</v>
      </c>
      <c r="G1331" s="2">
        <v>6133200</v>
      </c>
      <c r="H1331" s="2">
        <f t="shared" si="160"/>
        <v>2015</v>
      </c>
      <c r="I1331" s="2">
        <f t="shared" si="161"/>
        <v>10</v>
      </c>
      <c r="J1331" s="2">
        <f t="shared" si="162"/>
        <v>8</v>
      </c>
      <c r="K1331" s="2">
        <f t="shared" si="163"/>
        <v>5</v>
      </c>
      <c r="L1331" s="2">
        <f t="shared" si="164"/>
        <v>11</v>
      </c>
      <c r="M1331" s="3">
        <f t="shared" si="165"/>
        <v>231.96000699999999</v>
      </c>
      <c r="N1331" s="1">
        <f t="shared" ca="1" si="166"/>
        <v>231.96000699999999</v>
      </c>
      <c r="O1331" s="5">
        <f t="shared" si="167"/>
        <v>-2.2590126926492093E-2</v>
      </c>
    </row>
    <row r="1332" spans="1:15" s="2" customFormat="1" x14ac:dyDescent="0.5">
      <c r="A1332" s="6">
        <v>42286</v>
      </c>
      <c r="B1332" s="1">
        <v>220.929993</v>
      </c>
      <c r="C1332" s="1">
        <v>224.36999499999999</v>
      </c>
      <c r="D1332" s="1">
        <v>218.36000100000001</v>
      </c>
      <c r="E1332" s="1">
        <v>220.69000199999999</v>
      </c>
      <c r="F1332" s="1">
        <v>220.69000199999999</v>
      </c>
      <c r="G1332" s="2">
        <v>6158400</v>
      </c>
      <c r="H1332" s="2">
        <f t="shared" si="160"/>
        <v>2015</v>
      </c>
      <c r="I1332" s="2">
        <f t="shared" si="161"/>
        <v>10</v>
      </c>
      <c r="J1332" s="2">
        <f t="shared" si="162"/>
        <v>9</v>
      </c>
      <c r="K1332" s="2">
        <f t="shared" si="163"/>
        <v>6</v>
      </c>
      <c r="L1332" s="2">
        <f t="shared" si="164"/>
        <v>11</v>
      </c>
      <c r="M1332" s="3">
        <f t="shared" si="165"/>
        <v>226.720001</v>
      </c>
      <c r="N1332" s="1">
        <f t="shared" ca="1" si="166"/>
        <v>226.720001</v>
      </c>
      <c r="O1332" s="5">
        <f t="shared" si="167"/>
        <v>-2.6596678605342872E-2</v>
      </c>
    </row>
    <row r="1333" spans="1:15" s="2" customFormat="1" x14ac:dyDescent="0.5">
      <c r="A1333" s="6">
        <v>42289</v>
      </c>
      <c r="B1333" s="1">
        <v>222.990005</v>
      </c>
      <c r="C1333" s="1">
        <v>223</v>
      </c>
      <c r="D1333" s="1">
        <v>215.270004</v>
      </c>
      <c r="E1333" s="1">
        <v>215.58000200000001</v>
      </c>
      <c r="F1333" s="1">
        <v>215.58000200000001</v>
      </c>
      <c r="G1333" s="2">
        <v>3836300</v>
      </c>
      <c r="H1333" s="2">
        <f t="shared" si="160"/>
        <v>2015</v>
      </c>
      <c r="I1333" s="2">
        <f t="shared" si="161"/>
        <v>10</v>
      </c>
      <c r="J1333" s="2">
        <f t="shared" si="162"/>
        <v>12</v>
      </c>
      <c r="K1333" s="2">
        <f t="shared" si="163"/>
        <v>2</v>
      </c>
      <c r="L1333" s="2">
        <f t="shared" si="164"/>
        <v>11</v>
      </c>
      <c r="M1333" s="3">
        <f t="shared" si="165"/>
        <v>220.69000199999999</v>
      </c>
      <c r="N1333" s="1">
        <f t="shared" ca="1" si="166"/>
        <v>220.69000199999999</v>
      </c>
      <c r="O1333" s="5">
        <f t="shared" si="167"/>
        <v>-2.3154651111018554E-2</v>
      </c>
    </row>
    <row r="1334" spans="1:15" s="2" customFormat="1" x14ac:dyDescent="0.5">
      <c r="A1334" s="6">
        <v>42290</v>
      </c>
      <c r="B1334" s="1">
        <v>213.279999</v>
      </c>
      <c r="C1334" s="1">
        <v>222.520004</v>
      </c>
      <c r="D1334" s="1">
        <v>211.13000500000001</v>
      </c>
      <c r="E1334" s="1">
        <v>219.25</v>
      </c>
      <c r="F1334" s="1">
        <v>219.25</v>
      </c>
      <c r="G1334" s="2">
        <v>5171500</v>
      </c>
      <c r="H1334" s="2">
        <f t="shared" si="160"/>
        <v>2015</v>
      </c>
      <c r="I1334" s="2">
        <f t="shared" si="161"/>
        <v>10</v>
      </c>
      <c r="J1334" s="2">
        <f t="shared" si="162"/>
        <v>13</v>
      </c>
      <c r="K1334" s="2">
        <f t="shared" si="163"/>
        <v>3</v>
      </c>
      <c r="L1334" s="2">
        <f t="shared" si="164"/>
        <v>11</v>
      </c>
      <c r="M1334" s="3">
        <f t="shared" si="165"/>
        <v>215.58000200000001</v>
      </c>
      <c r="N1334" s="1">
        <f t="shared" ca="1" si="166"/>
        <v>215.58000200000001</v>
      </c>
      <c r="O1334" s="5">
        <f t="shared" si="167"/>
        <v>1.702383322178469E-2</v>
      </c>
    </row>
    <row r="1335" spans="1:15" s="2" customFormat="1" x14ac:dyDescent="0.5">
      <c r="A1335" s="6">
        <v>42291</v>
      </c>
      <c r="B1335" s="1">
        <v>220.66999799999999</v>
      </c>
      <c r="C1335" s="1">
        <v>220.949997</v>
      </c>
      <c r="D1335" s="1">
        <v>215.429993</v>
      </c>
      <c r="E1335" s="1">
        <v>216.88000500000001</v>
      </c>
      <c r="F1335" s="1">
        <v>216.88000500000001</v>
      </c>
      <c r="G1335" s="2">
        <v>3104400</v>
      </c>
      <c r="H1335" s="2">
        <f t="shared" si="160"/>
        <v>2015</v>
      </c>
      <c r="I1335" s="2">
        <f t="shared" si="161"/>
        <v>10</v>
      </c>
      <c r="J1335" s="2">
        <f t="shared" si="162"/>
        <v>14</v>
      </c>
      <c r="K1335" s="2">
        <f t="shared" si="163"/>
        <v>4</v>
      </c>
      <c r="L1335" s="2">
        <f t="shared" si="164"/>
        <v>11</v>
      </c>
      <c r="M1335" s="3">
        <f t="shared" si="165"/>
        <v>219.25</v>
      </c>
      <c r="N1335" s="1">
        <f t="shared" ca="1" si="166"/>
        <v>219.25</v>
      </c>
      <c r="O1335" s="5">
        <f t="shared" si="167"/>
        <v>-1.0809555302166429E-2</v>
      </c>
    </row>
    <row r="1336" spans="1:15" s="2" customFormat="1" x14ac:dyDescent="0.5">
      <c r="A1336" s="6">
        <v>42292</v>
      </c>
      <c r="B1336" s="1">
        <v>216.429993</v>
      </c>
      <c r="C1336" s="1">
        <v>221.729996</v>
      </c>
      <c r="D1336" s="1">
        <v>213.699997</v>
      </c>
      <c r="E1336" s="1">
        <v>221.30999800000001</v>
      </c>
      <c r="F1336" s="1">
        <v>221.30999800000001</v>
      </c>
      <c r="G1336" s="2">
        <v>2844200</v>
      </c>
      <c r="H1336" s="2">
        <f t="shared" si="160"/>
        <v>2015</v>
      </c>
      <c r="I1336" s="2">
        <f t="shared" si="161"/>
        <v>10</v>
      </c>
      <c r="J1336" s="2">
        <f t="shared" si="162"/>
        <v>15</v>
      </c>
      <c r="K1336" s="2">
        <f t="shared" si="163"/>
        <v>5</v>
      </c>
      <c r="L1336" s="2">
        <f t="shared" si="164"/>
        <v>11</v>
      </c>
      <c r="M1336" s="3">
        <f t="shared" si="165"/>
        <v>216.88000500000001</v>
      </c>
      <c r="N1336" s="1">
        <f t="shared" ca="1" si="166"/>
        <v>216.88000500000001</v>
      </c>
      <c r="O1336" s="5">
        <f t="shared" si="167"/>
        <v>2.0426009304084891E-2</v>
      </c>
    </row>
    <row r="1337" spans="1:15" s="2" customFormat="1" x14ac:dyDescent="0.5">
      <c r="A1337" s="6">
        <v>42293</v>
      </c>
      <c r="B1337" s="1">
        <v>223.03999300000001</v>
      </c>
      <c r="C1337" s="1">
        <v>230.479996</v>
      </c>
      <c r="D1337" s="1">
        <v>222.86999499999999</v>
      </c>
      <c r="E1337" s="1">
        <v>227.009995</v>
      </c>
      <c r="F1337" s="1">
        <v>227.009995</v>
      </c>
      <c r="G1337" s="2">
        <v>4334500</v>
      </c>
      <c r="H1337" s="2">
        <f t="shared" si="160"/>
        <v>2015</v>
      </c>
      <c r="I1337" s="2">
        <f t="shared" si="161"/>
        <v>10</v>
      </c>
      <c r="J1337" s="2">
        <f t="shared" si="162"/>
        <v>16</v>
      </c>
      <c r="K1337" s="2">
        <f t="shared" si="163"/>
        <v>6</v>
      </c>
      <c r="L1337" s="2">
        <f t="shared" si="164"/>
        <v>11</v>
      </c>
      <c r="M1337" s="3">
        <f t="shared" si="165"/>
        <v>221.30999800000001</v>
      </c>
      <c r="N1337" s="1">
        <f t="shared" ca="1" si="166"/>
        <v>221.30999800000001</v>
      </c>
      <c r="O1337" s="5">
        <f t="shared" si="167"/>
        <v>2.5755713937514857E-2</v>
      </c>
    </row>
    <row r="1338" spans="1:15" s="2" customFormat="1" x14ac:dyDescent="0.5">
      <c r="A1338" s="6">
        <v>42296</v>
      </c>
      <c r="B1338" s="1">
        <v>226.5</v>
      </c>
      <c r="C1338" s="1">
        <v>231.14999399999999</v>
      </c>
      <c r="D1338" s="1">
        <v>224.94000199999999</v>
      </c>
      <c r="E1338" s="1">
        <v>228.10000600000001</v>
      </c>
      <c r="F1338" s="1">
        <v>228.10000600000001</v>
      </c>
      <c r="G1338" s="2">
        <v>2507900</v>
      </c>
      <c r="H1338" s="2">
        <f t="shared" si="160"/>
        <v>2015</v>
      </c>
      <c r="I1338" s="2">
        <f t="shared" si="161"/>
        <v>10</v>
      </c>
      <c r="J1338" s="2">
        <f t="shared" si="162"/>
        <v>19</v>
      </c>
      <c r="K1338" s="2">
        <f t="shared" si="163"/>
        <v>2</v>
      </c>
      <c r="L1338" s="2">
        <f t="shared" si="164"/>
        <v>11</v>
      </c>
      <c r="M1338" s="3">
        <f t="shared" si="165"/>
        <v>227.009995</v>
      </c>
      <c r="N1338" s="1">
        <f t="shared" ca="1" si="166"/>
        <v>227.009995</v>
      </c>
      <c r="O1338" s="5">
        <f t="shared" si="167"/>
        <v>4.8015991542575964E-3</v>
      </c>
    </row>
    <row r="1339" spans="1:15" s="2" customFormat="1" x14ac:dyDescent="0.5">
      <c r="A1339" s="6">
        <v>42297</v>
      </c>
      <c r="B1339" s="1">
        <v>227.720001</v>
      </c>
      <c r="C1339" s="1">
        <v>228.60000600000001</v>
      </c>
      <c r="D1339" s="1">
        <v>202</v>
      </c>
      <c r="E1339" s="1">
        <v>213.029999</v>
      </c>
      <c r="F1339" s="1">
        <v>213.029999</v>
      </c>
      <c r="G1339" s="2">
        <v>14863300</v>
      </c>
      <c r="H1339" s="2">
        <f t="shared" si="160"/>
        <v>2015</v>
      </c>
      <c r="I1339" s="2">
        <f t="shared" si="161"/>
        <v>10</v>
      </c>
      <c r="J1339" s="2">
        <f t="shared" si="162"/>
        <v>20</v>
      </c>
      <c r="K1339" s="2">
        <f t="shared" si="163"/>
        <v>3</v>
      </c>
      <c r="L1339" s="2">
        <f t="shared" si="164"/>
        <v>11</v>
      </c>
      <c r="M1339" s="3">
        <f t="shared" si="165"/>
        <v>228.10000600000001</v>
      </c>
      <c r="N1339" s="1">
        <f t="shared" ca="1" si="166"/>
        <v>228.10000600000001</v>
      </c>
      <c r="O1339" s="5">
        <f t="shared" si="167"/>
        <v>-6.6067543198574108E-2</v>
      </c>
    </row>
    <row r="1340" spans="1:15" s="2" customFormat="1" x14ac:dyDescent="0.5">
      <c r="A1340" s="6">
        <v>42298</v>
      </c>
      <c r="B1340" s="1">
        <v>211.990005</v>
      </c>
      <c r="C1340" s="1">
        <v>214.80999800000001</v>
      </c>
      <c r="D1340" s="1">
        <v>208.800003</v>
      </c>
      <c r="E1340" s="1">
        <v>210.08999600000001</v>
      </c>
      <c r="F1340" s="1">
        <v>210.08999600000001</v>
      </c>
      <c r="G1340" s="2">
        <v>4151500</v>
      </c>
      <c r="H1340" s="2">
        <f t="shared" si="160"/>
        <v>2015</v>
      </c>
      <c r="I1340" s="2">
        <f t="shared" si="161"/>
        <v>10</v>
      </c>
      <c r="J1340" s="2">
        <f t="shared" si="162"/>
        <v>21</v>
      </c>
      <c r="K1340" s="2">
        <f t="shared" si="163"/>
        <v>4</v>
      </c>
      <c r="L1340" s="2">
        <f t="shared" si="164"/>
        <v>11</v>
      </c>
      <c r="M1340" s="3">
        <f t="shared" si="165"/>
        <v>213.029999</v>
      </c>
      <c r="N1340" s="1">
        <f t="shared" ca="1" si="166"/>
        <v>213.029999</v>
      </c>
      <c r="O1340" s="5">
        <f t="shared" si="167"/>
        <v>-1.3800887263769823E-2</v>
      </c>
    </row>
    <row r="1341" spans="1:15" s="2" customFormat="1" x14ac:dyDescent="0.5">
      <c r="A1341" s="6">
        <v>42299</v>
      </c>
      <c r="B1341" s="1">
        <v>211.55999800000001</v>
      </c>
      <c r="C1341" s="1">
        <v>215.75</v>
      </c>
      <c r="D1341" s="1">
        <v>209.39999399999999</v>
      </c>
      <c r="E1341" s="1">
        <v>211.720001</v>
      </c>
      <c r="F1341" s="1">
        <v>211.720001</v>
      </c>
      <c r="G1341" s="2">
        <v>2825200</v>
      </c>
      <c r="H1341" s="2">
        <f t="shared" si="160"/>
        <v>2015</v>
      </c>
      <c r="I1341" s="2">
        <f t="shared" si="161"/>
        <v>10</v>
      </c>
      <c r="J1341" s="2">
        <f t="shared" si="162"/>
        <v>22</v>
      </c>
      <c r="K1341" s="2">
        <f t="shared" si="163"/>
        <v>5</v>
      </c>
      <c r="L1341" s="2">
        <f t="shared" si="164"/>
        <v>11</v>
      </c>
      <c r="M1341" s="3">
        <f t="shared" si="165"/>
        <v>210.08999600000001</v>
      </c>
      <c r="N1341" s="1">
        <f t="shared" ca="1" si="166"/>
        <v>210.08999600000001</v>
      </c>
      <c r="O1341" s="5">
        <f t="shared" si="167"/>
        <v>7.758603603381431E-3</v>
      </c>
    </row>
    <row r="1342" spans="1:15" s="2" customFormat="1" x14ac:dyDescent="0.5">
      <c r="A1342" s="6">
        <v>42300</v>
      </c>
      <c r="B1342" s="1">
        <v>215</v>
      </c>
      <c r="C1342" s="1">
        <v>215.35000600000001</v>
      </c>
      <c r="D1342" s="1">
        <v>207.69000199999999</v>
      </c>
      <c r="E1342" s="1">
        <v>209.08999600000001</v>
      </c>
      <c r="F1342" s="1">
        <v>209.08999600000001</v>
      </c>
      <c r="G1342" s="2">
        <v>4235500</v>
      </c>
      <c r="H1342" s="2">
        <f t="shared" si="160"/>
        <v>2015</v>
      </c>
      <c r="I1342" s="2">
        <f t="shared" si="161"/>
        <v>10</v>
      </c>
      <c r="J1342" s="2">
        <f t="shared" si="162"/>
        <v>23</v>
      </c>
      <c r="K1342" s="2">
        <f t="shared" si="163"/>
        <v>6</v>
      </c>
      <c r="L1342" s="2">
        <f t="shared" si="164"/>
        <v>11</v>
      </c>
      <c r="M1342" s="3">
        <f t="shared" si="165"/>
        <v>211.720001</v>
      </c>
      <c r="N1342" s="1">
        <f t="shared" ca="1" si="166"/>
        <v>211.720001</v>
      </c>
      <c r="O1342" s="5">
        <f t="shared" si="167"/>
        <v>-1.2422090438210298E-2</v>
      </c>
    </row>
    <row r="1343" spans="1:15" s="2" customFormat="1" x14ac:dyDescent="0.5">
      <c r="A1343" s="6">
        <v>42303</v>
      </c>
      <c r="B1343" s="1">
        <v>211.38000500000001</v>
      </c>
      <c r="C1343" s="1">
        <v>215.88000500000001</v>
      </c>
      <c r="D1343" s="1">
        <v>210</v>
      </c>
      <c r="E1343" s="1">
        <v>215.259995</v>
      </c>
      <c r="F1343" s="1">
        <v>215.259995</v>
      </c>
      <c r="G1343" s="2">
        <v>3391400</v>
      </c>
      <c r="H1343" s="2">
        <f t="shared" si="160"/>
        <v>2015</v>
      </c>
      <c r="I1343" s="2">
        <f t="shared" si="161"/>
        <v>10</v>
      </c>
      <c r="J1343" s="2">
        <f t="shared" si="162"/>
        <v>26</v>
      </c>
      <c r="K1343" s="2">
        <f t="shared" si="163"/>
        <v>2</v>
      </c>
      <c r="L1343" s="2">
        <f t="shared" si="164"/>
        <v>11</v>
      </c>
      <c r="M1343" s="3">
        <f t="shared" si="165"/>
        <v>209.08999600000001</v>
      </c>
      <c r="N1343" s="1">
        <f t="shared" ca="1" si="166"/>
        <v>209.08999600000001</v>
      </c>
      <c r="O1343" s="5">
        <f t="shared" si="167"/>
        <v>2.9508819733297997E-2</v>
      </c>
    </row>
    <row r="1344" spans="1:15" s="2" customFormat="1" x14ac:dyDescent="0.5">
      <c r="A1344" s="6">
        <v>42304</v>
      </c>
      <c r="B1344" s="1">
        <v>214.83999600000001</v>
      </c>
      <c r="C1344" s="1">
        <v>217.10000600000001</v>
      </c>
      <c r="D1344" s="1">
        <v>207.509995</v>
      </c>
      <c r="E1344" s="1">
        <v>210.35000600000001</v>
      </c>
      <c r="F1344" s="1">
        <v>210.35000600000001</v>
      </c>
      <c r="G1344" s="2">
        <v>3519400</v>
      </c>
      <c r="H1344" s="2">
        <f t="shared" si="160"/>
        <v>2015</v>
      </c>
      <c r="I1344" s="2">
        <f t="shared" si="161"/>
        <v>10</v>
      </c>
      <c r="J1344" s="2">
        <f t="shared" si="162"/>
        <v>27</v>
      </c>
      <c r="K1344" s="2">
        <f t="shared" si="163"/>
        <v>3</v>
      </c>
      <c r="L1344" s="2">
        <f t="shared" si="164"/>
        <v>11</v>
      </c>
      <c r="M1344" s="3">
        <f t="shared" si="165"/>
        <v>215.259995</v>
      </c>
      <c r="N1344" s="1">
        <f t="shared" ca="1" si="166"/>
        <v>215.259995</v>
      </c>
      <c r="O1344" s="5">
        <f t="shared" si="167"/>
        <v>-2.2809574997899595E-2</v>
      </c>
    </row>
    <row r="1345" spans="1:15" s="2" customFormat="1" x14ac:dyDescent="0.5">
      <c r="A1345" s="6">
        <v>42305</v>
      </c>
      <c r="B1345" s="1">
        <v>211.30999800000001</v>
      </c>
      <c r="C1345" s="1">
        <v>213.449997</v>
      </c>
      <c r="D1345" s="1">
        <v>208.300003</v>
      </c>
      <c r="E1345" s="1">
        <v>212.96000699999999</v>
      </c>
      <c r="F1345" s="1">
        <v>212.96000699999999</v>
      </c>
      <c r="G1345" s="2">
        <v>2728600</v>
      </c>
      <c r="H1345" s="2">
        <f t="shared" si="160"/>
        <v>2015</v>
      </c>
      <c r="I1345" s="2">
        <f t="shared" si="161"/>
        <v>10</v>
      </c>
      <c r="J1345" s="2">
        <f t="shared" si="162"/>
        <v>28</v>
      </c>
      <c r="K1345" s="2">
        <f t="shared" si="163"/>
        <v>4</v>
      </c>
      <c r="L1345" s="2">
        <f t="shared" si="164"/>
        <v>11</v>
      </c>
      <c r="M1345" s="3">
        <f t="shared" si="165"/>
        <v>210.35000600000001</v>
      </c>
      <c r="N1345" s="1">
        <f t="shared" ca="1" si="166"/>
        <v>210.35000600000001</v>
      </c>
      <c r="O1345" s="5">
        <f t="shared" si="167"/>
        <v>1.2407896009282604E-2</v>
      </c>
    </row>
    <row r="1346" spans="1:15" s="2" customFormat="1" x14ac:dyDescent="0.5">
      <c r="A1346" s="6">
        <v>42306</v>
      </c>
      <c r="B1346" s="1">
        <v>211.75</v>
      </c>
      <c r="C1346" s="1">
        <v>213.75</v>
      </c>
      <c r="D1346" s="1">
        <v>210.63999899999999</v>
      </c>
      <c r="E1346" s="1">
        <v>211.63000500000001</v>
      </c>
      <c r="F1346" s="1">
        <v>211.63000500000001</v>
      </c>
      <c r="G1346" s="2">
        <v>1782400</v>
      </c>
      <c r="H1346" s="2">
        <f t="shared" ref="H1346:H1409" si="168">YEAR(A1346)</f>
        <v>2015</v>
      </c>
      <c r="I1346" s="2">
        <f t="shared" ref="I1346:I1409" si="169">MONTH(A1346)</f>
        <v>10</v>
      </c>
      <c r="J1346" s="2">
        <f t="shared" ref="J1346:J1409" si="170">DAY(A1346)</f>
        <v>29</v>
      </c>
      <c r="K1346" s="2">
        <f t="shared" ref="K1346:K1409" si="171">WEEKDAY(A1346)</f>
        <v>5</v>
      </c>
      <c r="L1346" s="2">
        <f t="shared" si="164"/>
        <v>11</v>
      </c>
      <c r="M1346" s="3">
        <f t="shared" si="165"/>
        <v>212.96000699999999</v>
      </c>
      <c r="N1346" s="1">
        <f t="shared" ca="1" si="166"/>
        <v>212.96000699999999</v>
      </c>
      <c r="O1346" s="5">
        <f t="shared" si="167"/>
        <v>-6.2453134686456524E-3</v>
      </c>
    </row>
    <row r="1347" spans="1:15" s="2" customFormat="1" x14ac:dyDescent="0.5">
      <c r="A1347" s="6">
        <v>42307</v>
      </c>
      <c r="B1347" s="1">
        <v>210.39999399999999</v>
      </c>
      <c r="C1347" s="1">
        <v>211.63000500000001</v>
      </c>
      <c r="D1347" s="1">
        <v>203.88999899999999</v>
      </c>
      <c r="E1347" s="1">
        <v>206.929993</v>
      </c>
      <c r="F1347" s="1">
        <v>206.929993</v>
      </c>
      <c r="G1347" s="2">
        <v>4438900</v>
      </c>
      <c r="H1347" s="2">
        <f t="shared" si="168"/>
        <v>2015</v>
      </c>
      <c r="I1347" s="2">
        <f t="shared" si="169"/>
        <v>10</v>
      </c>
      <c r="J1347" s="2">
        <f t="shared" si="170"/>
        <v>30</v>
      </c>
      <c r="K1347" s="2">
        <f t="shared" si="171"/>
        <v>6</v>
      </c>
      <c r="L1347" s="2">
        <f t="shared" ref="L1347:L1410" si="172">I1347+1</f>
        <v>11</v>
      </c>
      <c r="M1347" s="3">
        <f t="shared" ref="M1347:M1410" si="173">F1346</f>
        <v>211.63000500000001</v>
      </c>
      <c r="N1347" s="1">
        <f t="shared" ref="N1347:N1410" ca="1" si="174">OFFSET(F1347, -1, 0)</f>
        <v>211.63000500000001</v>
      </c>
      <c r="O1347" s="5">
        <f t="shared" ref="O1347:O1410" si="175">(F1347/M1347)-1</f>
        <v>-2.220862774160981E-2</v>
      </c>
    </row>
    <row r="1348" spans="1:15" s="2" customFormat="1" x14ac:dyDescent="0.5">
      <c r="A1348" s="6">
        <v>42310</v>
      </c>
      <c r="B1348" s="1">
        <v>208.91999799999999</v>
      </c>
      <c r="C1348" s="1">
        <v>215.800003</v>
      </c>
      <c r="D1348" s="1">
        <v>207.220001</v>
      </c>
      <c r="E1348" s="1">
        <v>213.78999300000001</v>
      </c>
      <c r="F1348" s="1">
        <v>213.78999300000001</v>
      </c>
      <c r="G1348" s="2">
        <v>3927900</v>
      </c>
      <c r="H1348" s="2">
        <f t="shared" si="168"/>
        <v>2015</v>
      </c>
      <c r="I1348" s="2">
        <f t="shared" si="169"/>
        <v>11</v>
      </c>
      <c r="J1348" s="2">
        <f t="shared" si="170"/>
        <v>2</v>
      </c>
      <c r="K1348" s="2">
        <f t="shared" si="171"/>
        <v>2</v>
      </c>
      <c r="L1348" s="2">
        <f t="shared" si="172"/>
        <v>12</v>
      </c>
      <c r="M1348" s="3">
        <f t="shared" si="173"/>
        <v>206.929993</v>
      </c>
      <c r="N1348" s="1">
        <f t="shared" ca="1" si="174"/>
        <v>206.929993</v>
      </c>
      <c r="O1348" s="5">
        <f t="shared" si="175"/>
        <v>3.3151308326773155E-2</v>
      </c>
    </row>
    <row r="1349" spans="1:15" s="2" customFormat="1" x14ac:dyDescent="0.5">
      <c r="A1349" s="6">
        <v>42311</v>
      </c>
      <c r="B1349" s="1">
        <v>213.85000600000001</v>
      </c>
      <c r="C1349" s="1">
        <v>214.44000199999999</v>
      </c>
      <c r="D1349" s="1">
        <v>207.75</v>
      </c>
      <c r="E1349" s="1">
        <v>208.35000600000001</v>
      </c>
      <c r="F1349" s="1">
        <v>208.35000600000001</v>
      </c>
      <c r="G1349" s="2">
        <v>8332500</v>
      </c>
      <c r="H1349" s="2">
        <f t="shared" si="168"/>
        <v>2015</v>
      </c>
      <c r="I1349" s="2">
        <f t="shared" si="169"/>
        <v>11</v>
      </c>
      <c r="J1349" s="2">
        <f t="shared" si="170"/>
        <v>3</v>
      </c>
      <c r="K1349" s="2">
        <f t="shared" si="171"/>
        <v>3</v>
      </c>
      <c r="L1349" s="2">
        <f t="shared" si="172"/>
        <v>12</v>
      </c>
      <c r="M1349" s="3">
        <f t="shared" si="173"/>
        <v>213.78999300000001</v>
      </c>
      <c r="N1349" s="1">
        <f t="shared" ca="1" si="174"/>
        <v>213.78999300000001</v>
      </c>
      <c r="O1349" s="5">
        <f t="shared" si="175"/>
        <v>-2.5445470686740745E-2</v>
      </c>
    </row>
    <row r="1350" spans="1:15" s="2" customFormat="1" x14ac:dyDescent="0.5">
      <c r="A1350" s="6">
        <v>42312</v>
      </c>
      <c r="B1350" s="1">
        <v>227</v>
      </c>
      <c r="C1350" s="1">
        <v>232.740005</v>
      </c>
      <c r="D1350" s="1">
        <v>225.199997</v>
      </c>
      <c r="E1350" s="1">
        <v>231.63000500000001</v>
      </c>
      <c r="F1350" s="1">
        <v>231.63000500000001</v>
      </c>
      <c r="G1350" s="2">
        <v>12706700</v>
      </c>
      <c r="H1350" s="2">
        <f t="shared" si="168"/>
        <v>2015</v>
      </c>
      <c r="I1350" s="2">
        <f t="shared" si="169"/>
        <v>11</v>
      </c>
      <c r="J1350" s="2">
        <f t="shared" si="170"/>
        <v>4</v>
      </c>
      <c r="K1350" s="2">
        <f t="shared" si="171"/>
        <v>4</v>
      </c>
      <c r="L1350" s="2">
        <f t="shared" si="172"/>
        <v>12</v>
      </c>
      <c r="M1350" s="3">
        <f t="shared" si="173"/>
        <v>208.35000600000001</v>
      </c>
      <c r="N1350" s="1">
        <f t="shared" ca="1" si="174"/>
        <v>208.35000600000001</v>
      </c>
      <c r="O1350" s="5">
        <f t="shared" si="175"/>
        <v>0.11173505317777632</v>
      </c>
    </row>
    <row r="1351" spans="1:15" s="2" customFormat="1" x14ac:dyDescent="0.5">
      <c r="A1351" s="6">
        <v>42313</v>
      </c>
      <c r="B1351" s="1">
        <v>230.58000200000001</v>
      </c>
      <c r="C1351" s="1">
        <v>234.58000200000001</v>
      </c>
      <c r="D1351" s="1">
        <v>229.19000199999999</v>
      </c>
      <c r="E1351" s="1">
        <v>231.770004</v>
      </c>
      <c r="F1351" s="1">
        <v>231.770004</v>
      </c>
      <c r="G1351" s="2">
        <v>4496800</v>
      </c>
      <c r="H1351" s="2">
        <f t="shared" si="168"/>
        <v>2015</v>
      </c>
      <c r="I1351" s="2">
        <f t="shared" si="169"/>
        <v>11</v>
      </c>
      <c r="J1351" s="2">
        <f t="shared" si="170"/>
        <v>5</v>
      </c>
      <c r="K1351" s="2">
        <f t="shared" si="171"/>
        <v>5</v>
      </c>
      <c r="L1351" s="2">
        <f t="shared" si="172"/>
        <v>12</v>
      </c>
      <c r="M1351" s="3">
        <f t="shared" si="173"/>
        <v>231.63000500000001</v>
      </c>
      <c r="N1351" s="1">
        <f t="shared" ca="1" si="174"/>
        <v>231.63000500000001</v>
      </c>
      <c r="O1351" s="5">
        <f t="shared" si="175"/>
        <v>6.0440787884963321E-4</v>
      </c>
    </row>
    <row r="1352" spans="1:15" s="2" customFormat="1" x14ac:dyDescent="0.5">
      <c r="A1352" s="6">
        <v>42314</v>
      </c>
      <c r="B1352" s="1">
        <v>230.699997</v>
      </c>
      <c r="C1352" s="1">
        <v>233.36000100000001</v>
      </c>
      <c r="D1352" s="1">
        <v>229.5</v>
      </c>
      <c r="E1352" s="1">
        <v>232.36000100000001</v>
      </c>
      <c r="F1352" s="1">
        <v>232.36000100000001</v>
      </c>
      <c r="G1352" s="2">
        <v>2445300</v>
      </c>
      <c r="H1352" s="2">
        <f t="shared" si="168"/>
        <v>2015</v>
      </c>
      <c r="I1352" s="2">
        <f t="shared" si="169"/>
        <v>11</v>
      </c>
      <c r="J1352" s="2">
        <f t="shared" si="170"/>
        <v>6</v>
      </c>
      <c r="K1352" s="2">
        <f t="shared" si="171"/>
        <v>6</v>
      </c>
      <c r="L1352" s="2">
        <f t="shared" si="172"/>
        <v>12</v>
      </c>
      <c r="M1352" s="3">
        <f t="shared" si="173"/>
        <v>231.770004</v>
      </c>
      <c r="N1352" s="1">
        <f t="shared" ca="1" si="174"/>
        <v>231.770004</v>
      </c>
      <c r="O1352" s="5">
        <f t="shared" si="175"/>
        <v>2.5456141425446166E-3</v>
      </c>
    </row>
    <row r="1353" spans="1:15" s="2" customFormat="1" x14ac:dyDescent="0.5">
      <c r="A1353" s="6">
        <v>42317</v>
      </c>
      <c r="B1353" s="1">
        <v>232.990005</v>
      </c>
      <c r="C1353" s="1">
        <v>232.990005</v>
      </c>
      <c r="D1353" s="1">
        <v>224.30999800000001</v>
      </c>
      <c r="E1353" s="1">
        <v>225.33000200000001</v>
      </c>
      <c r="F1353" s="1">
        <v>225.33000200000001</v>
      </c>
      <c r="G1353" s="2">
        <v>3850900</v>
      </c>
      <c r="H1353" s="2">
        <f t="shared" si="168"/>
        <v>2015</v>
      </c>
      <c r="I1353" s="2">
        <f t="shared" si="169"/>
        <v>11</v>
      </c>
      <c r="J1353" s="2">
        <f t="shared" si="170"/>
        <v>9</v>
      </c>
      <c r="K1353" s="2">
        <f t="shared" si="171"/>
        <v>2</v>
      </c>
      <c r="L1353" s="2">
        <f t="shared" si="172"/>
        <v>12</v>
      </c>
      <c r="M1353" s="3">
        <f t="shared" si="173"/>
        <v>232.36000100000001</v>
      </c>
      <c r="N1353" s="1">
        <f t="shared" ca="1" si="174"/>
        <v>232.36000100000001</v>
      </c>
      <c r="O1353" s="5">
        <f t="shared" si="175"/>
        <v>-3.0254772636190475E-2</v>
      </c>
    </row>
    <row r="1354" spans="1:15" s="2" customFormat="1" x14ac:dyDescent="0.5">
      <c r="A1354" s="6">
        <v>42318</v>
      </c>
      <c r="B1354" s="1">
        <v>223.479996</v>
      </c>
      <c r="C1354" s="1">
        <v>223.699997</v>
      </c>
      <c r="D1354" s="1">
        <v>216.08000200000001</v>
      </c>
      <c r="E1354" s="1">
        <v>216.5</v>
      </c>
      <c r="F1354" s="1">
        <v>216.5</v>
      </c>
      <c r="G1354" s="2">
        <v>4617000</v>
      </c>
      <c r="H1354" s="2">
        <f t="shared" si="168"/>
        <v>2015</v>
      </c>
      <c r="I1354" s="2">
        <f t="shared" si="169"/>
        <v>11</v>
      </c>
      <c r="J1354" s="2">
        <f t="shared" si="170"/>
        <v>10</v>
      </c>
      <c r="K1354" s="2">
        <f t="shared" si="171"/>
        <v>3</v>
      </c>
      <c r="L1354" s="2">
        <f t="shared" si="172"/>
        <v>12</v>
      </c>
      <c r="M1354" s="3">
        <f t="shared" si="173"/>
        <v>225.33000200000001</v>
      </c>
      <c r="N1354" s="1">
        <f t="shared" ca="1" si="174"/>
        <v>225.33000200000001</v>
      </c>
      <c r="O1354" s="5">
        <f t="shared" si="175"/>
        <v>-3.9186978749505386E-2</v>
      </c>
    </row>
    <row r="1355" spans="1:15" s="2" customFormat="1" x14ac:dyDescent="0.5">
      <c r="A1355" s="6">
        <v>42319</v>
      </c>
      <c r="B1355" s="1">
        <v>217.770004</v>
      </c>
      <c r="C1355" s="1">
        <v>219.479996</v>
      </c>
      <c r="D1355" s="1">
        <v>213.63000500000001</v>
      </c>
      <c r="E1355" s="1">
        <v>219.08000200000001</v>
      </c>
      <c r="F1355" s="1">
        <v>219.08000200000001</v>
      </c>
      <c r="G1355" s="2">
        <v>3347800</v>
      </c>
      <c r="H1355" s="2">
        <f t="shared" si="168"/>
        <v>2015</v>
      </c>
      <c r="I1355" s="2">
        <f t="shared" si="169"/>
        <v>11</v>
      </c>
      <c r="J1355" s="2">
        <f t="shared" si="170"/>
        <v>11</v>
      </c>
      <c r="K1355" s="2">
        <f t="shared" si="171"/>
        <v>4</v>
      </c>
      <c r="L1355" s="2">
        <f t="shared" si="172"/>
        <v>12</v>
      </c>
      <c r="M1355" s="3">
        <f t="shared" si="173"/>
        <v>216.5</v>
      </c>
      <c r="N1355" s="1">
        <f t="shared" ca="1" si="174"/>
        <v>216.5</v>
      </c>
      <c r="O1355" s="5">
        <f t="shared" si="175"/>
        <v>1.1916868360277277E-2</v>
      </c>
    </row>
    <row r="1356" spans="1:15" s="2" customFormat="1" x14ac:dyDescent="0.5">
      <c r="A1356" s="6">
        <v>42320</v>
      </c>
      <c r="B1356" s="1">
        <v>217.85000600000001</v>
      </c>
      <c r="C1356" s="1">
        <v>219</v>
      </c>
      <c r="D1356" s="1">
        <v>212.66000399999999</v>
      </c>
      <c r="E1356" s="1">
        <v>212.94000199999999</v>
      </c>
      <c r="F1356" s="1">
        <v>212.94000199999999</v>
      </c>
      <c r="G1356" s="2">
        <v>2915900</v>
      </c>
      <c r="H1356" s="2">
        <f t="shared" si="168"/>
        <v>2015</v>
      </c>
      <c r="I1356" s="2">
        <f t="shared" si="169"/>
        <v>11</v>
      </c>
      <c r="J1356" s="2">
        <f t="shared" si="170"/>
        <v>12</v>
      </c>
      <c r="K1356" s="2">
        <f t="shared" si="171"/>
        <v>5</v>
      </c>
      <c r="L1356" s="2">
        <f t="shared" si="172"/>
        <v>12</v>
      </c>
      <c r="M1356" s="3">
        <f t="shared" si="173"/>
        <v>219.08000200000001</v>
      </c>
      <c r="N1356" s="1">
        <f t="shared" ca="1" si="174"/>
        <v>219.08000200000001</v>
      </c>
      <c r="O1356" s="5">
        <f t="shared" si="175"/>
        <v>-2.8026291509710699E-2</v>
      </c>
    </row>
    <row r="1357" spans="1:15" s="2" customFormat="1" x14ac:dyDescent="0.5">
      <c r="A1357" s="6">
        <v>42321</v>
      </c>
      <c r="B1357" s="1">
        <v>212.949997</v>
      </c>
      <c r="C1357" s="1">
        <v>212.990005</v>
      </c>
      <c r="D1357" s="1">
        <v>206.520004</v>
      </c>
      <c r="E1357" s="1">
        <v>207.19000199999999</v>
      </c>
      <c r="F1357" s="1">
        <v>207.19000199999999</v>
      </c>
      <c r="G1357" s="2">
        <v>3430300</v>
      </c>
      <c r="H1357" s="2">
        <f t="shared" si="168"/>
        <v>2015</v>
      </c>
      <c r="I1357" s="2">
        <f t="shared" si="169"/>
        <v>11</v>
      </c>
      <c r="J1357" s="2">
        <f t="shared" si="170"/>
        <v>13</v>
      </c>
      <c r="K1357" s="2">
        <f t="shared" si="171"/>
        <v>6</v>
      </c>
      <c r="L1357" s="2">
        <f t="shared" si="172"/>
        <v>12</v>
      </c>
      <c r="M1357" s="3">
        <f t="shared" si="173"/>
        <v>212.94000199999999</v>
      </c>
      <c r="N1357" s="1">
        <f t="shared" ca="1" si="174"/>
        <v>212.94000199999999</v>
      </c>
      <c r="O1357" s="5">
        <f t="shared" si="175"/>
        <v>-2.7002911364676363E-2</v>
      </c>
    </row>
    <row r="1358" spans="1:15" s="2" customFormat="1" x14ac:dyDescent="0.5">
      <c r="A1358" s="6">
        <v>42324</v>
      </c>
      <c r="B1358" s="1">
        <v>206.08999600000001</v>
      </c>
      <c r="C1358" s="1">
        <v>214.979996</v>
      </c>
      <c r="D1358" s="1">
        <v>205.800003</v>
      </c>
      <c r="E1358" s="1">
        <v>214.30999800000001</v>
      </c>
      <c r="F1358" s="1">
        <v>214.30999800000001</v>
      </c>
      <c r="G1358" s="2">
        <v>2925400</v>
      </c>
      <c r="H1358" s="2">
        <f t="shared" si="168"/>
        <v>2015</v>
      </c>
      <c r="I1358" s="2">
        <f t="shared" si="169"/>
        <v>11</v>
      </c>
      <c r="J1358" s="2">
        <f t="shared" si="170"/>
        <v>16</v>
      </c>
      <c r="K1358" s="2">
        <f t="shared" si="171"/>
        <v>2</v>
      </c>
      <c r="L1358" s="2">
        <f t="shared" si="172"/>
        <v>12</v>
      </c>
      <c r="M1358" s="3">
        <f t="shared" si="173"/>
        <v>207.19000199999999</v>
      </c>
      <c r="N1358" s="1">
        <f t="shared" ca="1" si="174"/>
        <v>207.19000199999999</v>
      </c>
      <c r="O1358" s="5">
        <f t="shared" si="175"/>
        <v>3.4364573248085728E-2</v>
      </c>
    </row>
    <row r="1359" spans="1:15" s="2" customFormat="1" x14ac:dyDescent="0.5">
      <c r="A1359" s="6">
        <v>42325</v>
      </c>
      <c r="B1359" s="1">
        <v>215.199997</v>
      </c>
      <c r="C1359" s="1">
        <v>216</v>
      </c>
      <c r="D1359" s="1">
        <v>211.39999399999999</v>
      </c>
      <c r="E1359" s="1">
        <v>214</v>
      </c>
      <c r="F1359" s="1">
        <v>214</v>
      </c>
      <c r="G1359" s="2">
        <v>2148700</v>
      </c>
      <c r="H1359" s="2">
        <f t="shared" si="168"/>
        <v>2015</v>
      </c>
      <c r="I1359" s="2">
        <f t="shared" si="169"/>
        <v>11</v>
      </c>
      <c r="J1359" s="2">
        <f t="shared" si="170"/>
        <v>17</v>
      </c>
      <c r="K1359" s="2">
        <f t="shared" si="171"/>
        <v>3</v>
      </c>
      <c r="L1359" s="2">
        <f t="shared" si="172"/>
        <v>12</v>
      </c>
      <c r="M1359" s="3">
        <f t="shared" si="173"/>
        <v>214.30999800000001</v>
      </c>
      <c r="N1359" s="1">
        <f t="shared" ca="1" si="174"/>
        <v>214.30999800000001</v>
      </c>
      <c r="O1359" s="5">
        <f t="shared" si="175"/>
        <v>-1.4464934109140737E-3</v>
      </c>
    </row>
    <row r="1360" spans="1:15" s="2" customFormat="1" x14ac:dyDescent="0.5">
      <c r="A1360" s="6">
        <v>42326</v>
      </c>
      <c r="B1360" s="1">
        <v>214.5</v>
      </c>
      <c r="C1360" s="1">
        <v>221.38000500000001</v>
      </c>
      <c r="D1360" s="1">
        <v>212.520004</v>
      </c>
      <c r="E1360" s="1">
        <v>221.070007</v>
      </c>
      <c r="F1360" s="1">
        <v>221.070007</v>
      </c>
      <c r="G1360" s="2">
        <v>2811900</v>
      </c>
      <c r="H1360" s="2">
        <f t="shared" si="168"/>
        <v>2015</v>
      </c>
      <c r="I1360" s="2">
        <f t="shared" si="169"/>
        <v>11</v>
      </c>
      <c r="J1360" s="2">
        <f t="shared" si="170"/>
        <v>18</v>
      </c>
      <c r="K1360" s="2">
        <f t="shared" si="171"/>
        <v>4</v>
      </c>
      <c r="L1360" s="2">
        <f t="shared" si="172"/>
        <v>12</v>
      </c>
      <c r="M1360" s="3">
        <f t="shared" si="173"/>
        <v>214</v>
      </c>
      <c r="N1360" s="1">
        <f t="shared" ca="1" si="174"/>
        <v>214</v>
      </c>
      <c r="O1360" s="5">
        <f t="shared" si="175"/>
        <v>3.3037415887850585E-2</v>
      </c>
    </row>
    <row r="1361" spans="1:15" s="2" customFormat="1" x14ac:dyDescent="0.5">
      <c r="A1361" s="6">
        <v>42327</v>
      </c>
      <c r="B1361" s="1">
        <v>220.53999300000001</v>
      </c>
      <c r="C1361" s="1">
        <v>226.19000199999999</v>
      </c>
      <c r="D1361" s="1">
        <v>220.300003</v>
      </c>
      <c r="E1361" s="1">
        <v>221.800003</v>
      </c>
      <c r="F1361" s="1">
        <v>221.800003</v>
      </c>
      <c r="G1361" s="2">
        <v>2504400</v>
      </c>
      <c r="H1361" s="2">
        <f t="shared" si="168"/>
        <v>2015</v>
      </c>
      <c r="I1361" s="2">
        <f t="shared" si="169"/>
        <v>11</v>
      </c>
      <c r="J1361" s="2">
        <f t="shared" si="170"/>
        <v>19</v>
      </c>
      <c r="K1361" s="2">
        <f t="shared" si="171"/>
        <v>5</v>
      </c>
      <c r="L1361" s="2">
        <f t="shared" si="172"/>
        <v>12</v>
      </c>
      <c r="M1361" s="3">
        <f t="shared" si="173"/>
        <v>221.070007</v>
      </c>
      <c r="N1361" s="1">
        <f t="shared" ca="1" si="174"/>
        <v>221.070007</v>
      </c>
      <c r="O1361" s="5">
        <f t="shared" si="175"/>
        <v>3.3021033016025214E-3</v>
      </c>
    </row>
    <row r="1362" spans="1:15" s="2" customFormat="1" x14ac:dyDescent="0.5">
      <c r="A1362" s="6">
        <v>42328</v>
      </c>
      <c r="B1362" s="1">
        <v>223.490005</v>
      </c>
      <c r="C1362" s="1">
        <v>225</v>
      </c>
      <c r="D1362" s="1">
        <v>213.58000200000001</v>
      </c>
      <c r="E1362" s="1">
        <v>220.009995</v>
      </c>
      <c r="F1362" s="1">
        <v>220.009995</v>
      </c>
      <c r="G1362" s="2">
        <v>4400700</v>
      </c>
      <c r="H1362" s="2">
        <f t="shared" si="168"/>
        <v>2015</v>
      </c>
      <c r="I1362" s="2">
        <f t="shared" si="169"/>
        <v>11</v>
      </c>
      <c r="J1362" s="2">
        <f t="shared" si="170"/>
        <v>20</v>
      </c>
      <c r="K1362" s="2">
        <f t="shared" si="171"/>
        <v>6</v>
      </c>
      <c r="L1362" s="2">
        <f t="shared" si="172"/>
        <v>12</v>
      </c>
      <c r="M1362" s="3">
        <f t="shared" si="173"/>
        <v>221.800003</v>
      </c>
      <c r="N1362" s="1">
        <f t="shared" ca="1" si="174"/>
        <v>221.800003</v>
      </c>
      <c r="O1362" s="5">
        <f t="shared" si="175"/>
        <v>-8.0703695932772268E-3</v>
      </c>
    </row>
    <row r="1363" spans="1:15" s="2" customFormat="1" x14ac:dyDescent="0.5">
      <c r="A1363" s="6">
        <v>42331</v>
      </c>
      <c r="B1363" s="1">
        <v>217.35000600000001</v>
      </c>
      <c r="C1363" s="1">
        <v>219.179993</v>
      </c>
      <c r="D1363" s="1">
        <v>214.679993</v>
      </c>
      <c r="E1363" s="1">
        <v>217.75</v>
      </c>
      <c r="F1363" s="1">
        <v>217.75</v>
      </c>
      <c r="G1363" s="2">
        <v>2526200</v>
      </c>
      <c r="H1363" s="2">
        <f t="shared" si="168"/>
        <v>2015</v>
      </c>
      <c r="I1363" s="2">
        <f t="shared" si="169"/>
        <v>11</v>
      </c>
      <c r="J1363" s="2">
        <f t="shared" si="170"/>
        <v>23</v>
      </c>
      <c r="K1363" s="2">
        <f t="shared" si="171"/>
        <v>2</v>
      </c>
      <c r="L1363" s="2">
        <f t="shared" si="172"/>
        <v>12</v>
      </c>
      <c r="M1363" s="3">
        <f t="shared" si="173"/>
        <v>220.009995</v>
      </c>
      <c r="N1363" s="1">
        <f t="shared" ca="1" si="174"/>
        <v>220.009995</v>
      </c>
      <c r="O1363" s="5">
        <f t="shared" si="175"/>
        <v>-1.0272237859011879E-2</v>
      </c>
    </row>
    <row r="1364" spans="1:15" s="2" customFormat="1" x14ac:dyDescent="0.5">
      <c r="A1364" s="6">
        <v>42332</v>
      </c>
      <c r="B1364" s="1">
        <v>215.36999499999999</v>
      </c>
      <c r="C1364" s="1">
        <v>221</v>
      </c>
      <c r="D1364" s="1">
        <v>215</v>
      </c>
      <c r="E1364" s="1">
        <v>218.25</v>
      </c>
      <c r="F1364" s="1">
        <v>218.25</v>
      </c>
      <c r="G1364" s="2">
        <v>2480300</v>
      </c>
      <c r="H1364" s="2">
        <f t="shared" si="168"/>
        <v>2015</v>
      </c>
      <c r="I1364" s="2">
        <f t="shared" si="169"/>
        <v>11</v>
      </c>
      <c r="J1364" s="2">
        <f t="shared" si="170"/>
        <v>24</v>
      </c>
      <c r="K1364" s="2">
        <f t="shared" si="171"/>
        <v>3</v>
      </c>
      <c r="L1364" s="2">
        <f t="shared" si="172"/>
        <v>12</v>
      </c>
      <c r="M1364" s="3">
        <f t="shared" si="173"/>
        <v>217.75</v>
      </c>
      <c r="N1364" s="1">
        <f t="shared" ca="1" si="174"/>
        <v>217.75</v>
      </c>
      <c r="O1364" s="5">
        <f t="shared" si="175"/>
        <v>2.2962112514350874E-3</v>
      </c>
    </row>
    <row r="1365" spans="1:15" s="2" customFormat="1" x14ac:dyDescent="0.5">
      <c r="A1365" s="6">
        <v>42333</v>
      </c>
      <c r="B1365" s="1">
        <v>221.33999600000001</v>
      </c>
      <c r="C1365" s="1">
        <v>230.83000200000001</v>
      </c>
      <c r="D1365" s="1">
        <v>220.38000500000001</v>
      </c>
      <c r="E1365" s="1">
        <v>229.63999899999999</v>
      </c>
      <c r="F1365" s="1">
        <v>229.63999899999999</v>
      </c>
      <c r="G1365" s="2">
        <v>3990800</v>
      </c>
      <c r="H1365" s="2">
        <f t="shared" si="168"/>
        <v>2015</v>
      </c>
      <c r="I1365" s="2">
        <f t="shared" si="169"/>
        <v>11</v>
      </c>
      <c r="J1365" s="2">
        <f t="shared" si="170"/>
        <v>25</v>
      </c>
      <c r="K1365" s="2">
        <f t="shared" si="171"/>
        <v>4</v>
      </c>
      <c r="L1365" s="2">
        <f t="shared" si="172"/>
        <v>12</v>
      </c>
      <c r="M1365" s="3">
        <f t="shared" si="173"/>
        <v>218.25</v>
      </c>
      <c r="N1365" s="1">
        <f t="shared" ca="1" si="174"/>
        <v>218.25</v>
      </c>
      <c r="O1365" s="5">
        <f t="shared" si="175"/>
        <v>5.2187853379152216E-2</v>
      </c>
    </row>
    <row r="1366" spans="1:15" s="2" customFormat="1" x14ac:dyDescent="0.5">
      <c r="A1366" s="6">
        <v>42335</v>
      </c>
      <c r="B1366" s="1">
        <v>231.05999800000001</v>
      </c>
      <c r="C1366" s="1">
        <v>232.25</v>
      </c>
      <c r="D1366" s="1">
        <v>227.009995</v>
      </c>
      <c r="E1366" s="1">
        <v>231.61000100000001</v>
      </c>
      <c r="F1366" s="1">
        <v>231.61000100000001</v>
      </c>
      <c r="G1366" s="2">
        <v>1949400</v>
      </c>
      <c r="H1366" s="2">
        <f t="shared" si="168"/>
        <v>2015</v>
      </c>
      <c r="I1366" s="2">
        <f t="shared" si="169"/>
        <v>11</v>
      </c>
      <c r="J1366" s="2">
        <f t="shared" si="170"/>
        <v>27</v>
      </c>
      <c r="K1366" s="2">
        <f t="shared" si="171"/>
        <v>6</v>
      </c>
      <c r="L1366" s="2">
        <f t="shared" si="172"/>
        <v>12</v>
      </c>
      <c r="M1366" s="3">
        <f t="shared" si="173"/>
        <v>229.63999899999999</v>
      </c>
      <c r="N1366" s="1">
        <f t="shared" ca="1" si="174"/>
        <v>229.63999899999999</v>
      </c>
      <c r="O1366" s="5">
        <f t="shared" si="175"/>
        <v>8.5786535820358001E-3</v>
      </c>
    </row>
    <row r="1367" spans="1:15" s="2" customFormat="1" x14ac:dyDescent="0.5">
      <c r="A1367" s="6">
        <v>42338</v>
      </c>
      <c r="B1367" s="1">
        <v>231.78999300000001</v>
      </c>
      <c r="C1367" s="1">
        <v>234.279999</v>
      </c>
      <c r="D1367" s="1">
        <v>229.08000200000001</v>
      </c>
      <c r="E1367" s="1">
        <v>230.259995</v>
      </c>
      <c r="F1367" s="1">
        <v>230.259995</v>
      </c>
      <c r="G1367" s="2">
        <v>2659800</v>
      </c>
      <c r="H1367" s="2">
        <f t="shared" si="168"/>
        <v>2015</v>
      </c>
      <c r="I1367" s="2">
        <f t="shared" si="169"/>
        <v>11</v>
      </c>
      <c r="J1367" s="2">
        <f t="shared" si="170"/>
        <v>30</v>
      </c>
      <c r="K1367" s="2">
        <f t="shared" si="171"/>
        <v>2</v>
      </c>
      <c r="L1367" s="2">
        <f t="shared" si="172"/>
        <v>12</v>
      </c>
      <c r="M1367" s="3">
        <f t="shared" si="173"/>
        <v>231.61000100000001</v>
      </c>
      <c r="N1367" s="1">
        <f t="shared" ca="1" si="174"/>
        <v>231.61000100000001</v>
      </c>
      <c r="O1367" s="5">
        <f t="shared" si="175"/>
        <v>-5.8287897507500741E-3</v>
      </c>
    </row>
    <row r="1368" spans="1:15" s="2" customFormat="1" x14ac:dyDescent="0.5">
      <c r="A1368" s="6">
        <v>42339</v>
      </c>
      <c r="B1368" s="1">
        <v>231.05999800000001</v>
      </c>
      <c r="C1368" s="1">
        <v>238</v>
      </c>
      <c r="D1368" s="1">
        <v>231.050003</v>
      </c>
      <c r="E1368" s="1">
        <v>237.19000199999999</v>
      </c>
      <c r="F1368" s="1">
        <v>237.19000199999999</v>
      </c>
      <c r="G1368" s="2">
        <v>3734000</v>
      </c>
      <c r="H1368" s="2">
        <f t="shared" si="168"/>
        <v>2015</v>
      </c>
      <c r="I1368" s="2">
        <f t="shared" si="169"/>
        <v>12</v>
      </c>
      <c r="J1368" s="2">
        <f t="shared" si="170"/>
        <v>1</v>
      </c>
      <c r="K1368" s="2">
        <f t="shared" si="171"/>
        <v>3</v>
      </c>
      <c r="L1368" s="2">
        <f t="shared" si="172"/>
        <v>13</v>
      </c>
      <c r="M1368" s="3">
        <f t="shared" si="173"/>
        <v>230.259995</v>
      </c>
      <c r="N1368" s="1">
        <f t="shared" ca="1" si="174"/>
        <v>230.259995</v>
      </c>
      <c r="O1368" s="5">
        <f t="shared" si="175"/>
        <v>3.009644380475196E-2</v>
      </c>
    </row>
    <row r="1369" spans="1:15" s="2" customFormat="1" x14ac:dyDescent="0.5">
      <c r="A1369" s="6">
        <v>42340</v>
      </c>
      <c r="B1369" s="1">
        <v>237</v>
      </c>
      <c r="C1369" s="1">
        <v>238.60000600000001</v>
      </c>
      <c r="D1369" s="1">
        <v>231.229996</v>
      </c>
      <c r="E1369" s="1">
        <v>231.990005</v>
      </c>
      <c r="F1369" s="1">
        <v>231.990005</v>
      </c>
      <c r="G1369" s="2">
        <v>2981500</v>
      </c>
      <c r="H1369" s="2">
        <f t="shared" si="168"/>
        <v>2015</v>
      </c>
      <c r="I1369" s="2">
        <f t="shared" si="169"/>
        <v>12</v>
      </c>
      <c r="J1369" s="2">
        <f t="shared" si="170"/>
        <v>2</v>
      </c>
      <c r="K1369" s="2">
        <f t="shared" si="171"/>
        <v>4</v>
      </c>
      <c r="L1369" s="2">
        <f t="shared" si="172"/>
        <v>13</v>
      </c>
      <c r="M1369" s="3">
        <f t="shared" si="173"/>
        <v>237.19000199999999</v>
      </c>
      <c r="N1369" s="1">
        <f t="shared" ca="1" si="174"/>
        <v>237.19000199999999</v>
      </c>
      <c r="O1369" s="5">
        <f t="shared" si="175"/>
        <v>-2.1923339753587068E-2</v>
      </c>
    </row>
    <row r="1370" spans="1:15" s="2" customFormat="1" x14ac:dyDescent="0.5">
      <c r="A1370" s="6">
        <v>42341</v>
      </c>
      <c r="B1370" s="1">
        <v>235.479996</v>
      </c>
      <c r="C1370" s="1">
        <v>237.449997</v>
      </c>
      <c r="D1370" s="1">
        <v>230</v>
      </c>
      <c r="E1370" s="1">
        <v>232.71000699999999</v>
      </c>
      <c r="F1370" s="1">
        <v>232.71000699999999</v>
      </c>
      <c r="G1370" s="2">
        <v>2939600</v>
      </c>
      <c r="H1370" s="2">
        <f t="shared" si="168"/>
        <v>2015</v>
      </c>
      <c r="I1370" s="2">
        <f t="shared" si="169"/>
        <v>12</v>
      </c>
      <c r="J1370" s="2">
        <f t="shared" si="170"/>
        <v>3</v>
      </c>
      <c r="K1370" s="2">
        <f t="shared" si="171"/>
        <v>5</v>
      </c>
      <c r="L1370" s="2">
        <f t="shared" si="172"/>
        <v>13</v>
      </c>
      <c r="M1370" s="3">
        <f t="shared" si="173"/>
        <v>231.990005</v>
      </c>
      <c r="N1370" s="1">
        <f t="shared" ca="1" si="174"/>
        <v>231.990005</v>
      </c>
      <c r="O1370" s="5">
        <f t="shared" si="175"/>
        <v>3.1035906051211093E-3</v>
      </c>
    </row>
    <row r="1371" spans="1:15" s="2" customFormat="1" x14ac:dyDescent="0.5">
      <c r="A1371" s="6">
        <v>42342</v>
      </c>
      <c r="B1371" s="1">
        <v>232.46000699999999</v>
      </c>
      <c r="C1371" s="1">
        <v>233.270004</v>
      </c>
      <c r="D1371" s="1">
        <v>227.66000399999999</v>
      </c>
      <c r="E1371" s="1">
        <v>230.38000500000001</v>
      </c>
      <c r="F1371" s="1">
        <v>230.38000500000001</v>
      </c>
      <c r="G1371" s="2">
        <v>2573600</v>
      </c>
      <c r="H1371" s="2">
        <f t="shared" si="168"/>
        <v>2015</v>
      </c>
      <c r="I1371" s="2">
        <f t="shared" si="169"/>
        <v>12</v>
      </c>
      <c r="J1371" s="2">
        <f t="shared" si="170"/>
        <v>4</v>
      </c>
      <c r="K1371" s="2">
        <f t="shared" si="171"/>
        <v>6</v>
      </c>
      <c r="L1371" s="2">
        <f t="shared" si="172"/>
        <v>13</v>
      </c>
      <c r="M1371" s="3">
        <f t="shared" si="173"/>
        <v>232.71000699999999</v>
      </c>
      <c r="N1371" s="1">
        <f t="shared" ca="1" si="174"/>
        <v>232.71000699999999</v>
      </c>
      <c r="O1371" s="5">
        <f t="shared" si="175"/>
        <v>-1.0012470155612907E-2</v>
      </c>
    </row>
    <row r="1372" spans="1:15" s="2" customFormat="1" x14ac:dyDescent="0.5">
      <c r="A1372" s="6">
        <v>42345</v>
      </c>
      <c r="B1372" s="1">
        <v>227.699997</v>
      </c>
      <c r="C1372" s="1">
        <v>235.63000500000001</v>
      </c>
      <c r="D1372" s="1">
        <v>226.14999399999999</v>
      </c>
      <c r="E1372" s="1">
        <v>231.13000500000001</v>
      </c>
      <c r="F1372" s="1">
        <v>231.13000500000001</v>
      </c>
      <c r="G1372" s="2">
        <v>3144200</v>
      </c>
      <c r="H1372" s="2">
        <f t="shared" si="168"/>
        <v>2015</v>
      </c>
      <c r="I1372" s="2">
        <f t="shared" si="169"/>
        <v>12</v>
      </c>
      <c r="J1372" s="2">
        <f t="shared" si="170"/>
        <v>7</v>
      </c>
      <c r="K1372" s="2">
        <f t="shared" si="171"/>
        <v>2</v>
      </c>
      <c r="L1372" s="2">
        <f t="shared" si="172"/>
        <v>13</v>
      </c>
      <c r="M1372" s="3">
        <f t="shared" si="173"/>
        <v>230.38000500000001</v>
      </c>
      <c r="N1372" s="1">
        <f t="shared" ca="1" si="174"/>
        <v>230.38000500000001</v>
      </c>
      <c r="O1372" s="5">
        <f t="shared" si="175"/>
        <v>3.2554908573771968E-3</v>
      </c>
    </row>
    <row r="1373" spans="1:15" s="2" customFormat="1" x14ac:dyDescent="0.5">
      <c r="A1373" s="6">
        <v>42346</v>
      </c>
      <c r="B1373" s="1">
        <v>227.520004</v>
      </c>
      <c r="C1373" s="1">
        <v>228.800003</v>
      </c>
      <c r="D1373" s="1">
        <v>224.199997</v>
      </c>
      <c r="E1373" s="1">
        <v>226.720001</v>
      </c>
      <c r="F1373" s="1">
        <v>226.720001</v>
      </c>
      <c r="G1373" s="2">
        <v>2687600</v>
      </c>
      <c r="H1373" s="2">
        <f t="shared" si="168"/>
        <v>2015</v>
      </c>
      <c r="I1373" s="2">
        <f t="shared" si="169"/>
        <v>12</v>
      </c>
      <c r="J1373" s="2">
        <f t="shared" si="170"/>
        <v>8</v>
      </c>
      <c r="K1373" s="2">
        <f t="shared" si="171"/>
        <v>3</v>
      </c>
      <c r="L1373" s="2">
        <f t="shared" si="172"/>
        <v>13</v>
      </c>
      <c r="M1373" s="3">
        <f t="shared" si="173"/>
        <v>231.13000500000001</v>
      </c>
      <c r="N1373" s="1">
        <f t="shared" ca="1" si="174"/>
        <v>231.13000500000001</v>
      </c>
      <c r="O1373" s="5">
        <f t="shared" si="175"/>
        <v>-1.9080188225669814E-2</v>
      </c>
    </row>
    <row r="1374" spans="1:15" s="2" customFormat="1" x14ac:dyDescent="0.5">
      <c r="A1374" s="6">
        <v>42347</v>
      </c>
      <c r="B1374" s="1">
        <v>226.699997</v>
      </c>
      <c r="C1374" s="1">
        <v>227.5</v>
      </c>
      <c r="D1374" s="1">
        <v>220.720001</v>
      </c>
      <c r="E1374" s="1">
        <v>224.520004</v>
      </c>
      <c r="F1374" s="1">
        <v>224.520004</v>
      </c>
      <c r="G1374" s="2">
        <v>3057800</v>
      </c>
      <c r="H1374" s="2">
        <f t="shared" si="168"/>
        <v>2015</v>
      </c>
      <c r="I1374" s="2">
        <f t="shared" si="169"/>
        <v>12</v>
      </c>
      <c r="J1374" s="2">
        <f t="shared" si="170"/>
        <v>9</v>
      </c>
      <c r="K1374" s="2">
        <f t="shared" si="171"/>
        <v>4</v>
      </c>
      <c r="L1374" s="2">
        <f t="shared" si="172"/>
        <v>13</v>
      </c>
      <c r="M1374" s="3">
        <f t="shared" si="173"/>
        <v>226.720001</v>
      </c>
      <c r="N1374" s="1">
        <f t="shared" ca="1" si="174"/>
        <v>226.720001</v>
      </c>
      <c r="O1374" s="5">
        <f t="shared" si="175"/>
        <v>-9.7035858781598927E-3</v>
      </c>
    </row>
    <row r="1375" spans="1:15" s="2" customFormat="1" x14ac:dyDescent="0.5">
      <c r="A1375" s="6">
        <v>42348</v>
      </c>
      <c r="B1375" s="1">
        <v>224.71000699999999</v>
      </c>
      <c r="C1375" s="1">
        <v>228.490005</v>
      </c>
      <c r="D1375" s="1">
        <v>223.63999899999999</v>
      </c>
      <c r="E1375" s="1">
        <v>227.070007</v>
      </c>
      <c r="F1375" s="1">
        <v>227.070007</v>
      </c>
      <c r="G1375" s="2">
        <v>2067000</v>
      </c>
      <c r="H1375" s="2">
        <f t="shared" si="168"/>
        <v>2015</v>
      </c>
      <c r="I1375" s="2">
        <f t="shared" si="169"/>
        <v>12</v>
      </c>
      <c r="J1375" s="2">
        <f t="shared" si="170"/>
        <v>10</v>
      </c>
      <c r="K1375" s="2">
        <f t="shared" si="171"/>
        <v>5</v>
      </c>
      <c r="L1375" s="2">
        <f t="shared" si="172"/>
        <v>13</v>
      </c>
      <c r="M1375" s="3">
        <f t="shared" si="173"/>
        <v>224.520004</v>
      </c>
      <c r="N1375" s="1">
        <f t="shared" ca="1" si="174"/>
        <v>224.520004</v>
      </c>
      <c r="O1375" s="5">
        <f t="shared" si="175"/>
        <v>1.1357575960135868E-2</v>
      </c>
    </row>
    <row r="1376" spans="1:15" s="2" customFormat="1" x14ac:dyDescent="0.5">
      <c r="A1376" s="6">
        <v>42349</v>
      </c>
      <c r="B1376" s="1">
        <v>225.240005</v>
      </c>
      <c r="C1376" s="1">
        <v>225.75</v>
      </c>
      <c r="D1376" s="1">
        <v>216.63999899999999</v>
      </c>
      <c r="E1376" s="1">
        <v>217.020004</v>
      </c>
      <c r="F1376" s="1">
        <v>217.020004</v>
      </c>
      <c r="G1376" s="2">
        <v>3268700</v>
      </c>
      <c r="H1376" s="2">
        <f t="shared" si="168"/>
        <v>2015</v>
      </c>
      <c r="I1376" s="2">
        <f t="shared" si="169"/>
        <v>12</v>
      </c>
      <c r="J1376" s="2">
        <f t="shared" si="170"/>
        <v>11</v>
      </c>
      <c r="K1376" s="2">
        <f t="shared" si="171"/>
        <v>6</v>
      </c>
      <c r="L1376" s="2">
        <f t="shared" si="172"/>
        <v>13</v>
      </c>
      <c r="M1376" s="3">
        <f t="shared" si="173"/>
        <v>227.070007</v>
      </c>
      <c r="N1376" s="1">
        <f t="shared" ca="1" si="174"/>
        <v>227.070007</v>
      </c>
      <c r="O1376" s="5">
        <f t="shared" si="175"/>
        <v>-4.4259491303049958E-2</v>
      </c>
    </row>
    <row r="1377" spans="1:15" s="2" customFormat="1" x14ac:dyDescent="0.5">
      <c r="A1377" s="6">
        <v>42352</v>
      </c>
      <c r="B1377" s="1">
        <v>217.509995</v>
      </c>
      <c r="C1377" s="1">
        <v>220.91999799999999</v>
      </c>
      <c r="D1377" s="1">
        <v>214.86999499999999</v>
      </c>
      <c r="E1377" s="1">
        <v>218.58000200000001</v>
      </c>
      <c r="F1377" s="1">
        <v>218.58000200000001</v>
      </c>
      <c r="G1377" s="2">
        <v>2827100</v>
      </c>
      <c r="H1377" s="2">
        <f t="shared" si="168"/>
        <v>2015</v>
      </c>
      <c r="I1377" s="2">
        <f t="shared" si="169"/>
        <v>12</v>
      </c>
      <c r="J1377" s="2">
        <f t="shared" si="170"/>
        <v>14</v>
      </c>
      <c r="K1377" s="2">
        <f t="shared" si="171"/>
        <v>2</v>
      </c>
      <c r="L1377" s="2">
        <f t="shared" si="172"/>
        <v>13</v>
      </c>
      <c r="M1377" s="3">
        <f t="shared" si="173"/>
        <v>217.020004</v>
      </c>
      <c r="N1377" s="1">
        <f t="shared" ca="1" si="174"/>
        <v>217.020004</v>
      </c>
      <c r="O1377" s="5">
        <f t="shared" si="175"/>
        <v>7.1882682298725076E-3</v>
      </c>
    </row>
    <row r="1378" spans="1:15" s="2" customFormat="1" x14ac:dyDescent="0.5">
      <c r="A1378" s="6">
        <v>42353</v>
      </c>
      <c r="B1378" s="1">
        <v>221.820007</v>
      </c>
      <c r="C1378" s="1">
        <v>222.220001</v>
      </c>
      <c r="D1378" s="1">
        <v>218</v>
      </c>
      <c r="E1378" s="1">
        <v>221.08999600000001</v>
      </c>
      <c r="F1378" s="1">
        <v>221.08999600000001</v>
      </c>
      <c r="G1378" s="2">
        <v>2244400</v>
      </c>
      <c r="H1378" s="2">
        <f t="shared" si="168"/>
        <v>2015</v>
      </c>
      <c r="I1378" s="2">
        <f t="shared" si="169"/>
        <v>12</v>
      </c>
      <c r="J1378" s="2">
        <f t="shared" si="170"/>
        <v>15</v>
      </c>
      <c r="K1378" s="2">
        <f t="shared" si="171"/>
        <v>3</v>
      </c>
      <c r="L1378" s="2">
        <f t="shared" si="172"/>
        <v>13</v>
      </c>
      <c r="M1378" s="3">
        <f t="shared" si="173"/>
        <v>218.58000200000001</v>
      </c>
      <c r="N1378" s="1">
        <f t="shared" ca="1" si="174"/>
        <v>218.58000200000001</v>
      </c>
      <c r="O1378" s="5">
        <f t="shared" si="175"/>
        <v>1.148318225379108E-2</v>
      </c>
    </row>
    <row r="1379" spans="1:15" s="2" customFormat="1" x14ac:dyDescent="0.5">
      <c r="A1379" s="6">
        <v>42354</v>
      </c>
      <c r="B1379" s="1">
        <v>222.10000600000001</v>
      </c>
      <c r="C1379" s="1">
        <v>234.88000500000001</v>
      </c>
      <c r="D1379" s="1">
        <v>220.729996</v>
      </c>
      <c r="E1379" s="1">
        <v>234.509995</v>
      </c>
      <c r="F1379" s="1">
        <v>234.509995</v>
      </c>
      <c r="G1379" s="2">
        <v>5104300</v>
      </c>
      <c r="H1379" s="2">
        <f t="shared" si="168"/>
        <v>2015</v>
      </c>
      <c r="I1379" s="2">
        <f t="shared" si="169"/>
        <v>12</v>
      </c>
      <c r="J1379" s="2">
        <f t="shared" si="170"/>
        <v>16</v>
      </c>
      <c r="K1379" s="2">
        <f t="shared" si="171"/>
        <v>4</v>
      </c>
      <c r="L1379" s="2">
        <f t="shared" si="172"/>
        <v>13</v>
      </c>
      <c r="M1379" s="3">
        <f t="shared" si="173"/>
        <v>221.08999600000001</v>
      </c>
      <c r="N1379" s="1">
        <f t="shared" ca="1" si="174"/>
        <v>221.08999600000001</v>
      </c>
      <c r="O1379" s="5">
        <f t="shared" si="175"/>
        <v>6.0699259318816035E-2</v>
      </c>
    </row>
    <row r="1380" spans="1:15" s="2" customFormat="1" x14ac:dyDescent="0.5">
      <c r="A1380" s="6">
        <v>42355</v>
      </c>
      <c r="B1380" s="1">
        <v>233.94000199999999</v>
      </c>
      <c r="C1380" s="1">
        <v>237.759995</v>
      </c>
      <c r="D1380" s="1">
        <v>229.80999800000001</v>
      </c>
      <c r="E1380" s="1">
        <v>233.38999899999999</v>
      </c>
      <c r="F1380" s="1">
        <v>233.38999899999999</v>
      </c>
      <c r="G1380" s="2">
        <v>3298600</v>
      </c>
      <c r="H1380" s="2">
        <f t="shared" si="168"/>
        <v>2015</v>
      </c>
      <c r="I1380" s="2">
        <f t="shared" si="169"/>
        <v>12</v>
      </c>
      <c r="J1380" s="2">
        <f t="shared" si="170"/>
        <v>17</v>
      </c>
      <c r="K1380" s="2">
        <f t="shared" si="171"/>
        <v>5</v>
      </c>
      <c r="L1380" s="2">
        <f t="shared" si="172"/>
        <v>13</v>
      </c>
      <c r="M1380" s="3">
        <f t="shared" si="173"/>
        <v>234.509995</v>
      </c>
      <c r="N1380" s="1">
        <f t="shared" ca="1" si="174"/>
        <v>234.509995</v>
      </c>
      <c r="O1380" s="5">
        <f t="shared" si="175"/>
        <v>-4.7758987841861611E-3</v>
      </c>
    </row>
    <row r="1381" spans="1:15" s="2" customFormat="1" x14ac:dyDescent="0.5">
      <c r="A1381" s="6">
        <v>42356</v>
      </c>
      <c r="B1381" s="1">
        <v>232.88999899999999</v>
      </c>
      <c r="C1381" s="1">
        <v>235.89999399999999</v>
      </c>
      <c r="D1381" s="1">
        <v>229.28999300000001</v>
      </c>
      <c r="E1381" s="1">
        <v>230.46000699999999</v>
      </c>
      <c r="F1381" s="1">
        <v>230.46000699999999</v>
      </c>
      <c r="G1381" s="2">
        <v>3014200</v>
      </c>
      <c r="H1381" s="2">
        <f t="shared" si="168"/>
        <v>2015</v>
      </c>
      <c r="I1381" s="2">
        <f t="shared" si="169"/>
        <v>12</v>
      </c>
      <c r="J1381" s="2">
        <f t="shared" si="170"/>
        <v>18</v>
      </c>
      <c r="K1381" s="2">
        <f t="shared" si="171"/>
        <v>6</v>
      </c>
      <c r="L1381" s="2">
        <f t="shared" si="172"/>
        <v>13</v>
      </c>
      <c r="M1381" s="3">
        <f t="shared" si="173"/>
        <v>233.38999899999999</v>
      </c>
      <c r="N1381" s="1">
        <f t="shared" ca="1" si="174"/>
        <v>233.38999899999999</v>
      </c>
      <c r="O1381" s="5">
        <f t="shared" si="175"/>
        <v>-1.2554059782141747E-2</v>
      </c>
    </row>
    <row r="1382" spans="1:15" s="2" customFormat="1" x14ac:dyDescent="0.5">
      <c r="A1382" s="6">
        <v>42359</v>
      </c>
      <c r="B1382" s="1">
        <v>231.69000199999999</v>
      </c>
      <c r="C1382" s="1">
        <v>235.83000200000001</v>
      </c>
      <c r="D1382" s="1">
        <v>231.08000200000001</v>
      </c>
      <c r="E1382" s="1">
        <v>232.55999800000001</v>
      </c>
      <c r="F1382" s="1">
        <v>232.55999800000001</v>
      </c>
      <c r="G1382" s="2">
        <v>1953200</v>
      </c>
      <c r="H1382" s="2">
        <f t="shared" si="168"/>
        <v>2015</v>
      </c>
      <c r="I1382" s="2">
        <f t="shared" si="169"/>
        <v>12</v>
      </c>
      <c r="J1382" s="2">
        <f t="shared" si="170"/>
        <v>21</v>
      </c>
      <c r="K1382" s="2">
        <f t="shared" si="171"/>
        <v>2</v>
      </c>
      <c r="L1382" s="2">
        <f t="shared" si="172"/>
        <v>13</v>
      </c>
      <c r="M1382" s="3">
        <f t="shared" si="173"/>
        <v>230.46000699999999</v>
      </c>
      <c r="N1382" s="1">
        <f t="shared" ca="1" si="174"/>
        <v>230.46000699999999</v>
      </c>
      <c r="O1382" s="5">
        <f t="shared" si="175"/>
        <v>9.112171032781502E-3</v>
      </c>
    </row>
    <row r="1383" spans="1:15" s="2" customFormat="1" x14ac:dyDescent="0.5">
      <c r="A1383" s="6">
        <v>42360</v>
      </c>
      <c r="B1383" s="1">
        <v>234.990005</v>
      </c>
      <c r="C1383" s="1">
        <v>236.550003</v>
      </c>
      <c r="D1383" s="1">
        <v>229.63000500000001</v>
      </c>
      <c r="E1383" s="1">
        <v>229.949997</v>
      </c>
      <c r="F1383" s="1">
        <v>229.949997</v>
      </c>
      <c r="G1383" s="2">
        <v>1958700</v>
      </c>
      <c r="H1383" s="2">
        <f t="shared" si="168"/>
        <v>2015</v>
      </c>
      <c r="I1383" s="2">
        <f t="shared" si="169"/>
        <v>12</v>
      </c>
      <c r="J1383" s="2">
        <f t="shared" si="170"/>
        <v>22</v>
      </c>
      <c r="K1383" s="2">
        <f t="shared" si="171"/>
        <v>3</v>
      </c>
      <c r="L1383" s="2">
        <f t="shared" si="172"/>
        <v>13</v>
      </c>
      <c r="M1383" s="3">
        <f t="shared" si="173"/>
        <v>232.55999800000001</v>
      </c>
      <c r="N1383" s="1">
        <f t="shared" ca="1" si="174"/>
        <v>232.55999800000001</v>
      </c>
      <c r="O1383" s="5">
        <f t="shared" si="175"/>
        <v>-1.1222914613200241E-2</v>
      </c>
    </row>
    <row r="1384" spans="1:15" s="2" customFormat="1" x14ac:dyDescent="0.5">
      <c r="A1384" s="6">
        <v>42361</v>
      </c>
      <c r="B1384" s="1">
        <v>232.179993</v>
      </c>
      <c r="C1384" s="1">
        <v>233.449997</v>
      </c>
      <c r="D1384" s="1">
        <v>228.13000500000001</v>
      </c>
      <c r="E1384" s="1">
        <v>229.699997</v>
      </c>
      <c r="F1384" s="1">
        <v>229.699997</v>
      </c>
      <c r="G1384" s="2">
        <v>1555000</v>
      </c>
      <c r="H1384" s="2">
        <f t="shared" si="168"/>
        <v>2015</v>
      </c>
      <c r="I1384" s="2">
        <f t="shared" si="169"/>
        <v>12</v>
      </c>
      <c r="J1384" s="2">
        <f t="shared" si="170"/>
        <v>23</v>
      </c>
      <c r="K1384" s="2">
        <f t="shared" si="171"/>
        <v>4</v>
      </c>
      <c r="L1384" s="2">
        <f t="shared" si="172"/>
        <v>13</v>
      </c>
      <c r="M1384" s="3">
        <f t="shared" si="173"/>
        <v>229.949997</v>
      </c>
      <c r="N1384" s="1">
        <f t="shared" ca="1" si="174"/>
        <v>229.949997</v>
      </c>
      <c r="O1384" s="5">
        <f t="shared" si="175"/>
        <v>-1.0871928821986065E-3</v>
      </c>
    </row>
    <row r="1385" spans="1:15" s="2" customFormat="1" x14ac:dyDescent="0.5">
      <c r="A1385" s="6">
        <v>42362</v>
      </c>
      <c r="B1385" s="1">
        <v>230.55999800000001</v>
      </c>
      <c r="C1385" s="1">
        <v>231.88000500000001</v>
      </c>
      <c r="D1385" s="1">
        <v>228.279999</v>
      </c>
      <c r="E1385" s="1">
        <v>230.570007</v>
      </c>
      <c r="F1385" s="1">
        <v>230.570007</v>
      </c>
      <c r="G1385" s="2">
        <v>710300</v>
      </c>
      <c r="H1385" s="2">
        <f t="shared" si="168"/>
        <v>2015</v>
      </c>
      <c r="I1385" s="2">
        <f t="shared" si="169"/>
        <v>12</v>
      </c>
      <c r="J1385" s="2">
        <f t="shared" si="170"/>
        <v>24</v>
      </c>
      <c r="K1385" s="2">
        <f t="shared" si="171"/>
        <v>5</v>
      </c>
      <c r="L1385" s="2">
        <f t="shared" si="172"/>
        <v>13</v>
      </c>
      <c r="M1385" s="3">
        <f t="shared" si="173"/>
        <v>229.699997</v>
      </c>
      <c r="N1385" s="1">
        <f t="shared" ca="1" si="174"/>
        <v>229.699997</v>
      </c>
      <c r="O1385" s="5">
        <f t="shared" si="175"/>
        <v>3.7875925614401229E-3</v>
      </c>
    </row>
    <row r="1386" spans="1:15" s="2" customFormat="1" x14ac:dyDescent="0.5">
      <c r="A1386" s="6">
        <v>42366</v>
      </c>
      <c r="B1386" s="1">
        <v>231.490005</v>
      </c>
      <c r="C1386" s="1">
        <v>231.979996</v>
      </c>
      <c r="D1386" s="1">
        <v>225.53999300000001</v>
      </c>
      <c r="E1386" s="1">
        <v>228.949997</v>
      </c>
      <c r="F1386" s="1">
        <v>228.949997</v>
      </c>
      <c r="G1386" s="2">
        <v>1900200</v>
      </c>
      <c r="H1386" s="2">
        <f t="shared" si="168"/>
        <v>2015</v>
      </c>
      <c r="I1386" s="2">
        <f t="shared" si="169"/>
        <v>12</v>
      </c>
      <c r="J1386" s="2">
        <f t="shared" si="170"/>
        <v>28</v>
      </c>
      <c r="K1386" s="2">
        <f t="shared" si="171"/>
        <v>2</v>
      </c>
      <c r="L1386" s="2">
        <f t="shared" si="172"/>
        <v>13</v>
      </c>
      <c r="M1386" s="3">
        <f t="shared" si="173"/>
        <v>230.570007</v>
      </c>
      <c r="N1386" s="1">
        <f t="shared" ca="1" si="174"/>
        <v>230.570007</v>
      </c>
      <c r="O1386" s="5">
        <f t="shared" si="175"/>
        <v>-7.0261089943064459E-3</v>
      </c>
    </row>
    <row r="1387" spans="1:15" s="2" customFormat="1" x14ac:dyDescent="0.5">
      <c r="A1387" s="6">
        <v>42367</v>
      </c>
      <c r="B1387" s="1">
        <v>230.05999800000001</v>
      </c>
      <c r="C1387" s="1">
        <v>237.720001</v>
      </c>
      <c r="D1387" s="1">
        <v>229.550003</v>
      </c>
      <c r="E1387" s="1">
        <v>237.19000199999999</v>
      </c>
      <c r="F1387" s="1">
        <v>237.19000199999999</v>
      </c>
      <c r="G1387" s="2">
        <v>2406300</v>
      </c>
      <c r="H1387" s="2">
        <f t="shared" si="168"/>
        <v>2015</v>
      </c>
      <c r="I1387" s="2">
        <f t="shared" si="169"/>
        <v>12</v>
      </c>
      <c r="J1387" s="2">
        <f t="shared" si="170"/>
        <v>29</v>
      </c>
      <c r="K1387" s="2">
        <f t="shared" si="171"/>
        <v>3</v>
      </c>
      <c r="L1387" s="2">
        <f t="shared" si="172"/>
        <v>13</v>
      </c>
      <c r="M1387" s="3">
        <f t="shared" si="173"/>
        <v>228.949997</v>
      </c>
      <c r="N1387" s="1">
        <f t="shared" ca="1" si="174"/>
        <v>228.949997</v>
      </c>
      <c r="O1387" s="5">
        <f t="shared" si="175"/>
        <v>3.5990413225469364E-2</v>
      </c>
    </row>
    <row r="1388" spans="1:15" s="2" customFormat="1" x14ac:dyDescent="0.5">
      <c r="A1388" s="6">
        <v>42368</v>
      </c>
      <c r="B1388" s="1">
        <v>236.60000600000001</v>
      </c>
      <c r="C1388" s="1">
        <v>243.63000500000001</v>
      </c>
      <c r="D1388" s="1">
        <v>235.66999799999999</v>
      </c>
      <c r="E1388" s="1">
        <v>238.08999600000001</v>
      </c>
      <c r="F1388" s="1">
        <v>238.08999600000001</v>
      </c>
      <c r="G1388" s="2">
        <v>3697900</v>
      </c>
      <c r="H1388" s="2">
        <f t="shared" si="168"/>
        <v>2015</v>
      </c>
      <c r="I1388" s="2">
        <f t="shared" si="169"/>
        <v>12</v>
      </c>
      <c r="J1388" s="2">
        <f t="shared" si="170"/>
        <v>30</v>
      </c>
      <c r="K1388" s="2">
        <f t="shared" si="171"/>
        <v>4</v>
      </c>
      <c r="L1388" s="2">
        <f t="shared" si="172"/>
        <v>13</v>
      </c>
      <c r="M1388" s="3">
        <f t="shared" si="173"/>
        <v>237.19000199999999</v>
      </c>
      <c r="N1388" s="1">
        <f t="shared" ca="1" si="174"/>
        <v>237.19000199999999</v>
      </c>
      <c r="O1388" s="5">
        <f t="shared" si="175"/>
        <v>3.7944010810371243E-3</v>
      </c>
    </row>
    <row r="1389" spans="1:15" s="2" customFormat="1" x14ac:dyDescent="0.5">
      <c r="A1389" s="6">
        <v>42369</v>
      </c>
      <c r="B1389" s="1">
        <v>238.509995</v>
      </c>
      <c r="C1389" s="1">
        <v>243.449997</v>
      </c>
      <c r="D1389" s="1">
        <v>238.36999499999999</v>
      </c>
      <c r="E1389" s="1">
        <v>240.009995</v>
      </c>
      <c r="F1389" s="1">
        <v>240.009995</v>
      </c>
      <c r="G1389" s="2">
        <v>2715000</v>
      </c>
      <c r="H1389" s="2">
        <f t="shared" si="168"/>
        <v>2015</v>
      </c>
      <c r="I1389" s="2">
        <f t="shared" si="169"/>
        <v>12</v>
      </c>
      <c r="J1389" s="2">
        <f t="shared" si="170"/>
        <v>31</v>
      </c>
      <c r="K1389" s="2">
        <f t="shared" si="171"/>
        <v>5</v>
      </c>
      <c r="L1389" s="2">
        <f t="shared" si="172"/>
        <v>13</v>
      </c>
      <c r="M1389" s="3">
        <f t="shared" si="173"/>
        <v>238.08999600000001</v>
      </c>
      <c r="N1389" s="1">
        <f t="shared" ca="1" si="174"/>
        <v>238.08999600000001</v>
      </c>
      <c r="O1389" s="5">
        <f t="shared" si="175"/>
        <v>8.0641733472917032E-3</v>
      </c>
    </row>
    <row r="1390" spans="1:15" s="2" customFormat="1" x14ac:dyDescent="0.5">
      <c r="A1390" s="6">
        <v>42373</v>
      </c>
      <c r="B1390" s="1">
        <v>230.720001</v>
      </c>
      <c r="C1390" s="1">
        <v>231.38000500000001</v>
      </c>
      <c r="D1390" s="1">
        <v>219</v>
      </c>
      <c r="E1390" s="1">
        <v>223.41000399999999</v>
      </c>
      <c r="F1390" s="1">
        <v>223.41000399999999</v>
      </c>
      <c r="G1390" s="2">
        <v>6827100</v>
      </c>
      <c r="H1390" s="2">
        <f t="shared" si="168"/>
        <v>2016</v>
      </c>
      <c r="I1390" s="2">
        <f t="shared" si="169"/>
        <v>1</v>
      </c>
      <c r="J1390" s="2">
        <f t="shared" si="170"/>
        <v>4</v>
      </c>
      <c r="K1390" s="2">
        <f t="shared" si="171"/>
        <v>2</v>
      </c>
      <c r="L1390" s="2">
        <f t="shared" si="172"/>
        <v>2</v>
      </c>
      <c r="M1390" s="3">
        <f t="shared" si="173"/>
        <v>240.009995</v>
      </c>
      <c r="N1390" s="1">
        <f t="shared" ca="1" si="174"/>
        <v>240.009995</v>
      </c>
      <c r="O1390" s="5">
        <f t="shared" si="175"/>
        <v>-6.9163748784712098E-2</v>
      </c>
    </row>
    <row r="1391" spans="1:15" s="2" customFormat="1" x14ac:dyDescent="0.5">
      <c r="A1391" s="6">
        <v>42374</v>
      </c>
      <c r="B1391" s="1">
        <v>226.36000100000001</v>
      </c>
      <c r="C1391" s="1">
        <v>226.88999899999999</v>
      </c>
      <c r="D1391" s="1">
        <v>220</v>
      </c>
      <c r="E1391" s="1">
        <v>223.429993</v>
      </c>
      <c r="F1391" s="1">
        <v>223.429993</v>
      </c>
      <c r="G1391" s="2">
        <v>3186800</v>
      </c>
      <c r="H1391" s="2">
        <f t="shared" si="168"/>
        <v>2016</v>
      </c>
      <c r="I1391" s="2">
        <f t="shared" si="169"/>
        <v>1</v>
      </c>
      <c r="J1391" s="2">
        <f t="shared" si="170"/>
        <v>5</v>
      </c>
      <c r="K1391" s="2">
        <f t="shared" si="171"/>
        <v>3</v>
      </c>
      <c r="L1391" s="2">
        <f t="shared" si="172"/>
        <v>2</v>
      </c>
      <c r="M1391" s="3">
        <f t="shared" si="173"/>
        <v>223.41000399999999</v>
      </c>
      <c r="N1391" s="1">
        <f t="shared" ca="1" si="174"/>
        <v>223.41000399999999</v>
      </c>
      <c r="O1391" s="5">
        <f t="shared" si="175"/>
        <v>8.9472269111157132E-5</v>
      </c>
    </row>
    <row r="1392" spans="1:15" s="2" customFormat="1" x14ac:dyDescent="0.5">
      <c r="A1392" s="6">
        <v>42375</v>
      </c>
      <c r="B1392" s="1">
        <v>220</v>
      </c>
      <c r="C1392" s="1">
        <v>220.050003</v>
      </c>
      <c r="D1392" s="1">
        <v>215.979996</v>
      </c>
      <c r="E1392" s="1">
        <v>219.03999300000001</v>
      </c>
      <c r="F1392" s="1">
        <v>219.03999300000001</v>
      </c>
      <c r="G1392" s="2">
        <v>3779100</v>
      </c>
      <c r="H1392" s="2">
        <f t="shared" si="168"/>
        <v>2016</v>
      </c>
      <c r="I1392" s="2">
        <f t="shared" si="169"/>
        <v>1</v>
      </c>
      <c r="J1392" s="2">
        <f t="shared" si="170"/>
        <v>6</v>
      </c>
      <c r="K1392" s="2">
        <f t="shared" si="171"/>
        <v>4</v>
      </c>
      <c r="L1392" s="2">
        <f t="shared" si="172"/>
        <v>2</v>
      </c>
      <c r="M1392" s="3">
        <f t="shared" si="173"/>
        <v>223.429993</v>
      </c>
      <c r="N1392" s="1">
        <f t="shared" ca="1" si="174"/>
        <v>223.429993</v>
      </c>
      <c r="O1392" s="5">
        <f t="shared" si="175"/>
        <v>-1.9648212583527114E-2</v>
      </c>
    </row>
    <row r="1393" spans="1:15" s="2" customFormat="1" x14ac:dyDescent="0.5">
      <c r="A1393" s="6">
        <v>42376</v>
      </c>
      <c r="B1393" s="1">
        <v>214.19000199999999</v>
      </c>
      <c r="C1393" s="1">
        <v>218.44000199999999</v>
      </c>
      <c r="D1393" s="1">
        <v>213.66999799999999</v>
      </c>
      <c r="E1393" s="1">
        <v>215.64999399999999</v>
      </c>
      <c r="F1393" s="1">
        <v>215.64999399999999</v>
      </c>
      <c r="G1393" s="2">
        <v>3554300</v>
      </c>
      <c r="H1393" s="2">
        <f t="shared" si="168"/>
        <v>2016</v>
      </c>
      <c r="I1393" s="2">
        <f t="shared" si="169"/>
        <v>1</v>
      </c>
      <c r="J1393" s="2">
        <f t="shared" si="170"/>
        <v>7</v>
      </c>
      <c r="K1393" s="2">
        <f t="shared" si="171"/>
        <v>5</v>
      </c>
      <c r="L1393" s="2">
        <f t="shared" si="172"/>
        <v>2</v>
      </c>
      <c r="M1393" s="3">
        <f t="shared" si="173"/>
        <v>219.03999300000001</v>
      </c>
      <c r="N1393" s="1">
        <f t="shared" ca="1" si="174"/>
        <v>219.03999300000001</v>
      </c>
      <c r="O1393" s="5">
        <f t="shared" si="175"/>
        <v>-1.5476621203142638E-2</v>
      </c>
    </row>
    <row r="1394" spans="1:15" s="2" customFormat="1" x14ac:dyDescent="0.5">
      <c r="A1394" s="6">
        <v>42377</v>
      </c>
      <c r="B1394" s="1">
        <v>217.86000100000001</v>
      </c>
      <c r="C1394" s="1">
        <v>220.44000199999999</v>
      </c>
      <c r="D1394" s="1">
        <v>210.770004</v>
      </c>
      <c r="E1394" s="1">
        <v>211</v>
      </c>
      <c r="F1394" s="1">
        <v>211</v>
      </c>
      <c r="G1394" s="2">
        <v>3628100</v>
      </c>
      <c r="H1394" s="2">
        <f t="shared" si="168"/>
        <v>2016</v>
      </c>
      <c r="I1394" s="2">
        <f t="shared" si="169"/>
        <v>1</v>
      </c>
      <c r="J1394" s="2">
        <f t="shared" si="170"/>
        <v>8</v>
      </c>
      <c r="K1394" s="2">
        <f t="shared" si="171"/>
        <v>6</v>
      </c>
      <c r="L1394" s="2">
        <f t="shared" si="172"/>
        <v>2</v>
      </c>
      <c r="M1394" s="3">
        <f t="shared" si="173"/>
        <v>215.64999399999999</v>
      </c>
      <c r="N1394" s="1">
        <f t="shared" ca="1" si="174"/>
        <v>215.64999399999999</v>
      </c>
      <c r="O1394" s="5">
        <f t="shared" si="175"/>
        <v>-2.1562690143177021E-2</v>
      </c>
    </row>
    <row r="1395" spans="1:15" s="2" customFormat="1" x14ac:dyDescent="0.5">
      <c r="A1395" s="6">
        <v>42380</v>
      </c>
      <c r="B1395" s="1">
        <v>214.009995</v>
      </c>
      <c r="C1395" s="1">
        <v>214.449997</v>
      </c>
      <c r="D1395" s="1">
        <v>203</v>
      </c>
      <c r="E1395" s="1">
        <v>207.85000600000001</v>
      </c>
      <c r="F1395" s="1">
        <v>207.85000600000001</v>
      </c>
      <c r="G1395" s="2">
        <v>4089700</v>
      </c>
      <c r="H1395" s="2">
        <f t="shared" si="168"/>
        <v>2016</v>
      </c>
      <c r="I1395" s="2">
        <f t="shared" si="169"/>
        <v>1</v>
      </c>
      <c r="J1395" s="2">
        <f t="shared" si="170"/>
        <v>11</v>
      </c>
      <c r="K1395" s="2">
        <f t="shared" si="171"/>
        <v>2</v>
      </c>
      <c r="L1395" s="2">
        <f t="shared" si="172"/>
        <v>2</v>
      </c>
      <c r="M1395" s="3">
        <f t="shared" si="173"/>
        <v>211</v>
      </c>
      <c r="N1395" s="1">
        <f t="shared" ca="1" si="174"/>
        <v>211</v>
      </c>
      <c r="O1395" s="5">
        <f t="shared" si="175"/>
        <v>-1.4928881516587666E-2</v>
      </c>
    </row>
    <row r="1396" spans="1:15" s="2" customFormat="1" x14ac:dyDescent="0.5">
      <c r="A1396" s="6">
        <v>42381</v>
      </c>
      <c r="B1396" s="1">
        <v>211.60000600000001</v>
      </c>
      <c r="C1396" s="1">
        <v>213.740005</v>
      </c>
      <c r="D1396" s="1">
        <v>205.30999800000001</v>
      </c>
      <c r="E1396" s="1">
        <v>209.970001</v>
      </c>
      <c r="F1396" s="1">
        <v>209.970001</v>
      </c>
      <c r="G1396" s="2">
        <v>3091900</v>
      </c>
      <c r="H1396" s="2">
        <f t="shared" si="168"/>
        <v>2016</v>
      </c>
      <c r="I1396" s="2">
        <f t="shared" si="169"/>
        <v>1</v>
      </c>
      <c r="J1396" s="2">
        <f t="shared" si="170"/>
        <v>12</v>
      </c>
      <c r="K1396" s="2">
        <f t="shared" si="171"/>
        <v>3</v>
      </c>
      <c r="L1396" s="2">
        <f t="shared" si="172"/>
        <v>2</v>
      </c>
      <c r="M1396" s="3">
        <f t="shared" si="173"/>
        <v>207.85000600000001</v>
      </c>
      <c r="N1396" s="1">
        <f t="shared" ca="1" si="174"/>
        <v>207.85000600000001</v>
      </c>
      <c r="O1396" s="5">
        <f t="shared" si="175"/>
        <v>1.019963886842512E-2</v>
      </c>
    </row>
    <row r="1397" spans="1:15" s="2" customFormat="1" x14ac:dyDescent="0.5">
      <c r="A1397" s="6">
        <v>42382</v>
      </c>
      <c r="B1397" s="1">
        <v>212.009995</v>
      </c>
      <c r="C1397" s="1">
        <v>212.64999399999999</v>
      </c>
      <c r="D1397" s="1">
        <v>200</v>
      </c>
      <c r="E1397" s="1">
        <v>200.30999800000001</v>
      </c>
      <c r="F1397" s="1">
        <v>200.30999800000001</v>
      </c>
      <c r="G1397" s="2">
        <v>4126400</v>
      </c>
      <c r="H1397" s="2">
        <f t="shared" si="168"/>
        <v>2016</v>
      </c>
      <c r="I1397" s="2">
        <f t="shared" si="169"/>
        <v>1</v>
      </c>
      <c r="J1397" s="2">
        <f t="shared" si="170"/>
        <v>13</v>
      </c>
      <c r="K1397" s="2">
        <f t="shared" si="171"/>
        <v>4</v>
      </c>
      <c r="L1397" s="2">
        <f t="shared" si="172"/>
        <v>2</v>
      </c>
      <c r="M1397" s="3">
        <f t="shared" si="173"/>
        <v>209.970001</v>
      </c>
      <c r="N1397" s="1">
        <f t="shared" ca="1" si="174"/>
        <v>209.970001</v>
      </c>
      <c r="O1397" s="5">
        <f t="shared" si="175"/>
        <v>-4.6006586436126096E-2</v>
      </c>
    </row>
    <row r="1398" spans="1:15" s="2" customFormat="1" x14ac:dyDescent="0.5">
      <c r="A1398" s="6">
        <v>42383</v>
      </c>
      <c r="B1398" s="1">
        <v>202.21000699999999</v>
      </c>
      <c r="C1398" s="1">
        <v>210</v>
      </c>
      <c r="D1398" s="1">
        <v>193.38000500000001</v>
      </c>
      <c r="E1398" s="1">
        <v>206.179993</v>
      </c>
      <c r="F1398" s="1">
        <v>206.179993</v>
      </c>
      <c r="G1398" s="2">
        <v>6490700</v>
      </c>
      <c r="H1398" s="2">
        <f t="shared" si="168"/>
        <v>2016</v>
      </c>
      <c r="I1398" s="2">
        <f t="shared" si="169"/>
        <v>1</v>
      </c>
      <c r="J1398" s="2">
        <f t="shared" si="170"/>
        <v>14</v>
      </c>
      <c r="K1398" s="2">
        <f t="shared" si="171"/>
        <v>5</v>
      </c>
      <c r="L1398" s="2">
        <f t="shared" si="172"/>
        <v>2</v>
      </c>
      <c r="M1398" s="3">
        <f t="shared" si="173"/>
        <v>200.30999800000001</v>
      </c>
      <c r="N1398" s="1">
        <f t="shared" ca="1" si="174"/>
        <v>200.30999800000001</v>
      </c>
      <c r="O1398" s="5">
        <f t="shared" si="175"/>
        <v>2.9304553235530495E-2</v>
      </c>
    </row>
    <row r="1399" spans="1:15" s="2" customFormat="1" x14ac:dyDescent="0.5">
      <c r="A1399" s="6">
        <v>42384</v>
      </c>
      <c r="B1399" s="1">
        <v>198.970001</v>
      </c>
      <c r="C1399" s="1">
        <v>205.070007</v>
      </c>
      <c r="D1399" s="1">
        <v>197.25</v>
      </c>
      <c r="E1399" s="1">
        <v>204.990005</v>
      </c>
      <c r="F1399" s="1">
        <v>204.990005</v>
      </c>
      <c r="G1399" s="2">
        <v>5578600</v>
      </c>
      <c r="H1399" s="2">
        <f t="shared" si="168"/>
        <v>2016</v>
      </c>
      <c r="I1399" s="2">
        <f t="shared" si="169"/>
        <v>1</v>
      </c>
      <c r="J1399" s="2">
        <f t="shared" si="170"/>
        <v>15</v>
      </c>
      <c r="K1399" s="2">
        <f t="shared" si="171"/>
        <v>6</v>
      </c>
      <c r="L1399" s="2">
        <f t="shared" si="172"/>
        <v>2</v>
      </c>
      <c r="M1399" s="3">
        <f t="shared" si="173"/>
        <v>206.179993</v>
      </c>
      <c r="N1399" s="1">
        <f t="shared" ca="1" si="174"/>
        <v>206.179993</v>
      </c>
      <c r="O1399" s="5">
        <f t="shared" si="175"/>
        <v>-5.771597829087094E-3</v>
      </c>
    </row>
    <row r="1400" spans="1:15" s="2" customFormat="1" x14ac:dyDescent="0.5">
      <c r="A1400" s="6">
        <v>42388</v>
      </c>
      <c r="B1400" s="1">
        <v>208.71000699999999</v>
      </c>
      <c r="C1400" s="1">
        <v>210.470001</v>
      </c>
      <c r="D1400" s="1">
        <v>200.779999</v>
      </c>
      <c r="E1400" s="1">
        <v>204.720001</v>
      </c>
      <c r="F1400" s="1">
        <v>204.720001</v>
      </c>
      <c r="G1400" s="2">
        <v>4038700</v>
      </c>
      <c r="H1400" s="2">
        <f t="shared" si="168"/>
        <v>2016</v>
      </c>
      <c r="I1400" s="2">
        <f t="shared" si="169"/>
        <v>1</v>
      </c>
      <c r="J1400" s="2">
        <f t="shared" si="170"/>
        <v>19</v>
      </c>
      <c r="K1400" s="2">
        <f t="shared" si="171"/>
        <v>3</v>
      </c>
      <c r="L1400" s="2">
        <f t="shared" si="172"/>
        <v>2</v>
      </c>
      <c r="M1400" s="3">
        <f t="shared" si="173"/>
        <v>204.990005</v>
      </c>
      <c r="N1400" s="1">
        <f t="shared" ca="1" si="174"/>
        <v>204.990005</v>
      </c>
      <c r="O1400" s="5">
        <f t="shared" si="175"/>
        <v>-1.3171569023572305E-3</v>
      </c>
    </row>
    <row r="1401" spans="1:15" s="2" customFormat="1" x14ac:dyDescent="0.5">
      <c r="A1401" s="6">
        <v>42389</v>
      </c>
      <c r="B1401" s="1">
        <v>199.39999399999999</v>
      </c>
      <c r="C1401" s="1">
        <v>201.279999</v>
      </c>
      <c r="D1401" s="1">
        <v>191.25</v>
      </c>
      <c r="E1401" s="1">
        <v>198.699997</v>
      </c>
      <c r="F1401" s="1">
        <v>198.699997</v>
      </c>
      <c r="G1401" s="2">
        <v>5838600</v>
      </c>
      <c r="H1401" s="2">
        <f t="shared" si="168"/>
        <v>2016</v>
      </c>
      <c r="I1401" s="2">
        <f t="shared" si="169"/>
        <v>1</v>
      </c>
      <c r="J1401" s="2">
        <f t="shared" si="170"/>
        <v>20</v>
      </c>
      <c r="K1401" s="2">
        <f t="shared" si="171"/>
        <v>4</v>
      </c>
      <c r="L1401" s="2">
        <f t="shared" si="172"/>
        <v>2</v>
      </c>
      <c r="M1401" s="3">
        <f t="shared" si="173"/>
        <v>204.720001</v>
      </c>
      <c r="N1401" s="1">
        <f t="shared" ca="1" si="174"/>
        <v>204.720001</v>
      </c>
      <c r="O1401" s="5">
        <f t="shared" si="175"/>
        <v>-2.9406037371013882E-2</v>
      </c>
    </row>
    <row r="1402" spans="1:15" s="2" customFormat="1" x14ac:dyDescent="0.5">
      <c r="A1402" s="6">
        <v>42390</v>
      </c>
      <c r="B1402" s="1">
        <v>201.550003</v>
      </c>
      <c r="C1402" s="1">
        <v>203.229996</v>
      </c>
      <c r="D1402" s="1">
        <v>195.020004</v>
      </c>
      <c r="E1402" s="1">
        <v>199.970001</v>
      </c>
      <c r="F1402" s="1">
        <v>199.970001</v>
      </c>
      <c r="G1402" s="2">
        <v>3166200</v>
      </c>
      <c r="H1402" s="2">
        <f t="shared" si="168"/>
        <v>2016</v>
      </c>
      <c r="I1402" s="2">
        <f t="shared" si="169"/>
        <v>1</v>
      </c>
      <c r="J1402" s="2">
        <f t="shared" si="170"/>
        <v>21</v>
      </c>
      <c r="K1402" s="2">
        <f t="shared" si="171"/>
        <v>5</v>
      </c>
      <c r="L1402" s="2">
        <f t="shared" si="172"/>
        <v>2</v>
      </c>
      <c r="M1402" s="3">
        <f t="shared" si="173"/>
        <v>198.699997</v>
      </c>
      <c r="N1402" s="1">
        <f t="shared" ca="1" si="174"/>
        <v>198.699997</v>
      </c>
      <c r="O1402" s="5">
        <f t="shared" si="175"/>
        <v>6.3915652701294068E-3</v>
      </c>
    </row>
    <row r="1403" spans="1:15" s="2" customFormat="1" x14ac:dyDescent="0.5">
      <c r="A1403" s="6">
        <v>42391</v>
      </c>
      <c r="B1403" s="1">
        <v>204.800003</v>
      </c>
      <c r="C1403" s="1">
        <v>205.5</v>
      </c>
      <c r="D1403" s="1">
        <v>199.029999</v>
      </c>
      <c r="E1403" s="1">
        <v>202.550003</v>
      </c>
      <c r="F1403" s="1">
        <v>202.550003</v>
      </c>
      <c r="G1403" s="2">
        <v>3124100</v>
      </c>
      <c r="H1403" s="2">
        <f t="shared" si="168"/>
        <v>2016</v>
      </c>
      <c r="I1403" s="2">
        <f t="shared" si="169"/>
        <v>1</v>
      </c>
      <c r="J1403" s="2">
        <f t="shared" si="170"/>
        <v>22</v>
      </c>
      <c r="K1403" s="2">
        <f t="shared" si="171"/>
        <v>6</v>
      </c>
      <c r="L1403" s="2">
        <f t="shared" si="172"/>
        <v>2</v>
      </c>
      <c r="M1403" s="3">
        <f t="shared" si="173"/>
        <v>199.970001</v>
      </c>
      <c r="N1403" s="1">
        <f t="shared" ca="1" si="174"/>
        <v>199.970001</v>
      </c>
      <c r="O1403" s="5">
        <f t="shared" si="175"/>
        <v>1.2901945227274503E-2</v>
      </c>
    </row>
    <row r="1404" spans="1:15" s="2" customFormat="1" x14ac:dyDescent="0.5">
      <c r="A1404" s="6">
        <v>42394</v>
      </c>
      <c r="B1404" s="1">
        <v>200.05999800000001</v>
      </c>
      <c r="C1404" s="1">
        <v>203.570007</v>
      </c>
      <c r="D1404" s="1">
        <v>195.88000500000001</v>
      </c>
      <c r="E1404" s="1">
        <v>196.38000500000001</v>
      </c>
      <c r="F1404" s="1">
        <v>196.38000500000001</v>
      </c>
      <c r="G1404" s="2">
        <v>2698700</v>
      </c>
      <c r="H1404" s="2">
        <f t="shared" si="168"/>
        <v>2016</v>
      </c>
      <c r="I1404" s="2">
        <f t="shared" si="169"/>
        <v>1</v>
      </c>
      <c r="J1404" s="2">
        <f t="shared" si="170"/>
        <v>25</v>
      </c>
      <c r="K1404" s="2">
        <f t="shared" si="171"/>
        <v>2</v>
      </c>
      <c r="L1404" s="2">
        <f t="shared" si="172"/>
        <v>2</v>
      </c>
      <c r="M1404" s="3">
        <f t="shared" si="173"/>
        <v>202.550003</v>
      </c>
      <c r="N1404" s="1">
        <f t="shared" ca="1" si="174"/>
        <v>202.550003</v>
      </c>
      <c r="O1404" s="5">
        <f t="shared" si="175"/>
        <v>-3.0461604090916694E-2</v>
      </c>
    </row>
    <row r="1405" spans="1:15" s="2" customFormat="1" x14ac:dyDescent="0.5">
      <c r="A1405" s="6">
        <v>42395</v>
      </c>
      <c r="B1405" s="1">
        <v>196.699997</v>
      </c>
      <c r="C1405" s="1">
        <v>197.820007</v>
      </c>
      <c r="D1405" s="1">
        <v>188.88000500000001</v>
      </c>
      <c r="E1405" s="1">
        <v>193.55999800000001</v>
      </c>
      <c r="F1405" s="1">
        <v>193.55999800000001</v>
      </c>
      <c r="G1405" s="2">
        <v>4946800</v>
      </c>
      <c r="H1405" s="2">
        <f t="shared" si="168"/>
        <v>2016</v>
      </c>
      <c r="I1405" s="2">
        <f t="shared" si="169"/>
        <v>1</v>
      </c>
      <c r="J1405" s="2">
        <f t="shared" si="170"/>
        <v>26</v>
      </c>
      <c r="K1405" s="2">
        <f t="shared" si="171"/>
        <v>3</v>
      </c>
      <c r="L1405" s="2">
        <f t="shared" si="172"/>
        <v>2</v>
      </c>
      <c r="M1405" s="3">
        <f t="shared" si="173"/>
        <v>196.38000500000001</v>
      </c>
      <c r="N1405" s="1">
        <f t="shared" ca="1" si="174"/>
        <v>196.38000500000001</v>
      </c>
      <c r="O1405" s="5">
        <f t="shared" si="175"/>
        <v>-1.4359949731134858E-2</v>
      </c>
    </row>
    <row r="1406" spans="1:15" s="2" customFormat="1" x14ac:dyDescent="0.5">
      <c r="A1406" s="6">
        <v>42396</v>
      </c>
      <c r="B1406" s="1">
        <v>192.38000500000001</v>
      </c>
      <c r="C1406" s="1">
        <v>193.259995</v>
      </c>
      <c r="D1406" s="1">
        <v>185.770004</v>
      </c>
      <c r="E1406" s="1">
        <v>188.070007</v>
      </c>
      <c r="F1406" s="1">
        <v>188.070007</v>
      </c>
      <c r="G1406" s="2">
        <v>3617200</v>
      </c>
      <c r="H1406" s="2">
        <f t="shared" si="168"/>
        <v>2016</v>
      </c>
      <c r="I1406" s="2">
        <f t="shared" si="169"/>
        <v>1</v>
      </c>
      <c r="J1406" s="2">
        <f t="shared" si="170"/>
        <v>27</v>
      </c>
      <c r="K1406" s="2">
        <f t="shared" si="171"/>
        <v>4</v>
      </c>
      <c r="L1406" s="2">
        <f t="shared" si="172"/>
        <v>2</v>
      </c>
      <c r="M1406" s="3">
        <f t="shared" si="173"/>
        <v>193.55999800000001</v>
      </c>
      <c r="N1406" s="1">
        <f t="shared" ca="1" si="174"/>
        <v>193.55999800000001</v>
      </c>
      <c r="O1406" s="5">
        <f t="shared" si="175"/>
        <v>-2.8363251997967076E-2</v>
      </c>
    </row>
    <row r="1407" spans="1:15" s="2" customFormat="1" x14ac:dyDescent="0.5">
      <c r="A1407" s="6">
        <v>42397</v>
      </c>
      <c r="B1407" s="1">
        <v>190.78999300000001</v>
      </c>
      <c r="C1407" s="1">
        <v>191.279999</v>
      </c>
      <c r="D1407" s="1">
        <v>182.41000399999999</v>
      </c>
      <c r="E1407" s="1">
        <v>189.699997</v>
      </c>
      <c r="F1407" s="1">
        <v>189.699997</v>
      </c>
      <c r="G1407" s="2">
        <v>4592800</v>
      </c>
      <c r="H1407" s="2">
        <f t="shared" si="168"/>
        <v>2016</v>
      </c>
      <c r="I1407" s="2">
        <f t="shared" si="169"/>
        <v>1</v>
      </c>
      <c r="J1407" s="2">
        <f t="shared" si="170"/>
        <v>28</v>
      </c>
      <c r="K1407" s="2">
        <f t="shared" si="171"/>
        <v>5</v>
      </c>
      <c r="L1407" s="2">
        <f t="shared" si="172"/>
        <v>2</v>
      </c>
      <c r="M1407" s="3">
        <f t="shared" si="173"/>
        <v>188.070007</v>
      </c>
      <c r="N1407" s="1">
        <f t="shared" ca="1" si="174"/>
        <v>188.070007</v>
      </c>
      <c r="O1407" s="5">
        <f t="shared" si="175"/>
        <v>8.6669322025387796E-3</v>
      </c>
    </row>
    <row r="1408" spans="1:15" s="2" customFormat="1" x14ac:dyDescent="0.5">
      <c r="A1408" s="6">
        <v>42398</v>
      </c>
      <c r="B1408" s="1">
        <v>189.949997</v>
      </c>
      <c r="C1408" s="1">
        <v>193.740005</v>
      </c>
      <c r="D1408" s="1">
        <v>188.08000200000001</v>
      </c>
      <c r="E1408" s="1">
        <v>191.199997</v>
      </c>
      <c r="F1408" s="1">
        <v>191.199997</v>
      </c>
      <c r="G1408" s="2">
        <v>2852300</v>
      </c>
      <c r="H1408" s="2">
        <f t="shared" si="168"/>
        <v>2016</v>
      </c>
      <c r="I1408" s="2">
        <f t="shared" si="169"/>
        <v>1</v>
      </c>
      <c r="J1408" s="2">
        <f t="shared" si="170"/>
        <v>29</v>
      </c>
      <c r="K1408" s="2">
        <f t="shared" si="171"/>
        <v>6</v>
      </c>
      <c r="L1408" s="2">
        <f t="shared" si="172"/>
        <v>2</v>
      </c>
      <c r="M1408" s="3">
        <f t="shared" si="173"/>
        <v>189.699997</v>
      </c>
      <c r="N1408" s="1">
        <f t="shared" ca="1" si="174"/>
        <v>189.699997</v>
      </c>
      <c r="O1408" s="5">
        <f t="shared" si="175"/>
        <v>7.9072220544105232E-3</v>
      </c>
    </row>
    <row r="1409" spans="1:15" s="2" customFormat="1" x14ac:dyDescent="0.5">
      <c r="A1409" s="6">
        <v>42401</v>
      </c>
      <c r="B1409" s="1">
        <v>188.759995</v>
      </c>
      <c r="C1409" s="1">
        <v>199.520004</v>
      </c>
      <c r="D1409" s="1">
        <v>182.75</v>
      </c>
      <c r="E1409" s="1">
        <v>196.94000199999999</v>
      </c>
      <c r="F1409" s="1">
        <v>196.94000199999999</v>
      </c>
      <c r="G1409" s="2">
        <v>5297600</v>
      </c>
      <c r="H1409" s="2">
        <f t="shared" si="168"/>
        <v>2016</v>
      </c>
      <c r="I1409" s="2">
        <f t="shared" si="169"/>
        <v>2</v>
      </c>
      <c r="J1409" s="2">
        <f t="shared" si="170"/>
        <v>1</v>
      </c>
      <c r="K1409" s="2">
        <f t="shared" si="171"/>
        <v>2</v>
      </c>
      <c r="L1409" s="2">
        <f t="shared" si="172"/>
        <v>3</v>
      </c>
      <c r="M1409" s="3">
        <f t="shared" si="173"/>
        <v>191.199997</v>
      </c>
      <c r="N1409" s="1">
        <f t="shared" ca="1" si="174"/>
        <v>191.199997</v>
      </c>
      <c r="O1409" s="5">
        <f t="shared" si="175"/>
        <v>3.0020947123759578E-2</v>
      </c>
    </row>
    <row r="1410" spans="1:15" s="2" customFormat="1" x14ac:dyDescent="0.5">
      <c r="A1410" s="6">
        <v>42402</v>
      </c>
      <c r="B1410" s="1">
        <v>192.41999799999999</v>
      </c>
      <c r="C1410" s="1">
        <v>193.11999499999999</v>
      </c>
      <c r="D1410" s="1">
        <v>180.229996</v>
      </c>
      <c r="E1410" s="1">
        <v>182.779999</v>
      </c>
      <c r="F1410" s="1">
        <v>182.779999</v>
      </c>
      <c r="G1410" s="2">
        <v>5773600</v>
      </c>
      <c r="H1410" s="2">
        <f t="shared" ref="H1410:H1473" si="176">YEAR(A1410)</f>
        <v>2016</v>
      </c>
      <c r="I1410" s="2">
        <f t="shared" ref="I1410:I1473" si="177">MONTH(A1410)</f>
        <v>2</v>
      </c>
      <c r="J1410" s="2">
        <f t="shared" ref="J1410:J1473" si="178">DAY(A1410)</f>
        <v>2</v>
      </c>
      <c r="K1410" s="2">
        <f t="shared" ref="K1410:K1473" si="179">WEEKDAY(A1410)</f>
        <v>3</v>
      </c>
      <c r="L1410" s="2">
        <f t="shared" si="172"/>
        <v>3</v>
      </c>
      <c r="M1410" s="3">
        <f t="shared" si="173"/>
        <v>196.94000199999999</v>
      </c>
      <c r="N1410" s="1">
        <f t="shared" ca="1" si="174"/>
        <v>196.94000199999999</v>
      </c>
      <c r="O1410" s="5">
        <f t="shared" si="175"/>
        <v>-7.1900085590534291E-2</v>
      </c>
    </row>
    <row r="1411" spans="1:15" s="2" customFormat="1" x14ac:dyDescent="0.5">
      <c r="A1411" s="6">
        <v>42403</v>
      </c>
      <c r="B1411" s="1">
        <v>183.58999600000001</v>
      </c>
      <c r="C1411" s="1">
        <v>183.94000199999999</v>
      </c>
      <c r="D1411" s="1">
        <v>170.179993</v>
      </c>
      <c r="E1411" s="1">
        <v>173.479996</v>
      </c>
      <c r="F1411" s="1">
        <v>173.479996</v>
      </c>
      <c r="G1411" s="2">
        <v>7931400</v>
      </c>
      <c r="H1411" s="2">
        <f t="shared" si="176"/>
        <v>2016</v>
      </c>
      <c r="I1411" s="2">
        <f t="shared" si="177"/>
        <v>2</v>
      </c>
      <c r="J1411" s="2">
        <f t="shared" si="178"/>
        <v>3</v>
      </c>
      <c r="K1411" s="2">
        <f t="shared" si="179"/>
        <v>4</v>
      </c>
      <c r="L1411" s="2">
        <f t="shared" ref="L1411:L1474" si="180">I1411+1</f>
        <v>3</v>
      </c>
      <c r="M1411" s="3">
        <f t="shared" ref="M1411:M1474" si="181">F1410</f>
        <v>182.779999</v>
      </c>
      <c r="N1411" s="1">
        <f t="shared" ref="N1411:N1474" ca="1" si="182">OFFSET(F1411, -1, 0)</f>
        <v>182.779999</v>
      </c>
      <c r="O1411" s="5">
        <f t="shared" ref="O1411:O1474" si="183">(F1411/M1411)-1</f>
        <v>-5.0880857046071037E-2</v>
      </c>
    </row>
    <row r="1412" spans="1:15" s="2" customFormat="1" x14ac:dyDescent="0.5">
      <c r="A1412" s="6">
        <v>42404</v>
      </c>
      <c r="B1412" s="1">
        <v>170.699997</v>
      </c>
      <c r="C1412" s="1">
        <v>175.979996</v>
      </c>
      <c r="D1412" s="1">
        <v>166.990005</v>
      </c>
      <c r="E1412" s="1">
        <v>175.33000200000001</v>
      </c>
      <c r="F1412" s="1">
        <v>175.33000200000001</v>
      </c>
      <c r="G1412" s="2">
        <v>4363900</v>
      </c>
      <c r="H1412" s="2">
        <f t="shared" si="176"/>
        <v>2016</v>
      </c>
      <c r="I1412" s="2">
        <f t="shared" si="177"/>
        <v>2</v>
      </c>
      <c r="J1412" s="2">
        <f t="shared" si="178"/>
        <v>4</v>
      </c>
      <c r="K1412" s="2">
        <f t="shared" si="179"/>
        <v>5</v>
      </c>
      <c r="L1412" s="2">
        <f t="shared" si="180"/>
        <v>3</v>
      </c>
      <c r="M1412" s="3">
        <f t="shared" si="181"/>
        <v>173.479996</v>
      </c>
      <c r="N1412" s="1">
        <f t="shared" ca="1" si="182"/>
        <v>173.479996</v>
      </c>
      <c r="O1412" s="5">
        <f t="shared" si="183"/>
        <v>1.0664088325203824E-2</v>
      </c>
    </row>
    <row r="1413" spans="1:15" s="2" customFormat="1" x14ac:dyDescent="0.5">
      <c r="A1413" s="6">
        <v>42405</v>
      </c>
      <c r="B1413" s="1">
        <v>171.300003</v>
      </c>
      <c r="C1413" s="1">
        <v>173</v>
      </c>
      <c r="D1413" s="1">
        <v>157.740005</v>
      </c>
      <c r="E1413" s="1">
        <v>162.60000600000001</v>
      </c>
      <c r="F1413" s="1">
        <v>162.60000600000001</v>
      </c>
      <c r="G1413" s="2">
        <v>9437600</v>
      </c>
      <c r="H1413" s="2">
        <f t="shared" si="176"/>
        <v>2016</v>
      </c>
      <c r="I1413" s="2">
        <f t="shared" si="177"/>
        <v>2</v>
      </c>
      <c r="J1413" s="2">
        <f t="shared" si="178"/>
        <v>5</v>
      </c>
      <c r="K1413" s="2">
        <f t="shared" si="179"/>
        <v>6</v>
      </c>
      <c r="L1413" s="2">
        <f t="shared" si="180"/>
        <v>3</v>
      </c>
      <c r="M1413" s="3">
        <f t="shared" si="181"/>
        <v>175.33000200000001</v>
      </c>
      <c r="N1413" s="1">
        <f t="shared" ca="1" si="182"/>
        <v>175.33000200000001</v>
      </c>
      <c r="O1413" s="5">
        <f t="shared" si="183"/>
        <v>-7.2605919436423694E-2</v>
      </c>
    </row>
    <row r="1414" spans="1:15" s="2" customFormat="1" x14ac:dyDescent="0.5">
      <c r="A1414" s="6">
        <v>42408</v>
      </c>
      <c r="B1414" s="1">
        <v>157.10000600000001</v>
      </c>
      <c r="C1414" s="1">
        <v>157.14999399999999</v>
      </c>
      <c r="D1414" s="1">
        <v>146</v>
      </c>
      <c r="E1414" s="1">
        <v>147.990005</v>
      </c>
      <c r="F1414" s="1">
        <v>147.990005</v>
      </c>
      <c r="G1414" s="2">
        <v>9313000</v>
      </c>
      <c r="H1414" s="2">
        <f t="shared" si="176"/>
        <v>2016</v>
      </c>
      <c r="I1414" s="2">
        <f t="shared" si="177"/>
        <v>2</v>
      </c>
      <c r="J1414" s="2">
        <f t="shared" si="178"/>
        <v>8</v>
      </c>
      <c r="K1414" s="2">
        <f t="shared" si="179"/>
        <v>2</v>
      </c>
      <c r="L1414" s="2">
        <f t="shared" si="180"/>
        <v>3</v>
      </c>
      <c r="M1414" s="3">
        <f t="shared" si="181"/>
        <v>162.60000600000001</v>
      </c>
      <c r="N1414" s="1">
        <f t="shared" ca="1" si="182"/>
        <v>162.60000600000001</v>
      </c>
      <c r="O1414" s="5">
        <f t="shared" si="183"/>
        <v>-8.9852401358460066E-2</v>
      </c>
    </row>
    <row r="1415" spans="1:15" s="2" customFormat="1" x14ac:dyDescent="0.5">
      <c r="A1415" s="6">
        <v>42409</v>
      </c>
      <c r="B1415" s="1">
        <v>142.320007</v>
      </c>
      <c r="C1415" s="1">
        <v>159.78999300000001</v>
      </c>
      <c r="D1415" s="1">
        <v>141.050003</v>
      </c>
      <c r="E1415" s="1">
        <v>148.25</v>
      </c>
      <c r="F1415" s="1">
        <v>148.25</v>
      </c>
      <c r="G1415" s="2">
        <v>8575100</v>
      </c>
      <c r="H1415" s="2">
        <f t="shared" si="176"/>
        <v>2016</v>
      </c>
      <c r="I1415" s="2">
        <f t="shared" si="177"/>
        <v>2</v>
      </c>
      <c r="J1415" s="2">
        <f t="shared" si="178"/>
        <v>9</v>
      </c>
      <c r="K1415" s="2">
        <f t="shared" si="179"/>
        <v>3</v>
      </c>
      <c r="L1415" s="2">
        <f t="shared" si="180"/>
        <v>3</v>
      </c>
      <c r="M1415" s="3">
        <f t="shared" si="181"/>
        <v>147.990005</v>
      </c>
      <c r="N1415" s="1">
        <f t="shared" ca="1" si="182"/>
        <v>147.990005</v>
      </c>
      <c r="O1415" s="5">
        <f t="shared" si="183"/>
        <v>1.756841619135141E-3</v>
      </c>
    </row>
    <row r="1416" spans="1:15" s="2" customFormat="1" x14ac:dyDescent="0.5">
      <c r="A1416" s="6">
        <v>42410</v>
      </c>
      <c r="B1416" s="1">
        <v>150.5</v>
      </c>
      <c r="C1416" s="1">
        <v>154.970001</v>
      </c>
      <c r="D1416" s="1">
        <v>141.740005</v>
      </c>
      <c r="E1416" s="1">
        <v>143.66999799999999</v>
      </c>
      <c r="F1416" s="1">
        <v>143.66999799999999</v>
      </c>
      <c r="G1416" s="2">
        <v>10406500</v>
      </c>
      <c r="H1416" s="2">
        <f t="shared" si="176"/>
        <v>2016</v>
      </c>
      <c r="I1416" s="2">
        <f t="shared" si="177"/>
        <v>2</v>
      </c>
      <c r="J1416" s="2">
        <f t="shared" si="178"/>
        <v>10</v>
      </c>
      <c r="K1416" s="2">
        <f t="shared" si="179"/>
        <v>4</v>
      </c>
      <c r="L1416" s="2">
        <f t="shared" si="180"/>
        <v>3</v>
      </c>
      <c r="M1416" s="3">
        <f t="shared" si="181"/>
        <v>148.25</v>
      </c>
      <c r="N1416" s="1">
        <f t="shared" ca="1" si="182"/>
        <v>148.25</v>
      </c>
      <c r="O1416" s="5">
        <f t="shared" si="183"/>
        <v>-3.0893774030354204E-2</v>
      </c>
    </row>
    <row r="1417" spans="1:15" s="2" customFormat="1" x14ac:dyDescent="0.5">
      <c r="A1417" s="6">
        <v>42411</v>
      </c>
      <c r="B1417" s="1">
        <v>152</v>
      </c>
      <c r="C1417" s="1">
        <v>163.259995</v>
      </c>
      <c r="D1417" s="1">
        <v>147</v>
      </c>
      <c r="E1417" s="1">
        <v>150.470001</v>
      </c>
      <c r="F1417" s="1">
        <v>150.470001</v>
      </c>
      <c r="G1417" s="2">
        <v>14252400</v>
      </c>
      <c r="H1417" s="2">
        <f t="shared" si="176"/>
        <v>2016</v>
      </c>
      <c r="I1417" s="2">
        <f t="shared" si="177"/>
        <v>2</v>
      </c>
      <c r="J1417" s="2">
        <f t="shared" si="178"/>
        <v>11</v>
      </c>
      <c r="K1417" s="2">
        <f t="shared" si="179"/>
        <v>5</v>
      </c>
      <c r="L1417" s="2">
        <f t="shared" si="180"/>
        <v>3</v>
      </c>
      <c r="M1417" s="3">
        <f t="shared" si="181"/>
        <v>143.66999799999999</v>
      </c>
      <c r="N1417" s="1">
        <f t="shared" ca="1" si="182"/>
        <v>143.66999799999999</v>
      </c>
      <c r="O1417" s="5">
        <f t="shared" si="183"/>
        <v>4.7330709923167236E-2</v>
      </c>
    </row>
    <row r="1418" spans="1:15" s="2" customFormat="1" x14ac:dyDescent="0.5">
      <c r="A1418" s="6">
        <v>42412</v>
      </c>
      <c r="B1418" s="1">
        <v>155</v>
      </c>
      <c r="C1418" s="1">
        <v>157.009995</v>
      </c>
      <c r="D1418" s="1">
        <v>143.699997</v>
      </c>
      <c r="E1418" s="1">
        <v>151.03999300000001</v>
      </c>
      <c r="F1418" s="1">
        <v>151.03999300000001</v>
      </c>
      <c r="G1418" s="2">
        <v>7235800</v>
      </c>
      <c r="H1418" s="2">
        <f t="shared" si="176"/>
        <v>2016</v>
      </c>
      <c r="I1418" s="2">
        <f t="shared" si="177"/>
        <v>2</v>
      </c>
      <c r="J1418" s="2">
        <f t="shared" si="178"/>
        <v>12</v>
      </c>
      <c r="K1418" s="2">
        <f t="shared" si="179"/>
        <v>6</v>
      </c>
      <c r="L1418" s="2">
        <f t="shared" si="180"/>
        <v>3</v>
      </c>
      <c r="M1418" s="3">
        <f t="shared" si="181"/>
        <v>150.470001</v>
      </c>
      <c r="N1418" s="1">
        <f t="shared" ca="1" si="182"/>
        <v>150.470001</v>
      </c>
      <c r="O1418" s="5">
        <f t="shared" si="183"/>
        <v>3.7880773324379113E-3</v>
      </c>
    </row>
    <row r="1419" spans="1:15" s="2" customFormat="1" x14ac:dyDescent="0.5">
      <c r="A1419" s="6">
        <v>42416</v>
      </c>
      <c r="B1419" s="1">
        <v>158.699997</v>
      </c>
      <c r="C1419" s="1">
        <v>162.949997</v>
      </c>
      <c r="D1419" s="1">
        <v>154.11000100000001</v>
      </c>
      <c r="E1419" s="1">
        <v>155.16999799999999</v>
      </c>
      <c r="F1419" s="1">
        <v>155.16999799999999</v>
      </c>
      <c r="G1419" s="2">
        <v>5593800</v>
      </c>
      <c r="H1419" s="2">
        <f t="shared" si="176"/>
        <v>2016</v>
      </c>
      <c r="I1419" s="2">
        <f t="shared" si="177"/>
        <v>2</v>
      </c>
      <c r="J1419" s="2">
        <f t="shared" si="178"/>
        <v>16</v>
      </c>
      <c r="K1419" s="2">
        <f t="shared" si="179"/>
        <v>3</v>
      </c>
      <c r="L1419" s="2">
        <f t="shared" si="180"/>
        <v>3</v>
      </c>
      <c r="M1419" s="3">
        <f t="shared" si="181"/>
        <v>151.03999300000001</v>
      </c>
      <c r="N1419" s="1">
        <f t="shared" ca="1" si="182"/>
        <v>151.03999300000001</v>
      </c>
      <c r="O1419" s="5">
        <f t="shared" si="183"/>
        <v>2.7343784371070434E-2</v>
      </c>
    </row>
    <row r="1420" spans="1:15" s="2" customFormat="1" x14ac:dyDescent="0.5">
      <c r="A1420" s="6">
        <v>42417</v>
      </c>
      <c r="B1420" s="1">
        <v>159</v>
      </c>
      <c r="C1420" s="1">
        <v>169.33999600000001</v>
      </c>
      <c r="D1420" s="1">
        <v>156.679993</v>
      </c>
      <c r="E1420" s="1">
        <v>168.679993</v>
      </c>
      <c r="F1420" s="1">
        <v>168.679993</v>
      </c>
      <c r="G1420" s="2">
        <v>5825200</v>
      </c>
      <c r="H1420" s="2">
        <f t="shared" si="176"/>
        <v>2016</v>
      </c>
      <c r="I1420" s="2">
        <f t="shared" si="177"/>
        <v>2</v>
      </c>
      <c r="J1420" s="2">
        <f t="shared" si="178"/>
        <v>17</v>
      </c>
      <c r="K1420" s="2">
        <f t="shared" si="179"/>
        <v>4</v>
      </c>
      <c r="L1420" s="2">
        <f t="shared" si="180"/>
        <v>3</v>
      </c>
      <c r="M1420" s="3">
        <f t="shared" si="181"/>
        <v>155.16999799999999</v>
      </c>
      <c r="N1420" s="1">
        <f t="shared" ca="1" si="182"/>
        <v>155.16999799999999</v>
      </c>
      <c r="O1420" s="5">
        <f t="shared" si="183"/>
        <v>8.7065767700789776E-2</v>
      </c>
    </row>
    <row r="1421" spans="1:15" s="2" customFormat="1" x14ac:dyDescent="0.5">
      <c r="A1421" s="6">
        <v>42418</v>
      </c>
      <c r="B1421" s="1">
        <v>172.41999799999999</v>
      </c>
      <c r="C1421" s="1">
        <v>172.949997</v>
      </c>
      <c r="D1421" s="1">
        <v>164.770004</v>
      </c>
      <c r="E1421" s="1">
        <v>166.770004</v>
      </c>
      <c r="F1421" s="1">
        <v>166.770004</v>
      </c>
      <c r="G1421" s="2">
        <v>3887600</v>
      </c>
      <c r="H1421" s="2">
        <f t="shared" si="176"/>
        <v>2016</v>
      </c>
      <c r="I1421" s="2">
        <f t="shared" si="177"/>
        <v>2</v>
      </c>
      <c r="J1421" s="2">
        <f t="shared" si="178"/>
        <v>18</v>
      </c>
      <c r="K1421" s="2">
        <f t="shared" si="179"/>
        <v>5</v>
      </c>
      <c r="L1421" s="2">
        <f t="shared" si="180"/>
        <v>3</v>
      </c>
      <c r="M1421" s="3">
        <f t="shared" si="181"/>
        <v>168.679993</v>
      </c>
      <c r="N1421" s="1">
        <f t="shared" ca="1" si="182"/>
        <v>168.679993</v>
      </c>
      <c r="O1421" s="5">
        <f t="shared" si="183"/>
        <v>-1.1323150813742355E-2</v>
      </c>
    </row>
    <row r="1422" spans="1:15" s="2" customFormat="1" x14ac:dyDescent="0.5">
      <c r="A1422" s="6">
        <v>42419</v>
      </c>
      <c r="B1422" s="1">
        <v>163.66000399999999</v>
      </c>
      <c r="C1422" s="1">
        <v>167.490005</v>
      </c>
      <c r="D1422" s="1">
        <v>162.5</v>
      </c>
      <c r="E1422" s="1">
        <v>166.58000200000001</v>
      </c>
      <c r="F1422" s="1">
        <v>166.58000200000001</v>
      </c>
      <c r="G1422" s="2">
        <v>2959400</v>
      </c>
      <c r="H1422" s="2">
        <f t="shared" si="176"/>
        <v>2016</v>
      </c>
      <c r="I1422" s="2">
        <f t="shared" si="177"/>
        <v>2</v>
      </c>
      <c r="J1422" s="2">
        <f t="shared" si="178"/>
        <v>19</v>
      </c>
      <c r="K1422" s="2">
        <f t="shared" si="179"/>
        <v>6</v>
      </c>
      <c r="L1422" s="2">
        <f t="shared" si="180"/>
        <v>3</v>
      </c>
      <c r="M1422" s="3">
        <f t="shared" si="181"/>
        <v>166.770004</v>
      </c>
      <c r="N1422" s="1">
        <f t="shared" ca="1" si="182"/>
        <v>166.770004</v>
      </c>
      <c r="O1422" s="5">
        <f t="shared" si="183"/>
        <v>-1.1393056031826498E-3</v>
      </c>
    </row>
    <row r="1423" spans="1:15" s="2" customFormat="1" x14ac:dyDescent="0.5">
      <c r="A1423" s="6">
        <v>42422</v>
      </c>
      <c r="B1423" s="1">
        <v>170.11999499999999</v>
      </c>
      <c r="C1423" s="1">
        <v>178.91000399999999</v>
      </c>
      <c r="D1423" s="1">
        <v>169.85000600000001</v>
      </c>
      <c r="E1423" s="1">
        <v>177.740005</v>
      </c>
      <c r="F1423" s="1">
        <v>177.740005</v>
      </c>
      <c r="G1423" s="2">
        <v>5060100</v>
      </c>
      <c r="H1423" s="2">
        <f t="shared" si="176"/>
        <v>2016</v>
      </c>
      <c r="I1423" s="2">
        <f t="shared" si="177"/>
        <v>2</v>
      </c>
      <c r="J1423" s="2">
        <f t="shared" si="178"/>
        <v>22</v>
      </c>
      <c r="K1423" s="2">
        <f t="shared" si="179"/>
        <v>2</v>
      </c>
      <c r="L1423" s="2">
        <f t="shared" si="180"/>
        <v>3</v>
      </c>
      <c r="M1423" s="3">
        <f t="shared" si="181"/>
        <v>166.58000200000001</v>
      </c>
      <c r="N1423" s="1">
        <f t="shared" ca="1" si="182"/>
        <v>166.58000200000001</v>
      </c>
      <c r="O1423" s="5">
        <f t="shared" si="183"/>
        <v>6.6994854520412206E-2</v>
      </c>
    </row>
    <row r="1424" spans="1:15" s="2" customFormat="1" x14ac:dyDescent="0.5">
      <c r="A1424" s="6">
        <v>42423</v>
      </c>
      <c r="B1424" s="1">
        <v>176.16000399999999</v>
      </c>
      <c r="C1424" s="1">
        <v>181.729996</v>
      </c>
      <c r="D1424" s="1">
        <v>173.679993</v>
      </c>
      <c r="E1424" s="1">
        <v>177.21000699999999</v>
      </c>
      <c r="F1424" s="1">
        <v>177.21000699999999</v>
      </c>
      <c r="G1424" s="2">
        <v>5984400</v>
      </c>
      <c r="H1424" s="2">
        <f t="shared" si="176"/>
        <v>2016</v>
      </c>
      <c r="I1424" s="2">
        <f t="shared" si="177"/>
        <v>2</v>
      </c>
      <c r="J1424" s="2">
        <f t="shared" si="178"/>
        <v>23</v>
      </c>
      <c r="K1424" s="2">
        <f t="shared" si="179"/>
        <v>3</v>
      </c>
      <c r="L1424" s="2">
        <f t="shared" si="180"/>
        <v>3</v>
      </c>
      <c r="M1424" s="3">
        <f t="shared" si="181"/>
        <v>177.740005</v>
      </c>
      <c r="N1424" s="1">
        <f t="shared" ca="1" si="182"/>
        <v>177.740005</v>
      </c>
      <c r="O1424" s="5">
        <f t="shared" si="183"/>
        <v>-2.981872314001599E-3</v>
      </c>
    </row>
    <row r="1425" spans="1:15" s="2" customFormat="1" x14ac:dyDescent="0.5">
      <c r="A1425" s="6">
        <v>42424</v>
      </c>
      <c r="B1425" s="1">
        <v>172.75</v>
      </c>
      <c r="C1425" s="1">
        <v>179.5</v>
      </c>
      <c r="D1425" s="1">
        <v>167.83999600000001</v>
      </c>
      <c r="E1425" s="1">
        <v>179</v>
      </c>
      <c r="F1425" s="1">
        <v>179</v>
      </c>
      <c r="G1425" s="2">
        <v>5395600</v>
      </c>
      <c r="H1425" s="2">
        <f t="shared" si="176"/>
        <v>2016</v>
      </c>
      <c r="I1425" s="2">
        <f t="shared" si="177"/>
        <v>2</v>
      </c>
      <c r="J1425" s="2">
        <f t="shared" si="178"/>
        <v>24</v>
      </c>
      <c r="K1425" s="2">
        <f t="shared" si="179"/>
        <v>4</v>
      </c>
      <c r="L1425" s="2">
        <f t="shared" si="180"/>
        <v>3</v>
      </c>
      <c r="M1425" s="3">
        <f t="shared" si="181"/>
        <v>177.21000699999999</v>
      </c>
      <c r="N1425" s="1">
        <f t="shared" ca="1" si="182"/>
        <v>177.21000699999999</v>
      </c>
      <c r="O1425" s="5">
        <f t="shared" si="183"/>
        <v>1.0100970200853432E-2</v>
      </c>
    </row>
    <row r="1426" spans="1:15" s="2" customFormat="1" x14ac:dyDescent="0.5">
      <c r="A1426" s="6">
        <v>42425</v>
      </c>
      <c r="B1426" s="1">
        <v>178.64999399999999</v>
      </c>
      <c r="C1426" s="1">
        <v>188.520004</v>
      </c>
      <c r="D1426" s="1">
        <v>175.199997</v>
      </c>
      <c r="E1426" s="1">
        <v>187.429993</v>
      </c>
      <c r="F1426" s="1">
        <v>187.429993</v>
      </c>
      <c r="G1426" s="2">
        <v>5720500</v>
      </c>
      <c r="H1426" s="2">
        <f t="shared" si="176"/>
        <v>2016</v>
      </c>
      <c r="I1426" s="2">
        <f t="shared" si="177"/>
        <v>2</v>
      </c>
      <c r="J1426" s="2">
        <f t="shared" si="178"/>
        <v>25</v>
      </c>
      <c r="K1426" s="2">
        <f t="shared" si="179"/>
        <v>5</v>
      </c>
      <c r="L1426" s="2">
        <f t="shared" si="180"/>
        <v>3</v>
      </c>
      <c r="M1426" s="3">
        <f t="shared" si="181"/>
        <v>179</v>
      </c>
      <c r="N1426" s="1">
        <f t="shared" ca="1" si="182"/>
        <v>179</v>
      </c>
      <c r="O1426" s="5">
        <f t="shared" si="183"/>
        <v>4.7094932960893843E-2</v>
      </c>
    </row>
    <row r="1427" spans="1:15" s="2" customFormat="1" x14ac:dyDescent="0.5">
      <c r="A1427" s="6">
        <v>42426</v>
      </c>
      <c r="B1427" s="1">
        <v>188.699997</v>
      </c>
      <c r="C1427" s="1">
        <v>192</v>
      </c>
      <c r="D1427" s="1">
        <v>185</v>
      </c>
      <c r="E1427" s="1">
        <v>190.33999600000001</v>
      </c>
      <c r="F1427" s="1">
        <v>190.33999600000001</v>
      </c>
      <c r="G1427" s="2">
        <v>6065100</v>
      </c>
      <c r="H1427" s="2">
        <f t="shared" si="176"/>
        <v>2016</v>
      </c>
      <c r="I1427" s="2">
        <f t="shared" si="177"/>
        <v>2</v>
      </c>
      <c r="J1427" s="2">
        <f t="shared" si="178"/>
        <v>26</v>
      </c>
      <c r="K1427" s="2">
        <f t="shared" si="179"/>
        <v>6</v>
      </c>
      <c r="L1427" s="2">
        <f t="shared" si="180"/>
        <v>3</v>
      </c>
      <c r="M1427" s="3">
        <f t="shared" si="181"/>
        <v>187.429993</v>
      </c>
      <c r="N1427" s="1">
        <f t="shared" ca="1" si="182"/>
        <v>187.429993</v>
      </c>
      <c r="O1427" s="5">
        <f t="shared" si="183"/>
        <v>1.5525812883106838E-2</v>
      </c>
    </row>
    <row r="1428" spans="1:15" s="2" customFormat="1" x14ac:dyDescent="0.5">
      <c r="A1428" s="6">
        <v>42429</v>
      </c>
      <c r="B1428" s="1">
        <v>192.39999399999999</v>
      </c>
      <c r="C1428" s="1">
        <v>196.35000600000001</v>
      </c>
      <c r="D1428" s="1">
        <v>189.220001</v>
      </c>
      <c r="E1428" s="1">
        <v>191.929993</v>
      </c>
      <c r="F1428" s="1">
        <v>191.929993</v>
      </c>
      <c r="G1428" s="2">
        <v>4499000</v>
      </c>
      <c r="H1428" s="2">
        <f t="shared" si="176"/>
        <v>2016</v>
      </c>
      <c r="I1428" s="2">
        <f t="shared" si="177"/>
        <v>2</v>
      </c>
      <c r="J1428" s="2">
        <f t="shared" si="178"/>
        <v>29</v>
      </c>
      <c r="K1428" s="2">
        <f t="shared" si="179"/>
        <v>2</v>
      </c>
      <c r="L1428" s="2">
        <f t="shared" si="180"/>
        <v>3</v>
      </c>
      <c r="M1428" s="3">
        <f t="shared" si="181"/>
        <v>190.33999600000001</v>
      </c>
      <c r="N1428" s="1">
        <f t="shared" ca="1" si="182"/>
        <v>190.33999600000001</v>
      </c>
      <c r="O1428" s="5">
        <f t="shared" si="183"/>
        <v>8.3534571472827501E-3</v>
      </c>
    </row>
    <row r="1429" spans="1:15" s="2" customFormat="1" x14ac:dyDescent="0.5">
      <c r="A1429" s="6">
        <v>42430</v>
      </c>
      <c r="B1429" s="1">
        <v>194.25</v>
      </c>
      <c r="C1429" s="1">
        <v>195.949997</v>
      </c>
      <c r="D1429" s="1">
        <v>182.699997</v>
      </c>
      <c r="E1429" s="1">
        <v>186.35000600000001</v>
      </c>
      <c r="F1429" s="1">
        <v>186.35000600000001</v>
      </c>
      <c r="G1429" s="2">
        <v>6712200</v>
      </c>
      <c r="H1429" s="2">
        <f t="shared" si="176"/>
        <v>2016</v>
      </c>
      <c r="I1429" s="2">
        <f t="shared" si="177"/>
        <v>3</v>
      </c>
      <c r="J1429" s="2">
        <f t="shared" si="178"/>
        <v>1</v>
      </c>
      <c r="K1429" s="2">
        <f t="shared" si="179"/>
        <v>3</v>
      </c>
      <c r="L1429" s="2">
        <f t="shared" si="180"/>
        <v>4</v>
      </c>
      <c r="M1429" s="3">
        <f t="shared" si="181"/>
        <v>191.929993</v>
      </c>
      <c r="N1429" s="1">
        <f t="shared" ca="1" si="182"/>
        <v>191.929993</v>
      </c>
      <c r="O1429" s="5">
        <f t="shared" si="183"/>
        <v>-2.9073032894863848E-2</v>
      </c>
    </row>
    <row r="1430" spans="1:15" s="2" customFormat="1" x14ac:dyDescent="0.5">
      <c r="A1430" s="6">
        <v>42431</v>
      </c>
      <c r="B1430" s="1">
        <v>183.729996</v>
      </c>
      <c r="C1430" s="1">
        <v>188.520004</v>
      </c>
      <c r="D1430" s="1">
        <v>181.5</v>
      </c>
      <c r="E1430" s="1">
        <v>188.33999600000001</v>
      </c>
      <c r="F1430" s="1">
        <v>188.33999600000001</v>
      </c>
      <c r="G1430" s="2">
        <v>4862400</v>
      </c>
      <c r="H1430" s="2">
        <f t="shared" si="176"/>
        <v>2016</v>
      </c>
      <c r="I1430" s="2">
        <f t="shared" si="177"/>
        <v>3</v>
      </c>
      <c r="J1430" s="2">
        <f t="shared" si="178"/>
        <v>2</v>
      </c>
      <c r="K1430" s="2">
        <f t="shared" si="179"/>
        <v>4</v>
      </c>
      <c r="L1430" s="2">
        <f t="shared" si="180"/>
        <v>4</v>
      </c>
      <c r="M1430" s="3">
        <f t="shared" si="181"/>
        <v>186.35000600000001</v>
      </c>
      <c r="N1430" s="1">
        <f t="shared" ca="1" si="182"/>
        <v>186.35000600000001</v>
      </c>
      <c r="O1430" s="5">
        <f t="shared" si="183"/>
        <v>1.0678776152011515E-2</v>
      </c>
    </row>
    <row r="1431" spans="1:15" s="2" customFormat="1" x14ac:dyDescent="0.5">
      <c r="A1431" s="6">
        <v>42432</v>
      </c>
      <c r="B1431" s="1">
        <v>188.279999</v>
      </c>
      <c r="C1431" s="1">
        <v>197.41999799999999</v>
      </c>
      <c r="D1431" s="1">
        <v>184.220001</v>
      </c>
      <c r="E1431" s="1">
        <v>195.740005</v>
      </c>
      <c r="F1431" s="1">
        <v>195.740005</v>
      </c>
      <c r="G1431" s="2">
        <v>4820500</v>
      </c>
      <c r="H1431" s="2">
        <f t="shared" si="176"/>
        <v>2016</v>
      </c>
      <c r="I1431" s="2">
        <f t="shared" si="177"/>
        <v>3</v>
      </c>
      <c r="J1431" s="2">
        <f t="shared" si="178"/>
        <v>3</v>
      </c>
      <c r="K1431" s="2">
        <f t="shared" si="179"/>
        <v>5</v>
      </c>
      <c r="L1431" s="2">
        <f t="shared" si="180"/>
        <v>4</v>
      </c>
      <c r="M1431" s="3">
        <f t="shared" si="181"/>
        <v>188.33999600000001</v>
      </c>
      <c r="N1431" s="1">
        <f t="shared" ca="1" si="182"/>
        <v>188.33999600000001</v>
      </c>
      <c r="O1431" s="5">
        <f t="shared" si="183"/>
        <v>3.9290693199335092E-2</v>
      </c>
    </row>
    <row r="1432" spans="1:15" s="2" customFormat="1" x14ac:dyDescent="0.5">
      <c r="A1432" s="6">
        <v>42433</v>
      </c>
      <c r="B1432" s="1">
        <v>198</v>
      </c>
      <c r="C1432" s="1">
        <v>204.029999</v>
      </c>
      <c r="D1432" s="1">
        <v>197.5</v>
      </c>
      <c r="E1432" s="1">
        <v>201.03999300000001</v>
      </c>
      <c r="F1432" s="1">
        <v>201.03999300000001</v>
      </c>
      <c r="G1432" s="2">
        <v>6489100</v>
      </c>
      <c r="H1432" s="2">
        <f t="shared" si="176"/>
        <v>2016</v>
      </c>
      <c r="I1432" s="2">
        <f t="shared" si="177"/>
        <v>3</v>
      </c>
      <c r="J1432" s="2">
        <f t="shared" si="178"/>
        <v>4</v>
      </c>
      <c r="K1432" s="2">
        <f t="shared" si="179"/>
        <v>6</v>
      </c>
      <c r="L1432" s="2">
        <f t="shared" si="180"/>
        <v>4</v>
      </c>
      <c r="M1432" s="3">
        <f t="shared" si="181"/>
        <v>195.740005</v>
      </c>
      <c r="N1432" s="1">
        <f t="shared" ca="1" si="182"/>
        <v>195.740005</v>
      </c>
      <c r="O1432" s="5">
        <f t="shared" si="183"/>
        <v>2.7076672446187056E-2</v>
      </c>
    </row>
    <row r="1433" spans="1:15" s="2" customFormat="1" x14ac:dyDescent="0.5">
      <c r="A1433" s="6">
        <v>42436</v>
      </c>
      <c r="B1433" s="1">
        <v>197.679993</v>
      </c>
      <c r="C1433" s="1">
        <v>209.699997</v>
      </c>
      <c r="D1433" s="1">
        <v>197.39999399999999</v>
      </c>
      <c r="E1433" s="1">
        <v>205.28999300000001</v>
      </c>
      <c r="F1433" s="1">
        <v>205.28999300000001</v>
      </c>
      <c r="G1433" s="2">
        <v>5329400</v>
      </c>
      <c r="H1433" s="2">
        <f t="shared" si="176"/>
        <v>2016</v>
      </c>
      <c r="I1433" s="2">
        <f t="shared" si="177"/>
        <v>3</v>
      </c>
      <c r="J1433" s="2">
        <f t="shared" si="178"/>
        <v>7</v>
      </c>
      <c r="K1433" s="2">
        <f t="shared" si="179"/>
        <v>2</v>
      </c>
      <c r="L1433" s="2">
        <f t="shared" si="180"/>
        <v>4</v>
      </c>
      <c r="M1433" s="3">
        <f t="shared" si="181"/>
        <v>201.03999300000001</v>
      </c>
      <c r="N1433" s="1">
        <f t="shared" ca="1" si="182"/>
        <v>201.03999300000001</v>
      </c>
      <c r="O1433" s="5">
        <f t="shared" si="183"/>
        <v>2.1140072363611706E-2</v>
      </c>
    </row>
    <row r="1434" spans="1:15" s="2" customFormat="1" x14ac:dyDescent="0.5">
      <c r="A1434" s="6">
        <v>42437</v>
      </c>
      <c r="B1434" s="1">
        <v>203.5</v>
      </c>
      <c r="C1434" s="1">
        <v>207.5</v>
      </c>
      <c r="D1434" s="1">
        <v>202.199997</v>
      </c>
      <c r="E1434" s="1">
        <v>202.60000600000001</v>
      </c>
      <c r="F1434" s="1">
        <v>202.60000600000001</v>
      </c>
      <c r="G1434" s="2">
        <v>4178700</v>
      </c>
      <c r="H1434" s="2">
        <f t="shared" si="176"/>
        <v>2016</v>
      </c>
      <c r="I1434" s="2">
        <f t="shared" si="177"/>
        <v>3</v>
      </c>
      <c r="J1434" s="2">
        <f t="shared" si="178"/>
        <v>8</v>
      </c>
      <c r="K1434" s="2">
        <f t="shared" si="179"/>
        <v>3</v>
      </c>
      <c r="L1434" s="2">
        <f t="shared" si="180"/>
        <v>4</v>
      </c>
      <c r="M1434" s="3">
        <f t="shared" si="181"/>
        <v>205.28999300000001</v>
      </c>
      <c r="N1434" s="1">
        <f t="shared" ca="1" si="182"/>
        <v>205.28999300000001</v>
      </c>
      <c r="O1434" s="5">
        <f t="shared" si="183"/>
        <v>-1.3103351803416929E-2</v>
      </c>
    </row>
    <row r="1435" spans="1:15" s="2" customFormat="1" x14ac:dyDescent="0.5">
      <c r="A1435" s="6">
        <v>42438</v>
      </c>
      <c r="B1435" s="1">
        <v>204.520004</v>
      </c>
      <c r="C1435" s="1">
        <v>209.36999499999999</v>
      </c>
      <c r="D1435" s="1">
        <v>202.78999300000001</v>
      </c>
      <c r="E1435" s="1">
        <v>208.720001</v>
      </c>
      <c r="F1435" s="1">
        <v>208.720001</v>
      </c>
      <c r="G1435" s="2">
        <v>3208600</v>
      </c>
      <c r="H1435" s="2">
        <f t="shared" si="176"/>
        <v>2016</v>
      </c>
      <c r="I1435" s="2">
        <f t="shared" si="177"/>
        <v>3</v>
      </c>
      <c r="J1435" s="2">
        <f t="shared" si="178"/>
        <v>9</v>
      </c>
      <c r="K1435" s="2">
        <f t="shared" si="179"/>
        <v>4</v>
      </c>
      <c r="L1435" s="2">
        <f t="shared" si="180"/>
        <v>4</v>
      </c>
      <c r="M1435" s="3">
        <f t="shared" si="181"/>
        <v>202.60000600000001</v>
      </c>
      <c r="N1435" s="1">
        <f t="shared" ca="1" si="182"/>
        <v>202.60000600000001</v>
      </c>
      <c r="O1435" s="5">
        <f t="shared" si="183"/>
        <v>3.020727946079127E-2</v>
      </c>
    </row>
    <row r="1436" spans="1:15" s="2" customFormat="1" x14ac:dyDescent="0.5">
      <c r="A1436" s="6">
        <v>42439</v>
      </c>
      <c r="B1436" s="1">
        <v>210</v>
      </c>
      <c r="C1436" s="1">
        <v>213.28999300000001</v>
      </c>
      <c r="D1436" s="1">
        <v>200.66999799999999</v>
      </c>
      <c r="E1436" s="1">
        <v>205.179993</v>
      </c>
      <c r="F1436" s="1">
        <v>205.179993</v>
      </c>
      <c r="G1436" s="2">
        <v>5183200</v>
      </c>
      <c r="H1436" s="2">
        <f t="shared" si="176"/>
        <v>2016</v>
      </c>
      <c r="I1436" s="2">
        <f t="shared" si="177"/>
        <v>3</v>
      </c>
      <c r="J1436" s="2">
        <f t="shared" si="178"/>
        <v>10</v>
      </c>
      <c r="K1436" s="2">
        <f t="shared" si="179"/>
        <v>5</v>
      </c>
      <c r="L1436" s="2">
        <f t="shared" si="180"/>
        <v>4</v>
      </c>
      <c r="M1436" s="3">
        <f t="shared" si="181"/>
        <v>208.720001</v>
      </c>
      <c r="N1436" s="1">
        <f t="shared" ca="1" si="182"/>
        <v>208.720001</v>
      </c>
      <c r="O1436" s="5">
        <f t="shared" si="183"/>
        <v>-1.6960559520119989E-2</v>
      </c>
    </row>
    <row r="1437" spans="1:15" s="2" customFormat="1" x14ac:dyDescent="0.5">
      <c r="A1437" s="6">
        <v>42440</v>
      </c>
      <c r="B1437" s="1">
        <v>207.929993</v>
      </c>
      <c r="C1437" s="1">
        <v>209.41999799999999</v>
      </c>
      <c r="D1437" s="1">
        <v>205.33000200000001</v>
      </c>
      <c r="E1437" s="1">
        <v>207.5</v>
      </c>
      <c r="F1437" s="1">
        <v>207.5</v>
      </c>
      <c r="G1437" s="2">
        <v>3343100</v>
      </c>
      <c r="H1437" s="2">
        <f t="shared" si="176"/>
        <v>2016</v>
      </c>
      <c r="I1437" s="2">
        <f t="shared" si="177"/>
        <v>3</v>
      </c>
      <c r="J1437" s="2">
        <f t="shared" si="178"/>
        <v>11</v>
      </c>
      <c r="K1437" s="2">
        <f t="shared" si="179"/>
        <v>6</v>
      </c>
      <c r="L1437" s="2">
        <f t="shared" si="180"/>
        <v>4</v>
      </c>
      <c r="M1437" s="3">
        <f t="shared" si="181"/>
        <v>205.179993</v>
      </c>
      <c r="N1437" s="1">
        <f t="shared" ca="1" si="182"/>
        <v>205.179993</v>
      </c>
      <c r="O1437" s="5">
        <f t="shared" si="183"/>
        <v>1.1307179448046822E-2</v>
      </c>
    </row>
    <row r="1438" spans="1:15" s="2" customFormat="1" x14ac:dyDescent="0.5">
      <c r="A1438" s="6">
        <v>42443</v>
      </c>
      <c r="B1438" s="1">
        <v>212.64999399999999</v>
      </c>
      <c r="C1438" s="1">
        <v>216.720001</v>
      </c>
      <c r="D1438" s="1">
        <v>210.63999899999999</v>
      </c>
      <c r="E1438" s="1">
        <v>215.14999399999999</v>
      </c>
      <c r="F1438" s="1">
        <v>215.14999399999999</v>
      </c>
      <c r="G1438" s="2">
        <v>4065700</v>
      </c>
      <c r="H1438" s="2">
        <f t="shared" si="176"/>
        <v>2016</v>
      </c>
      <c r="I1438" s="2">
        <f t="shared" si="177"/>
        <v>3</v>
      </c>
      <c r="J1438" s="2">
        <f t="shared" si="178"/>
        <v>14</v>
      </c>
      <c r="K1438" s="2">
        <f t="shared" si="179"/>
        <v>2</v>
      </c>
      <c r="L1438" s="2">
        <f t="shared" si="180"/>
        <v>4</v>
      </c>
      <c r="M1438" s="3">
        <f t="shared" si="181"/>
        <v>207.5</v>
      </c>
      <c r="N1438" s="1">
        <f t="shared" ca="1" si="182"/>
        <v>207.5</v>
      </c>
      <c r="O1438" s="5">
        <f t="shared" si="183"/>
        <v>3.6867440963855413E-2</v>
      </c>
    </row>
    <row r="1439" spans="1:15" s="2" customFormat="1" x14ac:dyDescent="0.5">
      <c r="A1439" s="6">
        <v>42444</v>
      </c>
      <c r="B1439" s="1">
        <v>214.270004</v>
      </c>
      <c r="C1439" s="1">
        <v>218.970001</v>
      </c>
      <c r="D1439" s="1">
        <v>211.5</v>
      </c>
      <c r="E1439" s="1">
        <v>218.33999600000001</v>
      </c>
      <c r="F1439" s="1">
        <v>218.33999600000001</v>
      </c>
      <c r="G1439" s="2">
        <v>3180500</v>
      </c>
      <c r="H1439" s="2">
        <f t="shared" si="176"/>
        <v>2016</v>
      </c>
      <c r="I1439" s="2">
        <f t="shared" si="177"/>
        <v>3</v>
      </c>
      <c r="J1439" s="2">
        <f t="shared" si="178"/>
        <v>15</v>
      </c>
      <c r="K1439" s="2">
        <f t="shared" si="179"/>
        <v>3</v>
      </c>
      <c r="L1439" s="2">
        <f t="shared" si="180"/>
        <v>4</v>
      </c>
      <c r="M1439" s="3">
        <f t="shared" si="181"/>
        <v>215.14999399999999</v>
      </c>
      <c r="N1439" s="1">
        <f t="shared" ca="1" si="182"/>
        <v>215.14999399999999</v>
      </c>
      <c r="O1439" s="5">
        <f t="shared" si="183"/>
        <v>1.4826874687247305E-2</v>
      </c>
    </row>
    <row r="1440" spans="1:15" s="2" customFormat="1" x14ac:dyDescent="0.5">
      <c r="A1440" s="6">
        <v>42445</v>
      </c>
      <c r="B1440" s="1">
        <v>218</v>
      </c>
      <c r="C1440" s="1">
        <v>222.58000200000001</v>
      </c>
      <c r="D1440" s="1">
        <v>217.020004</v>
      </c>
      <c r="E1440" s="1">
        <v>221.929993</v>
      </c>
      <c r="F1440" s="1">
        <v>221.929993</v>
      </c>
      <c r="G1440" s="2">
        <v>3516700</v>
      </c>
      <c r="H1440" s="2">
        <f t="shared" si="176"/>
        <v>2016</v>
      </c>
      <c r="I1440" s="2">
        <f t="shared" si="177"/>
        <v>3</v>
      </c>
      <c r="J1440" s="2">
        <f t="shared" si="178"/>
        <v>16</v>
      </c>
      <c r="K1440" s="2">
        <f t="shared" si="179"/>
        <v>4</v>
      </c>
      <c r="L1440" s="2">
        <f t="shared" si="180"/>
        <v>4</v>
      </c>
      <c r="M1440" s="3">
        <f t="shared" si="181"/>
        <v>218.33999600000001</v>
      </c>
      <c r="N1440" s="1">
        <f t="shared" ca="1" si="182"/>
        <v>218.33999600000001</v>
      </c>
      <c r="O1440" s="5">
        <f t="shared" si="183"/>
        <v>1.6442232599472861E-2</v>
      </c>
    </row>
    <row r="1441" spans="1:15" s="2" customFormat="1" x14ac:dyDescent="0.5">
      <c r="A1441" s="6">
        <v>42446</v>
      </c>
      <c r="B1441" s="1">
        <v>221.470001</v>
      </c>
      <c r="C1441" s="1">
        <v>228.5</v>
      </c>
      <c r="D1441" s="1">
        <v>220</v>
      </c>
      <c r="E1441" s="1">
        <v>226.38000500000001</v>
      </c>
      <c r="F1441" s="1">
        <v>226.38000500000001</v>
      </c>
      <c r="G1441" s="2">
        <v>3782900</v>
      </c>
      <c r="H1441" s="2">
        <f t="shared" si="176"/>
        <v>2016</v>
      </c>
      <c r="I1441" s="2">
        <f t="shared" si="177"/>
        <v>3</v>
      </c>
      <c r="J1441" s="2">
        <f t="shared" si="178"/>
        <v>17</v>
      </c>
      <c r="K1441" s="2">
        <f t="shared" si="179"/>
        <v>5</v>
      </c>
      <c r="L1441" s="2">
        <f t="shared" si="180"/>
        <v>4</v>
      </c>
      <c r="M1441" s="3">
        <f t="shared" si="181"/>
        <v>221.929993</v>
      </c>
      <c r="N1441" s="1">
        <f t="shared" ca="1" si="182"/>
        <v>221.929993</v>
      </c>
      <c r="O1441" s="5">
        <f t="shared" si="183"/>
        <v>2.0051422251881057E-2</v>
      </c>
    </row>
    <row r="1442" spans="1:15" s="2" customFormat="1" x14ac:dyDescent="0.5">
      <c r="A1442" s="6">
        <v>42447</v>
      </c>
      <c r="B1442" s="1">
        <v>229.10000600000001</v>
      </c>
      <c r="C1442" s="1">
        <v>234.479996</v>
      </c>
      <c r="D1442" s="1">
        <v>228.05999800000001</v>
      </c>
      <c r="E1442" s="1">
        <v>232.740005</v>
      </c>
      <c r="F1442" s="1">
        <v>232.740005</v>
      </c>
      <c r="G1442" s="2">
        <v>4711800</v>
      </c>
      <c r="H1442" s="2">
        <f t="shared" si="176"/>
        <v>2016</v>
      </c>
      <c r="I1442" s="2">
        <f t="shared" si="177"/>
        <v>3</v>
      </c>
      <c r="J1442" s="2">
        <f t="shared" si="178"/>
        <v>18</v>
      </c>
      <c r="K1442" s="2">
        <f t="shared" si="179"/>
        <v>6</v>
      </c>
      <c r="L1442" s="2">
        <f t="shared" si="180"/>
        <v>4</v>
      </c>
      <c r="M1442" s="3">
        <f t="shared" si="181"/>
        <v>226.38000500000001</v>
      </c>
      <c r="N1442" s="1">
        <f t="shared" ca="1" si="182"/>
        <v>226.38000500000001</v>
      </c>
      <c r="O1442" s="5">
        <f t="shared" si="183"/>
        <v>2.8094354004453592E-2</v>
      </c>
    </row>
    <row r="1443" spans="1:15" s="2" customFormat="1" x14ac:dyDescent="0.5">
      <c r="A1443" s="6">
        <v>42450</v>
      </c>
      <c r="B1443" s="1">
        <v>235.33999600000001</v>
      </c>
      <c r="C1443" s="1">
        <v>239.88000500000001</v>
      </c>
      <c r="D1443" s="1">
        <v>235</v>
      </c>
      <c r="E1443" s="1">
        <v>238.320007</v>
      </c>
      <c r="F1443" s="1">
        <v>238.320007</v>
      </c>
      <c r="G1443" s="2">
        <v>5307800</v>
      </c>
      <c r="H1443" s="2">
        <f t="shared" si="176"/>
        <v>2016</v>
      </c>
      <c r="I1443" s="2">
        <f t="shared" si="177"/>
        <v>3</v>
      </c>
      <c r="J1443" s="2">
        <f t="shared" si="178"/>
        <v>21</v>
      </c>
      <c r="K1443" s="2">
        <f t="shared" si="179"/>
        <v>2</v>
      </c>
      <c r="L1443" s="2">
        <f t="shared" si="180"/>
        <v>4</v>
      </c>
      <c r="M1443" s="3">
        <f t="shared" si="181"/>
        <v>232.740005</v>
      </c>
      <c r="N1443" s="1">
        <f t="shared" ca="1" si="182"/>
        <v>232.740005</v>
      </c>
      <c r="O1443" s="5">
        <f t="shared" si="183"/>
        <v>2.3975259431656459E-2</v>
      </c>
    </row>
    <row r="1444" spans="1:15" s="2" customFormat="1" x14ac:dyDescent="0.5">
      <c r="A1444" s="6">
        <v>42451</v>
      </c>
      <c r="B1444" s="1">
        <v>237.21000699999999</v>
      </c>
      <c r="C1444" s="1">
        <v>238.990005</v>
      </c>
      <c r="D1444" s="1">
        <v>232.55999800000001</v>
      </c>
      <c r="E1444" s="1">
        <v>234.240005</v>
      </c>
      <c r="F1444" s="1">
        <v>234.240005</v>
      </c>
      <c r="G1444" s="2">
        <v>4316000</v>
      </c>
      <c r="H1444" s="2">
        <f t="shared" si="176"/>
        <v>2016</v>
      </c>
      <c r="I1444" s="2">
        <f t="shared" si="177"/>
        <v>3</v>
      </c>
      <c r="J1444" s="2">
        <f t="shared" si="178"/>
        <v>22</v>
      </c>
      <c r="K1444" s="2">
        <f t="shared" si="179"/>
        <v>3</v>
      </c>
      <c r="L1444" s="2">
        <f t="shared" si="180"/>
        <v>4</v>
      </c>
      <c r="M1444" s="3">
        <f t="shared" si="181"/>
        <v>238.320007</v>
      </c>
      <c r="N1444" s="1">
        <f t="shared" ca="1" si="182"/>
        <v>238.320007</v>
      </c>
      <c r="O1444" s="5">
        <f t="shared" si="183"/>
        <v>-1.7119846761333823E-2</v>
      </c>
    </row>
    <row r="1445" spans="1:15" s="2" customFormat="1" x14ac:dyDescent="0.5">
      <c r="A1445" s="6">
        <v>42452</v>
      </c>
      <c r="B1445" s="1">
        <v>232.36999499999999</v>
      </c>
      <c r="C1445" s="1">
        <v>234.729996</v>
      </c>
      <c r="D1445" s="1">
        <v>222.029999</v>
      </c>
      <c r="E1445" s="1">
        <v>222.58000200000001</v>
      </c>
      <c r="F1445" s="1">
        <v>222.58000200000001</v>
      </c>
      <c r="G1445" s="2">
        <v>4948800</v>
      </c>
      <c r="H1445" s="2">
        <f t="shared" si="176"/>
        <v>2016</v>
      </c>
      <c r="I1445" s="2">
        <f t="shared" si="177"/>
        <v>3</v>
      </c>
      <c r="J1445" s="2">
        <f t="shared" si="178"/>
        <v>23</v>
      </c>
      <c r="K1445" s="2">
        <f t="shared" si="179"/>
        <v>4</v>
      </c>
      <c r="L1445" s="2">
        <f t="shared" si="180"/>
        <v>4</v>
      </c>
      <c r="M1445" s="3">
        <f t="shared" si="181"/>
        <v>234.240005</v>
      </c>
      <c r="N1445" s="1">
        <f t="shared" ca="1" si="182"/>
        <v>234.240005</v>
      </c>
      <c r="O1445" s="5">
        <f t="shared" si="183"/>
        <v>-4.9778017209314851E-2</v>
      </c>
    </row>
    <row r="1446" spans="1:15" s="2" customFormat="1" x14ac:dyDescent="0.5">
      <c r="A1446" s="6">
        <v>42453</v>
      </c>
      <c r="B1446" s="1">
        <v>215.779999</v>
      </c>
      <c r="C1446" s="1">
        <v>228.88999899999999</v>
      </c>
      <c r="D1446" s="1">
        <v>215</v>
      </c>
      <c r="E1446" s="1">
        <v>227.75</v>
      </c>
      <c r="F1446" s="1">
        <v>227.75</v>
      </c>
      <c r="G1446" s="2">
        <v>4960900</v>
      </c>
      <c r="H1446" s="2">
        <f t="shared" si="176"/>
        <v>2016</v>
      </c>
      <c r="I1446" s="2">
        <f t="shared" si="177"/>
        <v>3</v>
      </c>
      <c r="J1446" s="2">
        <f t="shared" si="178"/>
        <v>24</v>
      </c>
      <c r="K1446" s="2">
        <f t="shared" si="179"/>
        <v>5</v>
      </c>
      <c r="L1446" s="2">
        <f t="shared" si="180"/>
        <v>4</v>
      </c>
      <c r="M1446" s="3">
        <f t="shared" si="181"/>
        <v>222.58000200000001</v>
      </c>
      <c r="N1446" s="1">
        <f t="shared" ca="1" si="182"/>
        <v>222.58000200000001</v>
      </c>
      <c r="O1446" s="5">
        <f t="shared" si="183"/>
        <v>2.3227594364025439E-2</v>
      </c>
    </row>
    <row r="1447" spans="1:15" s="2" customFormat="1" x14ac:dyDescent="0.5">
      <c r="A1447" s="6">
        <v>42457</v>
      </c>
      <c r="B1447" s="1">
        <v>231.61000100000001</v>
      </c>
      <c r="C1447" s="1">
        <v>234.80999800000001</v>
      </c>
      <c r="D1447" s="1">
        <v>225</v>
      </c>
      <c r="E1447" s="1">
        <v>230.259995</v>
      </c>
      <c r="F1447" s="1">
        <v>230.259995</v>
      </c>
      <c r="G1447" s="2">
        <v>3925700</v>
      </c>
      <c r="H1447" s="2">
        <f t="shared" si="176"/>
        <v>2016</v>
      </c>
      <c r="I1447" s="2">
        <f t="shared" si="177"/>
        <v>3</v>
      </c>
      <c r="J1447" s="2">
        <f t="shared" si="178"/>
        <v>28</v>
      </c>
      <c r="K1447" s="2">
        <f t="shared" si="179"/>
        <v>2</v>
      </c>
      <c r="L1447" s="2">
        <f t="shared" si="180"/>
        <v>4</v>
      </c>
      <c r="M1447" s="3">
        <f t="shared" si="181"/>
        <v>227.75</v>
      </c>
      <c r="N1447" s="1">
        <f t="shared" ca="1" si="182"/>
        <v>227.75</v>
      </c>
      <c r="O1447" s="5">
        <f t="shared" si="183"/>
        <v>1.1020834248079092E-2</v>
      </c>
    </row>
    <row r="1448" spans="1:15" s="2" customFormat="1" x14ac:dyDescent="0.5">
      <c r="A1448" s="6">
        <v>42458</v>
      </c>
      <c r="B1448" s="1">
        <v>229.88999899999999</v>
      </c>
      <c r="C1448" s="1">
        <v>232.38000500000001</v>
      </c>
      <c r="D1448" s="1">
        <v>225.33000200000001</v>
      </c>
      <c r="E1448" s="1">
        <v>230.13000500000001</v>
      </c>
      <c r="F1448" s="1">
        <v>230.13000500000001</v>
      </c>
      <c r="G1448" s="2">
        <v>4004900</v>
      </c>
      <c r="H1448" s="2">
        <f t="shared" si="176"/>
        <v>2016</v>
      </c>
      <c r="I1448" s="2">
        <f t="shared" si="177"/>
        <v>3</v>
      </c>
      <c r="J1448" s="2">
        <f t="shared" si="178"/>
        <v>29</v>
      </c>
      <c r="K1448" s="2">
        <f t="shared" si="179"/>
        <v>3</v>
      </c>
      <c r="L1448" s="2">
        <f t="shared" si="180"/>
        <v>4</v>
      </c>
      <c r="M1448" s="3">
        <f t="shared" si="181"/>
        <v>230.259995</v>
      </c>
      <c r="N1448" s="1">
        <f t="shared" ca="1" si="182"/>
        <v>230.259995</v>
      </c>
      <c r="O1448" s="5">
        <f t="shared" si="183"/>
        <v>-5.6453575446313575E-4</v>
      </c>
    </row>
    <row r="1449" spans="1:15" s="2" customFormat="1" x14ac:dyDescent="0.5">
      <c r="A1449" s="6">
        <v>42459</v>
      </c>
      <c r="B1449" s="1">
        <v>235.08999600000001</v>
      </c>
      <c r="C1449" s="1">
        <v>235.5</v>
      </c>
      <c r="D1449" s="1">
        <v>226.5</v>
      </c>
      <c r="E1449" s="1">
        <v>226.88999899999999</v>
      </c>
      <c r="F1449" s="1">
        <v>226.88999899999999</v>
      </c>
      <c r="G1449" s="2">
        <v>4033000</v>
      </c>
      <c r="H1449" s="2">
        <f t="shared" si="176"/>
        <v>2016</v>
      </c>
      <c r="I1449" s="2">
        <f t="shared" si="177"/>
        <v>3</v>
      </c>
      <c r="J1449" s="2">
        <f t="shared" si="178"/>
        <v>30</v>
      </c>
      <c r="K1449" s="2">
        <f t="shared" si="179"/>
        <v>4</v>
      </c>
      <c r="L1449" s="2">
        <f t="shared" si="180"/>
        <v>4</v>
      </c>
      <c r="M1449" s="3">
        <f t="shared" si="181"/>
        <v>230.13000500000001</v>
      </c>
      <c r="N1449" s="1">
        <f t="shared" ca="1" si="182"/>
        <v>230.13000500000001</v>
      </c>
      <c r="O1449" s="5">
        <f t="shared" si="183"/>
        <v>-1.4079024593077416E-2</v>
      </c>
    </row>
    <row r="1450" spans="1:15" s="2" customFormat="1" x14ac:dyDescent="0.5">
      <c r="A1450" s="6">
        <v>42460</v>
      </c>
      <c r="B1450" s="1">
        <v>229.33999600000001</v>
      </c>
      <c r="C1450" s="1">
        <v>237.41999799999999</v>
      </c>
      <c r="D1450" s="1">
        <v>225.009995</v>
      </c>
      <c r="E1450" s="1">
        <v>229.770004</v>
      </c>
      <c r="F1450" s="1">
        <v>229.770004</v>
      </c>
      <c r="G1450" s="2">
        <v>8012900</v>
      </c>
      <c r="H1450" s="2">
        <f t="shared" si="176"/>
        <v>2016</v>
      </c>
      <c r="I1450" s="2">
        <f t="shared" si="177"/>
        <v>3</v>
      </c>
      <c r="J1450" s="2">
        <f t="shared" si="178"/>
        <v>31</v>
      </c>
      <c r="K1450" s="2">
        <f t="shared" si="179"/>
        <v>5</v>
      </c>
      <c r="L1450" s="2">
        <f t="shared" si="180"/>
        <v>4</v>
      </c>
      <c r="M1450" s="3">
        <f t="shared" si="181"/>
        <v>226.88999899999999</v>
      </c>
      <c r="N1450" s="1">
        <f t="shared" ca="1" si="182"/>
        <v>226.88999899999999</v>
      </c>
      <c r="O1450" s="5">
        <f t="shared" si="183"/>
        <v>1.269339773764111E-2</v>
      </c>
    </row>
    <row r="1451" spans="1:15" s="2" customFormat="1" x14ac:dyDescent="0.5">
      <c r="A1451" s="6">
        <v>42461</v>
      </c>
      <c r="B1451" s="1">
        <v>244.83000200000001</v>
      </c>
      <c r="C1451" s="1">
        <v>247.89999399999999</v>
      </c>
      <c r="D1451" s="1">
        <v>233.25</v>
      </c>
      <c r="E1451" s="1">
        <v>237.58999600000001</v>
      </c>
      <c r="F1451" s="1">
        <v>237.58999600000001</v>
      </c>
      <c r="G1451" s="2">
        <v>15997500</v>
      </c>
      <c r="H1451" s="2">
        <f t="shared" si="176"/>
        <v>2016</v>
      </c>
      <c r="I1451" s="2">
        <f t="shared" si="177"/>
        <v>4</v>
      </c>
      <c r="J1451" s="2">
        <f t="shared" si="178"/>
        <v>1</v>
      </c>
      <c r="K1451" s="2">
        <f t="shared" si="179"/>
        <v>6</v>
      </c>
      <c r="L1451" s="2">
        <f t="shared" si="180"/>
        <v>5</v>
      </c>
      <c r="M1451" s="3">
        <f t="shared" si="181"/>
        <v>229.770004</v>
      </c>
      <c r="N1451" s="1">
        <f t="shared" ca="1" si="182"/>
        <v>229.770004</v>
      </c>
      <c r="O1451" s="5">
        <f t="shared" si="183"/>
        <v>3.4033998624119821E-2</v>
      </c>
    </row>
    <row r="1452" spans="1:15" s="2" customFormat="1" x14ac:dyDescent="0.5">
      <c r="A1452" s="6">
        <v>42464</v>
      </c>
      <c r="B1452" s="1">
        <v>249.11999499999999</v>
      </c>
      <c r="C1452" s="1">
        <v>252.11999499999999</v>
      </c>
      <c r="D1452" s="1">
        <v>243.63999899999999</v>
      </c>
      <c r="E1452" s="1">
        <v>246.990005</v>
      </c>
      <c r="F1452" s="1">
        <v>246.990005</v>
      </c>
      <c r="G1452" s="2">
        <v>13475300</v>
      </c>
      <c r="H1452" s="2">
        <f t="shared" si="176"/>
        <v>2016</v>
      </c>
      <c r="I1452" s="2">
        <f t="shared" si="177"/>
        <v>4</v>
      </c>
      <c r="J1452" s="2">
        <f t="shared" si="178"/>
        <v>4</v>
      </c>
      <c r="K1452" s="2">
        <f t="shared" si="179"/>
        <v>2</v>
      </c>
      <c r="L1452" s="2">
        <f t="shared" si="180"/>
        <v>5</v>
      </c>
      <c r="M1452" s="3">
        <f t="shared" si="181"/>
        <v>237.58999600000001</v>
      </c>
      <c r="N1452" s="1">
        <f t="shared" ca="1" si="182"/>
        <v>237.58999600000001</v>
      </c>
      <c r="O1452" s="5">
        <f t="shared" si="183"/>
        <v>3.9563993258369345E-2</v>
      </c>
    </row>
    <row r="1453" spans="1:15" s="2" customFormat="1" x14ac:dyDescent="0.5">
      <c r="A1453" s="6">
        <v>42465</v>
      </c>
      <c r="B1453" s="1">
        <v>240.5</v>
      </c>
      <c r="C1453" s="1">
        <v>256.55999800000001</v>
      </c>
      <c r="D1453" s="1">
        <v>240</v>
      </c>
      <c r="E1453" s="1">
        <v>255.470001</v>
      </c>
      <c r="F1453" s="1">
        <v>255.470001</v>
      </c>
      <c r="G1453" s="2">
        <v>9948700</v>
      </c>
      <c r="H1453" s="2">
        <f t="shared" si="176"/>
        <v>2016</v>
      </c>
      <c r="I1453" s="2">
        <f t="shared" si="177"/>
        <v>4</v>
      </c>
      <c r="J1453" s="2">
        <f t="shared" si="178"/>
        <v>5</v>
      </c>
      <c r="K1453" s="2">
        <f t="shared" si="179"/>
        <v>3</v>
      </c>
      <c r="L1453" s="2">
        <f t="shared" si="180"/>
        <v>5</v>
      </c>
      <c r="M1453" s="3">
        <f t="shared" si="181"/>
        <v>246.990005</v>
      </c>
      <c r="N1453" s="1">
        <f t="shared" ca="1" si="182"/>
        <v>246.990005</v>
      </c>
      <c r="O1453" s="5">
        <f t="shared" si="183"/>
        <v>3.4333356930779546E-2</v>
      </c>
    </row>
    <row r="1454" spans="1:15" s="2" customFormat="1" x14ac:dyDescent="0.5">
      <c r="A1454" s="6">
        <v>42466</v>
      </c>
      <c r="B1454" s="1">
        <v>253.970001</v>
      </c>
      <c r="C1454" s="1">
        <v>267.73998999999998</v>
      </c>
      <c r="D1454" s="1">
        <v>253.449997</v>
      </c>
      <c r="E1454" s="1">
        <v>265.42001299999998</v>
      </c>
      <c r="F1454" s="1">
        <v>265.42001299999998</v>
      </c>
      <c r="G1454" s="2">
        <v>11679900</v>
      </c>
      <c r="H1454" s="2">
        <f t="shared" si="176"/>
        <v>2016</v>
      </c>
      <c r="I1454" s="2">
        <f t="shared" si="177"/>
        <v>4</v>
      </c>
      <c r="J1454" s="2">
        <f t="shared" si="178"/>
        <v>6</v>
      </c>
      <c r="K1454" s="2">
        <f t="shared" si="179"/>
        <v>4</v>
      </c>
      <c r="L1454" s="2">
        <f t="shared" si="180"/>
        <v>5</v>
      </c>
      <c r="M1454" s="3">
        <f t="shared" si="181"/>
        <v>255.470001</v>
      </c>
      <c r="N1454" s="1">
        <f t="shared" ca="1" si="182"/>
        <v>255.470001</v>
      </c>
      <c r="O1454" s="5">
        <f t="shared" si="183"/>
        <v>3.8947868481826076E-2</v>
      </c>
    </row>
    <row r="1455" spans="1:15" s="2" customFormat="1" x14ac:dyDescent="0.5">
      <c r="A1455" s="6">
        <v>42467</v>
      </c>
      <c r="B1455" s="1">
        <v>266.45001200000002</v>
      </c>
      <c r="C1455" s="1">
        <v>269.33999599999999</v>
      </c>
      <c r="D1455" s="1">
        <v>254.509995</v>
      </c>
      <c r="E1455" s="1">
        <v>257.20001200000002</v>
      </c>
      <c r="F1455" s="1">
        <v>257.20001200000002</v>
      </c>
      <c r="G1455" s="2">
        <v>8856200</v>
      </c>
      <c r="H1455" s="2">
        <f t="shared" si="176"/>
        <v>2016</v>
      </c>
      <c r="I1455" s="2">
        <f t="shared" si="177"/>
        <v>4</v>
      </c>
      <c r="J1455" s="2">
        <f t="shared" si="178"/>
        <v>7</v>
      </c>
      <c r="K1455" s="2">
        <f t="shared" si="179"/>
        <v>5</v>
      </c>
      <c r="L1455" s="2">
        <f t="shared" si="180"/>
        <v>5</v>
      </c>
      <c r="M1455" s="3">
        <f t="shared" si="181"/>
        <v>265.42001299999998</v>
      </c>
      <c r="N1455" s="1">
        <f t="shared" ca="1" si="182"/>
        <v>265.42001299999998</v>
      </c>
      <c r="O1455" s="5">
        <f t="shared" si="183"/>
        <v>-3.0969785989724774E-2</v>
      </c>
    </row>
    <row r="1456" spans="1:15" s="2" customFormat="1" x14ac:dyDescent="0.5">
      <c r="A1456" s="6">
        <v>42468</v>
      </c>
      <c r="B1456" s="1">
        <v>260.5</v>
      </c>
      <c r="C1456" s="1">
        <v>260.82000699999998</v>
      </c>
      <c r="D1456" s="1">
        <v>248.020004</v>
      </c>
      <c r="E1456" s="1">
        <v>250.070007</v>
      </c>
      <c r="F1456" s="1">
        <v>250.070007</v>
      </c>
      <c r="G1456" s="2">
        <v>7363900</v>
      </c>
      <c r="H1456" s="2">
        <f t="shared" si="176"/>
        <v>2016</v>
      </c>
      <c r="I1456" s="2">
        <f t="shared" si="177"/>
        <v>4</v>
      </c>
      <c r="J1456" s="2">
        <f t="shared" si="178"/>
        <v>8</v>
      </c>
      <c r="K1456" s="2">
        <f t="shared" si="179"/>
        <v>6</v>
      </c>
      <c r="L1456" s="2">
        <f t="shared" si="180"/>
        <v>5</v>
      </c>
      <c r="M1456" s="3">
        <f t="shared" si="181"/>
        <v>257.20001200000002</v>
      </c>
      <c r="N1456" s="1">
        <f t="shared" ca="1" si="182"/>
        <v>257.20001200000002</v>
      </c>
      <c r="O1456" s="5">
        <f t="shared" si="183"/>
        <v>-2.7721635565086999E-2</v>
      </c>
    </row>
    <row r="1457" spans="1:15" s="2" customFormat="1" x14ac:dyDescent="0.5">
      <c r="A1457" s="6">
        <v>42471</v>
      </c>
      <c r="B1457" s="1">
        <v>251</v>
      </c>
      <c r="C1457" s="1">
        <v>258.98998999999998</v>
      </c>
      <c r="D1457" s="1">
        <v>245.300003</v>
      </c>
      <c r="E1457" s="1">
        <v>249.91999799999999</v>
      </c>
      <c r="F1457" s="1">
        <v>249.91999799999999</v>
      </c>
      <c r="G1457" s="2">
        <v>9161700</v>
      </c>
      <c r="H1457" s="2">
        <f t="shared" si="176"/>
        <v>2016</v>
      </c>
      <c r="I1457" s="2">
        <f t="shared" si="177"/>
        <v>4</v>
      </c>
      <c r="J1457" s="2">
        <f t="shared" si="178"/>
        <v>11</v>
      </c>
      <c r="K1457" s="2">
        <f t="shared" si="179"/>
        <v>2</v>
      </c>
      <c r="L1457" s="2">
        <f t="shared" si="180"/>
        <v>5</v>
      </c>
      <c r="M1457" s="3">
        <f t="shared" si="181"/>
        <v>250.070007</v>
      </c>
      <c r="N1457" s="1">
        <f t="shared" ca="1" si="182"/>
        <v>250.070007</v>
      </c>
      <c r="O1457" s="5">
        <f t="shared" si="183"/>
        <v>-5.9986802015810081E-4</v>
      </c>
    </row>
    <row r="1458" spans="1:15" s="2" customFormat="1" x14ac:dyDescent="0.5">
      <c r="A1458" s="6">
        <v>42472</v>
      </c>
      <c r="B1458" s="1">
        <v>249.5</v>
      </c>
      <c r="C1458" s="1">
        <v>251.800003</v>
      </c>
      <c r="D1458" s="1">
        <v>243.63000500000001</v>
      </c>
      <c r="E1458" s="1">
        <v>247.820007</v>
      </c>
      <c r="F1458" s="1">
        <v>247.820007</v>
      </c>
      <c r="G1458" s="2">
        <v>5750800</v>
      </c>
      <c r="H1458" s="2">
        <f t="shared" si="176"/>
        <v>2016</v>
      </c>
      <c r="I1458" s="2">
        <f t="shared" si="177"/>
        <v>4</v>
      </c>
      <c r="J1458" s="2">
        <f t="shared" si="178"/>
        <v>12</v>
      </c>
      <c r="K1458" s="2">
        <f t="shared" si="179"/>
        <v>3</v>
      </c>
      <c r="L1458" s="2">
        <f t="shared" si="180"/>
        <v>5</v>
      </c>
      <c r="M1458" s="3">
        <f t="shared" si="181"/>
        <v>249.91999799999999</v>
      </c>
      <c r="N1458" s="1">
        <f t="shared" ca="1" si="182"/>
        <v>249.91999799999999</v>
      </c>
      <c r="O1458" s="5">
        <f t="shared" si="183"/>
        <v>-8.402652916154385E-3</v>
      </c>
    </row>
    <row r="1459" spans="1:15" s="2" customFormat="1" x14ac:dyDescent="0.5">
      <c r="A1459" s="6">
        <v>42473</v>
      </c>
      <c r="B1459" s="1">
        <v>248.509995</v>
      </c>
      <c r="C1459" s="1">
        <v>255.5</v>
      </c>
      <c r="D1459" s="1">
        <v>247.33000200000001</v>
      </c>
      <c r="E1459" s="1">
        <v>254.529999</v>
      </c>
      <c r="F1459" s="1">
        <v>254.529999</v>
      </c>
      <c r="G1459" s="2">
        <v>4925600</v>
      </c>
      <c r="H1459" s="2">
        <f t="shared" si="176"/>
        <v>2016</v>
      </c>
      <c r="I1459" s="2">
        <f t="shared" si="177"/>
        <v>4</v>
      </c>
      <c r="J1459" s="2">
        <f t="shared" si="178"/>
        <v>13</v>
      </c>
      <c r="K1459" s="2">
        <f t="shared" si="179"/>
        <v>4</v>
      </c>
      <c r="L1459" s="2">
        <f t="shared" si="180"/>
        <v>5</v>
      </c>
      <c r="M1459" s="3">
        <f t="shared" si="181"/>
        <v>247.820007</v>
      </c>
      <c r="N1459" s="1">
        <f t="shared" ca="1" si="182"/>
        <v>247.820007</v>
      </c>
      <c r="O1459" s="5">
        <f t="shared" si="183"/>
        <v>2.7076070577304101E-2</v>
      </c>
    </row>
    <row r="1460" spans="1:15" s="2" customFormat="1" x14ac:dyDescent="0.5">
      <c r="A1460" s="6">
        <v>42474</v>
      </c>
      <c r="B1460" s="1">
        <v>253</v>
      </c>
      <c r="C1460" s="1">
        <v>256.83999599999999</v>
      </c>
      <c r="D1460" s="1">
        <v>251.050003</v>
      </c>
      <c r="E1460" s="1">
        <v>251.86000100000001</v>
      </c>
      <c r="F1460" s="1">
        <v>251.86000100000001</v>
      </c>
      <c r="G1460" s="2">
        <v>4120000</v>
      </c>
      <c r="H1460" s="2">
        <f t="shared" si="176"/>
        <v>2016</v>
      </c>
      <c r="I1460" s="2">
        <f t="shared" si="177"/>
        <v>4</v>
      </c>
      <c r="J1460" s="2">
        <f t="shared" si="178"/>
        <v>14</v>
      </c>
      <c r="K1460" s="2">
        <f t="shared" si="179"/>
        <v>5</v>
      </c>
      <c r="L1460" s="2">
        <f t="shared" si="180"/>
        <v>5</v>
      </c>
      <c r="M1460" s="3">
        <f t="shared" si="181"/>
        <v>254.529999</v>
      </c>
      <c r="N1460" s="1">
        <f t="shared" ca="1" si="182"/>
        <v>254.529999</v>
      </c>
      <c r="O1460" s="5">
        <f t="shared" si="183"/>
        <v>-1.0489914786036669E-2</v>
      </c>
    </row>
    <row r="1461" spans="1:15" s="2" customFormat="1" x14ac:dyDescent="0.5">
      <c r="A1461" s="6">
        <v>42475</v>
      </c>
      <c r="B1461" s="1">
        <v>251.30999800000001</v>
      </c>
      <c r="C1461" s="1">
        <v>254.60000600000001</v>
      </c>
      <c r="D1461" s="1">
        <v>249.11999499999999</v>
      </c>
      <c r="E1461" s="1">
        <v>254.509995</v>
      </c>
      <c r="F1461" s="1">
        <v>254.509995</v>
      </c>
      <c r="G1461" s="2">
        <v>3752400</v>
      </c>
      <c r="H1461" s="2">
        <f t="shared" si="176"/>
        <v>2016</v>
      </c>
      <c r="I1461" s="2">
        <f t="shared" si="177"/>
        <v>4</v>
      </c>
      <c r="J1461" s="2">
        <f t="shared" si="178"/>
        <v>15</v>
      </c>
      <c r="K1461" s="2">
        <f t="shared" si="179"/>
        <v>6</v>
      </c>
      <c r="L1461" s="2">
        <f t="shared" si="180"/>
        <v>5</v>
      </c>
      <c r="M1461" s="3">
        <f t="shared" si="181"/>
        <v>251.86000100000001</v>
      </c>
      <c r="N1461" s="1">
        <f t="shared" ca="1" si="182"/>
        <v>251.86000100000001</v>
      </c>
      <c r="O1461" s="5">
        <f t="shared" si="183"/>
        <v>1.0521694550457816E-2</v>
      </c>
    </row>
    <row r="1462" spans="1:15" s="2" customFormat="1" x14ac:dyDescent="0.5">
      <c r="A1462" s="6">
        <v>42478</v>
      </c>
      <c r="B1462" s="1">
        <v>252.229996</v>
      </c>
      <c r="C1462" s="1">
        <v>258.30999800000001</v>
      </c>
      <c r="D1462" s="1">
        <v>251.66000399999999</v>
      </c>
      <c r="E1462" s="1">
        <v>253.88000500000001</v>
      </c>
      <c r="F1462" s="1">
        <v>253.88000500000001</v>
      </c>
      <c r="G1462" s="2">
        <v>4261800</v>
      </c>
      <c r="H1462" s="2">
        <f t="shared" si="176"/>
        <v>2016</v>
      </c>
      <c r="I1462" s="2">
        <f t="shared" si="177"/>
        <v>4</v>
      </c>
      <c r="J1462" s="2">
        <f t="shared" si="178"/>
        <v>18</v>
      </c>
      <c r="K1462" s="2">
        <f t="shared" si="179"/>
        <v>2</v>
      </c>
      <c r="L1462" s="2">
        <f t="shared" si="180"/>
        <v>5</v>
      </c>
      <c r="M1462" s="3">
        <f t="shared" si="181"/>
        <v>254.509995</v>
      </c>
      <c r="N1462" s="1">
        <f t="shared" ca="1" si="182"/>
        <v>254.509995</v>
      </c>
      <c r="O1462" s="5">
        <f t="shared" si="183"/>
        <v>-2.4753055376076638E-3</v>
      </c>
    </row>
    <row r="1463" spans="1:15" s="2" customFormat="1" x14ac:dyDescent="0.5">
      <c r="A1463" s="6">
        <v>42479</v>
      </c>
      <c r="B1463" s="1">
        <v>253.11999499999999</v>
      </c>
      <c r="C1463" s="1">
        <v>254.36999499999999</v>
      </c>
      <c r="D1463" s="1">
        <v>241.25</v>
      </c>
      <c r="E1463" s="1">
        <v>247.36999499999999</v>
      </c>
      <c r="F1463" s="1">
        <v>247.36999499999999</v>
      </c>
      <c r="G1463" s="2">
        <v>6357500</v>
      </c>
      <c r="H1463" s="2">
        <f t="shared" si="176"/>
        <v>2016</v>
      </c>
      <c r="I1463" s="2">
        <f t="shared" si="177"/>
        <v>4</v>
      </c>
      <c r="J1463" s="2">
        <f t="shared" si="178"/>
        <v>19</v>
      </c>
      <c r="K1463" s="2">
        <f t="shared" si="179"/>
        <v>3</v>
      </c>
      <c r="L1463" s="2">
        <f t="shared" si="180"/>
        <v>5</v>
      </c>
      <c r="M1463" s="3">
        <f t="shared" si="181"/>
        <v>253.88000500000001</v>
      </c>
      <c r="N1463" s="1">
        <f t="shared" ca="1" si="182"/>
        <v>253.88000500000001</v>
      </c>
      <c r="O1463" s="5">
        <f t="shared" si="183"/>
        <v>-2.5642074491057376E-2</v>
      </c>
    </row>
    <row r="1464" spans="1:15" s="2" customFormat="1" x14ac:dyDescent="0.5">
      <c r="A1464" s="6">
        <v>42480</v>
      </c>
      <c r="B1464" s="1">
        <v>246.259995</v>
      </c>
      <c r="C1464" s="1">
        <v>253.66000399999999</v>
      </c>
      <c r="D1464" s="1">
        <v>241.5</v>
      </c>
      <c r="E1464" s="1">
        <v>249.970001</v>
      </c>
      <c r="F1464" s="1">
        <v>249.970001</v>
      </c>
      <c r="G1464" s="2">
        <v>5194100</v>
      </c>
      <c r="H1464" s="2">
        <f t="shared" si="176"/>
        <v>2016</v>
      </c>
      <c r="I1464" s="2">
        <f t="shared" si="177"/>
        <v>4</v>
      </c>
      <c r="J1464" s="2">
        <f t="shared" si="178"/>
        <v>20</v>
      </c>
      <c r="K1464" s="2">
        <f t="shared" si="179"/>
        <v>4</v>
      </c>
      <c r="L1464" s="2">
        <f t="shared" si="180"/>
        <v>5</v>
      </c>
      <c r="M1464" s="3">
        <f t="shared" si="181"/>
        <v>247.36999499999999</v>
      </c>
      <c r="N1464" s="1">
        <f t="shared" ca="1" si="182"/>
        <v>247.36999499999999</v>
      </c>
      <c r="O1464" s="5">
        <f t="shared" si="183"/>
        <v>1.0510595676731072E-2</v>
      </c>
    </row>
    <row r="1465" spans="1:15" s="2" customFormat="1" x14ac:dyDescent="0.5">
      <c r="A1465" s="6">
        <v>42481</v>
      </c>
      <c r="B1465" s="1">
        <v>248.990005</v>
      </c>
      <c r="C1465" s="1">
        <v>250.89999399999999</v>
      </c>
      <c r="D1465" s="1">
        <v>246.91000399999999</v>
      </c>
      <c r="E1465" s="1">
        <v>248.28999300000001</v>
      </c>
      <c r="F1465" s="1">
        <v>248.28999300000001</v>
      </c>
      <c r="G1465" s="2">
        <v>2783100</v>
      </c>
      <c r="H1465" s="2">
        <f t="shared" si="176"/>
        <v>2016</v>
      </c>
      <c r="I1465" s="2">
        <f t="shared" si="177"/>
        <v>4</v>
      </c>
      <c r="J1465" s="2">
        <f t="shared" si="178"/>
        <v>21</v>
      </c>
      <c r="K1465" s="2">
        <f t="shared" si="179"/>
        <v>5</v>
      </c>
      <c r="L1465" s="2">
        <f t="shared" si="180"/>
        <v>5</v>
      </c>
      <c r="M1465" s="3">
        <f t="shared" si="181"/>
        <v>249.970001</v>
      </c>
      <c r="N1465" s="1">
        <f t="shared" ca="1" si="182"/>
        <v>249.970001</v>
      </c>
      <c r="O1465" s="5">
        <f t="shared" si="183"/>
        <v>-6.7208384737333926E-3</v>
      </c>
    </row>
    <row r="1466" spans="1:15" s="2" customFormat="1" x14ac:dyDescent="0.5">
      <c r="A1466" s="6">
        <v>42482</v>
      </c>
      <c r="B1466" s="1">
        <v>248.88999899999999</v>
      </c>
      <c r="C1466" s="1">
        <v>254</v>
      </c>
      <c r="D1466" s="1">
        <v>245.71000699999999</v>
      </c>
      <c r="E1466" s="1">
        <v>253.75</v>
      </c>
      <c r="F1466" s="1">
        <v>253.75</v>
      </c>
      <c r="G1466" s="2">
        <v>3786300</v>
      </c>
      <c r="H1466" s="2">
        <f t="shared" si="176"/>
        <v>2016</v>
      </c>
      <c r="I1466" s="2">
        <f t="shared" si="177"/>
        <v>4</v>
      </c>
      <c r="J1466" s="2">
        <f t="shared" si="178"/>
        <v>22</v>
      </c>
      <c r="K1466" s="2">
        <f t="shared" si="179"/>
        <v>6</v>
      </c>
      <c r="L1466" s="2">
        <f t="shared" si="180"/>
        <v>5</v>
      </c>
      <c r="M1466" s="3">
        <f t="shared" si="181"/>
        <v>248.28999300000001</v>
      </c>
      <c r="N1466" s="1">
        <f t="shared" ca="1" si="182"/>
        <v>248.28999300000001</v>
      </c>
      <c r="O1466" s="5">
        <f t="shared" si="183"/>
        <v>2.199044324754551E-2</v>
      </c>
    </row>
    <row r="1467" spans="1:15" s="2" customFormat="1" x14ac:dyDescent="0.5">
      <c r="A1467" s="6">
        <v>42485</v>
      </c>
      <c r="B1467" s="1">
        <v>253.009995</v>
      </c>
      <c r="C1467" s="1">
        <v>257.38000499999998</v>
      </c>
      <c r="D1467" s="1">
        <v>250.759995</v>
      </c>
      <c r="E1467" s="1">
        <v>251.820007</v>
      </c>
      <c r="F1467" s="1">
        <v>251.820007</v>
      </c>
      <c r="G1467" s="2">
        <v>3670300</v>
      </c>
      <c r="H1467" s="2">
        <f t="shared" si="176"/>
        <v>2016</v>
      </c>
      <c r="I1467" s="2">
        <f t="shared" si="177"/>
        <v>4</v>
      </c>
      <c r="J1467" s="2">
        <f t="shared" si="178"/>
        <v>25</v>
      </c>
      <c r="K1467" s="2">
        <f t="shared" si="179"/>
        <v>2</v>
      </c>
      <c r="L1467" s="2">
        <f t="shared" si="180"/>
        <v>5</v>
      </c>
      <c r="M1467" s="3">
        <f t="shared" si="181"/>
        <v>253.75</v>
      </c>
      <c r="N1467" s="1">
        <f t="shared" ca="1" si="182"/>
        <v>253.75</v>
      </c>
      <c r="O1467" s="5">
        <f t="shared" si="183"/>
        <v>-7.605883743842301E-3</v>
      </c>
    </row>
    <row r="1468" spans="1:15" s="2" customFormat="1" x14ac:dyDescent="0.5">
      <c r="A1468" s="6">
        <v>42486</v>
      </c>
      <c r="B1468" s="1">
        <v>252.050003</v>
      </c>
      <c r="C1468" s="1">
        <v>255.729996</v>
      </c>
      <c r="D1468" s="1">
        <v>249.38999899999999</v>
      </c>
      <c r="E1468" s="1">
        <v>253.740005</v>
      </c>
      <c r="F1468" s="1">
        <v>253.740005</v>
      </c>
      <c r="G1468" s="2">
        <v>3223800</v>
      </c>
      <c r="H1468" s="2">
        <f t="shared" si="176"/>
        <v>2016</v>
      </c>
      <c r="I1468" s="2">
        <f t="shared" si="177"/>
        <v>4</v>
      </c>
      <c r="J1468" s="2">
        <f t="shared" si="178"/>
        <v>26</v>
      </c>
      <c r="K1468" s="2">
        <f t="shared" si="179"/>
        <v>3</v>
      </c>
      <c r="L1468" s="2">
        <f t="shared" si="180"/>
        <v>5</v>
      </c>
      <c r="M1468" s="3">
        <f t="shared" si="181"/>
        <v>251.820007</v>
      </c>
      <c r="N1468" s="1">
        <f t="shared" ca="1" si="182"/>
        <v>251.820007</v>
      </c>
      <c r="O1468" s="5">
        <f t="shared" si="183"/>
        <v>7.6244855318425842E-3</v>
      </c>
    </row>
    <row r="1469" spans="1:15" s="2" customFormat="1" x14ac:dyDescent="0.5">
      <c r="A1469" s="6">
        <v>42487</v>
      </c>
      <c r="B1469" s="1">
        <v>252.75</v>
      </c>
      <c r="C1469" s="1">
        <v>255</v>
      </c>
      <c r="D1469" s="1">
        <v>249.39999399999999</v>
      </c>
      <c r="E1469" s="1">
        <v>251.470001</v>
      </c>
      <c r="F1469" s="1">
        <v>251.470001</v>
      </c>
      <c r="G1469" s="2">
        <v>3205800</v>
      </c>
      <c r="H1469" s="2">
        <f t="shared" si="176"/>
        <v>2016</v>
      </c>
      <c r="I1469" s="2">
        <f t="shared" si="177"/>
        <v>4</v>
      </c>
      <c r="J1469" s="2">
        <f t="shared" si="178"/>
        <v>27</v>
      </c>
      <c r="K1469" s="2">
        <f t="shared" si="179"/>
        <v>4</v>
      </c>
      <c r="L1469" s="2">
        <f t="shared" si="180"/>
        <v>5</v>
      </c>
      <c r="M1469" s="3">
        <f t="shared" si="181"/>
        <v>253.740005</v>
      </c>
      <c r="N1469" s="1">
        <f t="shared" ca="1" si="182"/>
        <v>253.740005</v>
      </c>
      <c r="O1469" s="5">
        <f t="shared" si="183"/>
        <v>-8.9461809540044568E-3</v>
      </c>
    </row>
    <row r="1470" spans="1:15" s="2" customFormat="1" x14ac:dyDescent="0.5">
      <c r="A1470" s="6">
        <v>42488</v>
      </c>
      <c r="B1470" s="1">
        <v>249.85000600000001</v>
      </c>
      <c r="C1470" s="1">
        <v>253.429993</v>
      </c>
      <c r="D1470" s="1">
        <v>247.44000199999999</v>
      </c>
      <c r="E1470" s="1">
        <v>247.71000699999999</v>
      </c>
      <c r="F1470" s="1">
        <v>247.71000699999999</v>
      </c>
      <c r="G1470" s="2">
        <v>2519000</v>
      </c>
      <c r="H1470" s="2">
        <f t="shared" si="176"/>
        <v>2016</v>
      </c>
      <c r="I1470" s="2">
        <f t="shared" si="177"/>
        <v>4</v>
      </c>
      <c r="J1470" s="2">
        <f t="shared" si="178"/>
        <v>28</v>
      </c>
      <c r="K1470" s="2">
        <f t="shared" si="179"/>
        <v>5</v>
      </c>
      <c r="L1470" s="2">
        <f t="shared" si="180"/>
        <v>5</v>
      </c>
      <c r="M1470" s="3">
        <f t="shared" si="181"/>
        <v>251.470001</v>
      </c>
      <c r="N1470" s="1">
        <f t="shared" ca="1" si="182"/>
        <v>251.470001</v>
      </c>
      <c r="O1470" s="5">
        <f t="shared" si="183"/>
        <v>-1.4952057840092015E-2</v>
      </c>
    </row>
    <row r="1471" spans="1:15" s="2" customFormat="1" x14ac:dyDescent="0.5">
      <c r="A1471" s="6">
        <v>42489</v>
      </c>
      <c r="B1471" s="1">
        <v>248.13999899999999</v>
      </c>
      <c r="C1471" s="1">
        <v>248.429993</v>
      </c>
      <c r="D1471" s="1">
        <v>237.80999800000001</v>
      </c>
      <c r="E1471" s="1">
        <v>240.759995</v>
      </c>
      <c r="F1471" s="1">
        <v>240.759995</v>
      </c>
      <c r="G1471" s="2">
        <v>5413800</v>
      </c>
      <c r="H1471" s="2">
        <f t="shared" si="176"/>
        <v>2016</v>
      </c>
      <c r="I1471" s="2">
        <f t="shared" si="177"/>
        <v>4</v>
      </c>
      <c r="J1471" s="2">
        <f t="shared" si="178"/>
        <v>29</v>
      </c>
      <c r="K1471" s="2">
        <f t="shared" si="179"/>
        <v>6</v>
      </c>
      <c r="L1471" s="2">
        <f t="shared" si="180"/>
        <v>5</v>
      </c>
      <c r="M1471" s="3">
        <f t="shared" si="181"/>
        <v>247.71000699999999</v>
      </c>
      <c r="N1471" s="1">
        <f t="shared" ca="1" si="182"/>
        <v>247.71000699999999</v>
      </c>
      <c r="O1471" s="5">
        <f t="shared" si="183"/>
        <v>-2.8057049790483402E-2</v>
      </c>
    </row>
    <row r="1472" spans="1:15" s="2" customFormat="1" x14ac:dyDescent="0.5">
      <c r="A1472" s="6">
        <v>42492</v>
      </c>
      <c r="B1472" s="1">
        <v>241.5</v>
      </c>
      <c r="C1472" s="1">
        <v>243.19000199999999</v>
      </c>
      <c r="D1472" s="1">
        <v>234.820007</v>
      </c>
      <c r="E1472" s="1">
        <v>241.800003</v>
      </c>
      <c r="F1472" s="1">
        <v>241.800003</v>
      </c>
      <c r="G1472" s="2">
        <v>3843900</v>
      </c>
      <c r="H1472" s="2">
        <f t="shared" si="176"/>
        <v>2016</v>
      </c>
      <c r="I1472" s="2">
        <f t="shared" si="177"/>
        <v>5</v>
      </c>
      <c r="J1472" s="2">
        <f t="shared" si="178"/>
        <v>2</v>
      </c>
      <c r="K1472" s="2">
        <f t="shared" si="179"/>
        <v>2</v>
      </c>
      <c r="L1472" s="2">
        <f t="shared" si="180"/>
        <v>6</v>
      </c>
      <c r="M1472" s="3">
        <f t="shared" si="181"/>
        <v>240.759995</v>
      </c>
      <c r="N1472" s="1">
        <f t="shared" ca="1" si="182"/>
        <v>240.759995</v>
      </c>
      <c r="O1472" s="5">
        <f t="shared" si="183"/>
        <v>4.3196877454660942E-3</v>
      </c>
    </row>
    <row r="1473" spans="1:15" s="2" customFormat="1" x14ac:dyDescent="0.5">
      <c r="A1473" s="6">
        <v>42493</v>
      </c>
      <c r="B1473" s="1">
        <v>237.36000100000001</v>
      </c>
      <c r="C1473" s="1">
        <v>238.91000399999999</v>
      </c>
      <c r="D1473" s="1">
        <v>231.61999499999999</v>
      </c>
      <c r="E1473" s="1">
        <v>232.320007</v>
      </c>
      <c r="F1473" s="1">
        <v>232.320007</v>
      </c>
      <c r="G1473" s="2">
        <v>4302200</v>
      </c>
      <c r="H1473" s="2">
        <f t="shared" si="176"/>
        <v>2016</v>
      </c>
      <c r="I1473" s="2">
        <f t="shared" si="177"/>
        <v>5</v>
      </c>
      <c r="J1473" s="2">
        <f t="shared" si="178"/>
        <v>3</v>
      </c>
      <c r="K1473" s="2">
        <f t="shared" si="179"/>
        <v>3</v>
      </c>
      <c r="L1473" s="2">
        <f t="shared" si="180"/>
        <v>6</v>
      </c>
      <c r="M1473" s="3">
        <f t="shared" si="181"/>
        <v>241.800003</v>
      </c>
      <c r="N1473" s="1">
        <f t="shared" ca="1" si="182"/>
        <v>241.800003</v>
      </c>
      <c r="O1473" s="5">
        <f t="shared" si="183"/>
        <v>-3.9205938305964416E-2</v>
      </c>
    </row>
    <row r="1474" spans="1:15" s="2" customFormat="1" x14ac:dyDescent="0.5">
      <c r="A1474" s="6">
        <v>42494</v>
      </c>
      <c r="B1474" s="1">
        <v>230.28999300000001</v>
      </c>
      <c r="C1474" s="1">
        <v>234.46000699999999</v>
      </c>
      <c r="D1474" s="1">
        <v>220.39999399999999</v>
      </c>
      <c r="E1474" s="1">
        <v>222.55999800000001</v>
      </c>
      <c r="F1474" s="1">
        <v>222.55999800000001</v>
      </c>
      <c r="G1474" s="2">
        <v>8262500</v>
      </c>
      <c r="H1474" s="2">
        <f t="shared" ref="H1474:H1537" si="184">YEAR(A1474)</f>
        <v>2016</v>
      </c>
      <c r="I1474" s="2">
        <f t="shared" ref="I1474:I1537" si="185">MONTH(A1474)</f>
        <v>5</v>
      </c>
      <c r="J1474" s="2">
        <f t="shared" ref="J1474:J1537" si="186">DAY(A1474)</f>
        <v>4</v>
      </c>
      <c r="K1474" s="2">
        <f t="shared" ref="K1474:K1537" si="187">WEEKDAY(A1474)</f>
        <v>4</v>
      </c>
      <c r="L1474" s="2">
        <f t="shared" si="180"/>
        <v>6</v>
      </c>
      <c r="M1474" s="3">
        <f t="shared" si="181"/>
        <v>232.320007</v>
      </c>
      <c r="N1474" s="1">
        <f t="shared" ca="1" si="182"/>
        <v>232.320007</v>
      </c>
      <c r="O1474" s="5">
        <f t="shared" si="183"/>
        <v>-4.2011056757586984E-2</v>
      </c>
    </row>
    <row r="1475" spans="1:15" s="2" customFormat="1" x14ac:dyDescent="0.5">
      <c r="A1475" s="6">
        <v>42495</v>
      </c>
      <c r="B1475" s="1">
        <v>228.46000699999999</v>
      </c>
      <c r="C1475" s="1">
        <v>228.63999899999999</v>
      </c>
      <c r="D1475" s="1">
        <v>209.78999300000001</v>
      </c>
      <c r="E1475" s="1">
        <v>211.529999</v>
      </c>
      <c r="F1475" s="1">
        <v>211.529999</v>
      </c>
      <c r="G1475" s="2">
        <v>11254800</v>
      </c>
      <c r="H1475" s="2">
        <f t="shared" si="184"/>
        <v>2016</v>
      </c>
      <c r="I1475" s="2">
        <f t="shared" si="185"/>
        <v>5</v>
      </c>
      <c r="J1475" s="2">
        <f t="shared" si="186"/>
        <v>5</v>
      </c>
      <c r="K1475" s="2">
        <f t="shared" si="187"/>
        <v>5</v>
      </c>
      <c r="L1475" s="2">
        <f t="shared" ref="L1475:L1538" si="188">I1475+1</f>
        <v>6</v>
      </c>
      <c r="M1475" s="3">
        <f t="shared" ref="M1475:M1538" si="189">F1474</f>
        <v>222.55999800000001</v>
      </c>
      <c r="N1475" s="1">
        <f t="shared" ref="N1475:N1538" ca="1" si="190">OFFSET(F1475, -1, 0)</f>
        <v>222.55999800000001</v>
      </c>
      <c r="O1475" s="5">
        <f t="shared" ref="O1475:O1538" si="191">(F1475/M1475)-1</f>
        <v>-4.9559665254849672E-2</v>
      </c>
    </row>
    <row r="1476" spans="1:15" s="2" customFormat="1" x14ac:dyDescent="0.5">
      <c r="A1476" s="6">
        <v>42496</v>
      </c>
      <c r="B1476" s="1">
        <v>210.86999499999999</v>
      </c>
      <c r="C1476" s="1">
        <v>216.36999499999999</v>
      </c>
      <c r="D1476" s="1">
        <v>208.11000100000001</v>
      </c>
      <c r="E1476" s="1">
        <v>214.929993</v>
      </c>
      <c r="F1476" s="1">
        <v>214.929993</v>
      </c>
      <c r="G1476" s="2">
        <v>5685200</v>
      </c>
      <c r="H1476" s="2">
        <f t="shared" si="184"/>
        <v>2016</v>
      </c>
      <c r="I1476" s="2">
        <f t="shared" si="185"/>
        <v>5</v>
      </c>
      <c r="J1476" s="2">
        <f t="shared" si="186"/>
        <v>6</v>
      </c>
      <c r="K1476" s="2">
        <f t="shared" si="187"/>
        <v>6</v>
      </c>
      <c r="L1476" s="2">
        <f t="shared" si="188"/>
        <v>6</v>
      </c>
      <c r="M1476" s="3">
        <f t="shared" si="189"/>
        <v>211.529999</v>
      </c>
      <c r="N1476" s="1">
        <f t="shared" ca="1" si="190"/>
        <v>211.529999</v>
      </c>
      <c r="O1476" s="5">
        <f t="shared" si="191"/>
        <v>1.607334191875065E-2</v>
      </c>
    </row>
    <row r="1477" spans="1:15" s="2" customFormat="1" x14ac:dyDescent="0.5">
      <c r="A1477" s="6">
        <v>42499</v>
      </c>
      <c r="B1477" s="1">
        <v>215.720001</v>
      </c>
      <c r="C1477" s="1">
        <v>216.14999399999999</v>
      </c>
      <c r="D1477" s="1">
        <v>206.800003</v>
      </c>
      <c r="E1477" s="1">
        <v>208.91999799999999</v>
      </c>
      <c r="F1477" s="1">
        <v>208.91999799999999</v>
      </c>
      <c r="G1477" s="2">
        <v>4776400</v>
      </c>
      <c r="H1477" s="2">
        <f t="shared" si="184"/>
        <v>2016</v>
      </c>
      <c r="I1477" s="2">
        <f t="shared" si="185"/>
        <v>5</v>
      </c>
      <c r="J1477" s="2">
        <f t="shared" si="186"/>
        <v>9</v>
      </c>
      <c r="K1477" s="2">
        <f t="shared" si="187"/>
        <v>2</v>
      </c>
      <c r="L1477" s="2">
        <f t="shared" si="188"/>
        <v>6</v>
      </c>
      <c r="M1477" s="3">
        <f t="shared" si="189"/>
        <v>214.929993</v>
      </c>
      <c r="N1477" s="1">
        <f t="shared" ca="1" si="190"/>
        <v>214.929993</v>
      </c>
      <c r="O1477" s="5">
        <f t="shared" si="191"/>
        <v>-2.7962570119285268E-2</v>
      </c>
    </row>
    <row r="1478" spans="1:15" s="2" customFormat="1" x14ac:dyDescent="0.5">
      <c r="A1478" s="6">
        <v>42500</v>
      </c>
      <c r="B1478" s="1">
        <v>207.550003</v>
      </c>
      <c r="C1478" s="1">
        <v>209.470001</v>
      </c>
      <c r="D1478" s="1">
        <v>205</v>
      </c>
      <c r="E1478" s="1">
        <v>208.69000199999999</v>
      </c>
      <c r="F1478" s="1">
        <v>208.69000199999999</v>
      </c>
      <c r="G1478" s="2">
        <v>4065200</v>
      </c>
      <c r="H1478" s="2">
        <f t="shared" si="184"/>
        <v>2016</v>
      </c>
      <c r="I1478" s="2">
        <f t="shared" si="185"/>
        <v>5</v>
      </c>
      <c r="J1478" s="2">
        <f t="shared" si="186"/>
        <v>10</v>
      </c>
      <c r="K1478" s="2">
        <f t="shared" si="187"/>
        <v>3</v>
      </c>
      <c r="L1478" s="2">
        <f t="shared" si="188"/>
        <v>6</v>
      </c>
      <c r="M1478" s="3">
        <f t="shared" si="189"/>
        <v>208.91999799999999</v>
      </c>
      <c r="N1478" s="1">
        <f t="shared" ca="1" si="190"/>
        <v>208.91999799999999</v>
      </c>
      <c r="O1478" s="5">
        <f t="shared" si="191"/>
        <v>-1.1008807304315749E-3</v>
      </c>
    </row>
    <row r="1479" spans="1:15" s="2" customFormat="1" x14ac:dyDescent="0.5">
      <c r="A1479" s="6">
        <v>42501</v>
      </c>
      <c r="B1479" s="1">
        <v>207.58999600000001</v>
      </c>
      <c r="C1479" s="1">
        <v>215.479996</v>
      </c>
      <c r="D1479" s="1">
        <v>206.050003</v>
      </c>
      <c r="E1479" s="1">
        <v>208.96000699999999</v>
      </c>
      <c r="F1479" s="1">
        <v>208.96000699999999</v>
      </c>
      <c r="G1479" s="2">
        <v>5161900</v>
      </c>
      <c r="H1479" s="2">
        <f t="shared" si="184"/>
        <v>2016</v>
      </c>
      <c r="I1479" s="2">
        <f t="shared" si="185"/>
        <v>5</v>
      </c>
      <c r="J1479" s="2">
        <f t="shared" si="186"/>
        <v>11</v>
      </c>
      <c r="K1479" s="2">
        <f t="shared" si="187"/>
        <v>4</v>
      </c>
      <c r="L1479" s="2">
        <f t="shared" si="188"/>
        <v>6</v>
      </c>
      <c r="M1479" s="3">
        <f t="shared" si="189"/>
        <v>208.69000199999999</v>
      </c>
      <c r="N1479" s="1">
        <f t="shared" ca="1" si="190"/>
        <v>208.69000199999999</v>
      </c>
      <c r="O1479" s="5">
        <f t="shared" si="191"/>
        <v>1.2938089865943692E-3</v>
      </c>
    </row>
    <row r="1480" spans="1:15" s="2" customFormat="1" x14ac:dyDescent="0.5">
      <c r="A1480" s="6">
        <v>42502</v>
      </c>
      <c r="B1480" s="1">
        <v>211.44000199999999</v>
      </c>
      <c r="C1480" s="1">
        <v>211.66999799999999</v>
      </c>
      <c r="D1480" s="1">
        <v>203.66000399999999</v>
      </c>
      <c r="E1480" s="1">
        <v>207.279999</v>
      </c>
      <c r="F1480" s="1">
        <v>207.279999</v>
      </c>
      <c r="G1480" s="2">
        <v>3650500</v>
      </c>
      <c r="H1480" s="2">
        <f t="shared" si="184"/>
        <v>2016</v>
      </c>
      <c r="I1480" s="2">
        <f t="shared" si="185"/>
        <v>5</v>
      </c>
      <c r="J1480" s="2">
        <f t="shared" si="186"/>
        <v>12</v>
      </c>
      <c r="K1480" s="2">
        <f t="shared" si="187"/>
        <v>5</v>
      </c>
      <c r="L1480" s="2">
        <f t="shared" si="188"/>
        <v>6</v>
      </c>
      <c r="M1480" s="3">
        <f t="shared" si="189"/>
        <v>208.96000699999999</v>
      </c>
      <c r="N1480" s="1">
        <f t="shared" ca="1" si="190"/>
        <v>208.96000699999999</v>
      </c>
      <c r="O1480" s="5">
        <f t="shared" si="191"/>
        <v>-8.039854248282019E-3</v>
      </c>
    </row>
    <row r="1481" spans="1:15" s="2" customFormat="1" x14ac:dyDescent="0.5">
      <c r="A1481" s="6">
        <v>42503</v>
      </c>
      <c r="B1481" s="1">
        <v>207.779999</v>
      </c>
      <c r="C1481" s="1">
        <v>211.199997</v>
      </c>
      <c r="D1481" s="1">
        <v>206.699997</v>
      </c>
      <c r="E1481" s="1">
        <v>207.61000100000001</v>
      </c>
      <c r="F1481" s="1">
        <v>207.61000100000001</v>
      </c>
      <c r="G1481" s="2">
        <v>2822800</v>
      </c>
      <c r="H1481" s="2">
        <f t="shared" si="184"/>
        <v>2016</v>
      </c>
      <c r="I1481" s="2">
        <f t="shared" si="185"/>
        <v>5</v>
      </c>
      <c r="J1481" s="2">
        <f t="shared" si="186"/>
        <v>13</v>
      </c>
      <c r="K1481" s="2">
        <f t="shared" si="187"/>
        <v>6</v>
      </c>
      <c r="L1481" s="2">
        <f t="shared" si="188"/>
        <v>6</v>
      </c>
      <c r="M1481" s="3">
        <f t="shared" si="189"/>
        <v>207.279999</v>
      </c>
      <c r="N1481" s="1">
        <f t="shared" ca="1" si="190"/>
        <v>207.279999</v>
      </c>
      <c r="O1481" s="5">
        <f t="shared" si="191"/>
        <v>1.592059058240336E-3</v>
      </c>
    </row>
    <row r="1482" spans="1:15" s="2" customFormat="1" x14ac:dyDescent="0.5">
      <c r="A1482" s="6">
        <v>42506</v>
      </c>
      <c r="B1482" s="1">
        <v>208.14999399999999</v>
      </c>
      <c r="C1482" s="1">
        <v>213.14999399999999</v>
      </c>
      <c r="D1482" s="1">
        <v>207.91999799999999</v>
      </c>
      <c r="E1482" s="1">
        <v>208.28999300000001</v>
      </c>
      <c r="F1482" s="1">
        <v>208.28999300000001</v>
      </c>
      <c r="G1482" s="2">
        <v>2949400</v>
      </c>
      <c r="H1482" s="2">
        <f t="shared" si="184"/>
        <v>2016</v>
      </c>
      <c r="I1482" s="2">
        <f t="shared" si="185"/>
        <v>5</v>
      </c>
      <c r="J1482" s="2">
        <f t="shared" si="186"/>
        <v>16</v>
      </c>
      <c r="K1482" s="2">
        <f t="shared" si="187"/>
        <v>2</v>
      </c>
      <c r="L1482" s="2">
        <f t="shared" si="188"/>
        <v>6</v>
      </c>
      <c r="M1482" s="3">
        <f t="shared" si="189"/>
        <v>207.61000100000001</v>
      </c>
      <c r="N1482" s="1">
        <f t="shared" ca="1" si="190"/>
        <v>207.61000100000001</v>
      </c>
      <c r="O1482" s="5">
        <f t="shared" si="191"/>
        <v>3.2753335423374441E-3</v>
      </c>
    </row>
    <row r="1483" spans="1:15" s="2" customFormat="1" x14ac:dyDescent="0.5">
      <c r="A1483" s="6">
        <v>42507</v>
      </c>
      <c r="B1483" s="1">
        <v>209.050003</v>
      </c>
      <c r="C1483" s="1">
        <v>209.820007</v>
      </c>
      <c r="D1483" s="1">
        <v>204.020004</v>
      </c>
      <c r="E1483" s="1">
        <v>204.66000399999999</v>
      </c>
      <c r="F1483" s="1">
        <v>204.66000399999999</v>
      </c>
      <c r="G1483" s="2">
        <v>2843600</v>
      </c>
      <c r="H1483" s="2">
        <f t="shared" si="184"/>
        <v>2016</v>
      </c>
      <c r="I1483" s="2">
        <f t="shared" si="185"/>
        <v>5</v>
      </c>
      <c r="J1483" s="2">
        <f t="shared" si="186"/>
        <v>17</v>
      </c>
      <c r="K1483" s="2">
        <f t="shared" si="187"/>
        <v>3</v>
      </c>
      <c r="L1483" s="2">
        <f t="shared" si="188"/>
        <v>6</v>
      </c>
      <c r="M1483" s="3">
        <f t="shared" si="189"/>
        <v>208.28999300000001</v>
      </c>
      <c r="N1483" s="1">
        <f t="shared" ca="1" si="190"/>
        <v>208.28999300000001</v>
      </c>
      <c r="O1483" s="5">
        <f t="shared" si="191"/>
        <v>-1.7427572720692508E-2</v>
      </c>
    </row>
    <row r="1484" spans="1:15" s="2" customFormat="1" x14ac:dyDescent="0.5">
      <c r="A1484" s="6">
        <v>42508</v>
      </c>
      <c r="B1484" s="1">
        <v>209.14999399999999</v>
      </c>
      <c r="C1484" s="1">
        <v>215.30999800000001</v>
      </c>
      <c r="D1484" s="1">
        <v>207.75</v>
      </c>
      <c r="E1484" s="1">
        <v>211.16999799999999</v>
      </c>
      <c r="F1484" s="1">
        <v>211.16999799999999</v>
      </c>
      <c r="G1484" s="2">
        <v>5617500</v>
      </c>
      <c r="H1484" s="2">
        <f t="shared" si="184"/>
        <v>2016</v>
      </c>
      <c r="I1484" s="2">
        <f t="shared" si="185"/>
        <v>5</v>
      </c>
      <c r="J1484" s="2">
        <f t="shared" si="186"/>
        <v>18</v>
      </c>
      <c r="K1484" s="2">
        <f t="shared" si="187"/>
        <v>4</v>
      </c>
      <c r="L1484" s="2">
        <f t="shared" si="188"/>
        <v>6</v>
      </c>
      <c r="M1484" s="3">
        <f t="shared" si="189"/>
        <v>204.66000399999999</v>
      </c>
      <c r="N1484" s="1">
        <f t="shared" ca="1" si="190"/>
        <v>204.66000399999999</v>
      </c>
      <c r="O1484" s="5">
        <f t="shared" si="191"/>
        <v>3.1808823769982952E-2</v>
      </c>
    </row>
    <row r="1485" spans="1:15" s="2" customFormat="1" x14ac:dyDescent="0.5">
      <c r="A1485" s="6">
        <v>42509</v>
      </c>
      <c r="B1485" s="1">
        <v>213.61999499999999</v>
      </c>
      <c r="C1485" s="1">
        <v>216.78999300000001</v>
      </c>
      <c r="D1485" s="1">
        <v>207.300003</v>
      </c>
      <c r="E1485" s="1">
        <v>215.21000699999999</v>
      </c>
      <c r="F1485" s="1">
        <v>215.21000699999999</v>
      </c>
      <c r="G1485" s="2">
        <v>6866300</v>
      </c>
      <c r="H1485" s="2">
        <f t="shared" si="184"/>
        <v>2016</v>
      </c>
      <c r="I1485" s="2">
        <f t="shared" si="185"/>
        <v>5</v>
      </c>
      <c r="J1485" s="2">
        <f t="shared" si="186"/>
        <v>19</v>
      </c>
      <c r="K1485" s="2">
        <f t="shared" si="187"/>
        <v>5</v>
      </c>
      <c r="L1485" s="2">
        <f t="shared" si="188"/>
        <v>6</v>
      </c>
      <c r="M1485" s="3">
        <f t="shared" si="189"/>
        <v>211.16999799999999</v>
      </c>
      <c r="N1485" s="1">
        <f t="shared" ca="1" si="190"/>
        <v>211.16999799999999</v>
      </c>
      <c r="O1485" s="5">
        <f t="shared" si="191"/>
        <v>1.9131548223057626E-2</v>
      </c>
    </row>
    <row r="1486" spans="1:15" s="2" customFormat="1" x14ac:dyDescent="0.5">
      <c r="A1486" s="6">
        <v>42510</v>
      </c>
      <c r="B1486" s="1">
        <v>216.990005</v>
      </c>
      <c r="C1486" s="1">
        <v>220.550003</v>
      </c>
      <c r="D1486" s="1">
        <v>216.35000600000001</v>
      </c>
      <c r="E1486" s="1">
        <v>220.279999</v>
      </c>
      <c r="F1486" s="1">
        <v>220.279999</v>
      </c>
      <c r="G1486" s="2">
        <v>9007100</v>
      </c>
      <c r="H1486" s="2">
        <f t="shared" si="184"/>
        <v>2016</v>
      </c>
      <c r="I1486" s="2">
        <f t="shared" si="185"/>
        <v>5</v>
      </c>
      <c r="J1486" s="2">
        <f t="shared" si="186"/>
        <v>20</v>
      </c>
      <c r="K1486" s="2">
        <f t="shared" si="187"/>
        <v>6</v>
      </c>
      <c r="L1486" s="2">
        <f t="shared" si="188"/>
        <v>6</v>
      </c>
      <c r="M1486" s="3">
        <f t="shared" si="189"/>
        <v>215.21000699999999</v>
      </c>
      <c r="N1486" s="1">
        <f t="shared" ca="1" si="190"/>
        <v>215.21000699999999</v>
      </c>
      <c r="O1486" s="5">
        <f t="shared" si="191"/>
        <v>2.3558346894157367E-2</v>
      </c>
    </row>
    <row r="1487" spans="1:15" s="2" customFormat="1" x14ac:dyDescent="0.5">
      <c r="A1487" s="6">
        <v>42513</v>
      </c>
      <c r="B1487" s="1">
        <v>219.86999499999999</v>
      </c>
      <c r="C1487" s="1">
        <v>222.60000600000001</v>
      </c>
      <c r="D1487" s="1">
        <v>215.86000100000001</v>
      </c>
      <c r="E1487" s="1">
        <v>216.220001</v>
      </c>
      <c r="F1487" s="1">
        <v>216.220001</v>
      </c>
      <c r="G1487" s="2">
        <v>5093200</v>
      </c>
      <c r="H1487" s="2">
        <f t="shared" si="184"/>
        <v>2016</v>
      </c>
      <c r="I1487" s="2">
        <f t="shared" si="185"/>
        <v>5</v>
      </c>
      <c r="J1487" s="2">
        <f t="shared" si="186"/>
        <v>23</v>
      </c>
      <c r="K1487" s="2">
        <f t="shared" si="187"/>
        <v>2</v>
      </c>
      <c r="L1487" s="2">
        <f t="shared" si="188"/>
        <v>6</v>
      </c>
      <c r="M1487" s="3">
        <f t="shared" si="189"/>
        <v>220.279999</v>
      </c>
      <c r="N1487" s="1">
        <f t="shared" ca="1" si="190"/>
        <v>220.279999</v>
      </c>
      <c r="O1487" s="5">
        <f t="shared" si="191"/>
        <v>-1.8431078710872906E-2</v>
      </c>
    </row>
    <row r="1488" spans="1:15" s="2" customFormat="1" x14ac:dyDescent="0.5">
      <c r="A1488" s="6">
        <v>42514</v>
      </c>
      <c r="B1488" s="1">
        <v>216.60000600000001</v>
      </c>
      <c r="C1488" s="1">
        <v>218.740005</v>
      </c>
      <c r="D1488" s="1">
        <v>215.179993</v>
      </c>
      <c r="E1488" s="1">
        <v>217.91000399999999</v>
      </c>
      <c r="F1488" s="1">
        <v>217.91000399999999</v>
      </c>
      <c r="G1488" s="2">
        <v>3013800</v>
      </c>
      <c r="H1488" s="2">
        <f t="shared" si="184"/>
        <v>2016</v>
      </c>
      <c r="I1488" s="2">
        <f t="shared" si="185"/>
        <v>5</v>
      </c>
      <c r="J1488" s="2">
        <f t="shared" si="186"/>
        <v>24</v>
      </c>
      <c r="K1488" s="2">
        <f t="shared" si="187"/>
        <v>3</v>
      </c>
      <c r="L1488" s="2">
        <f t="shared" si="188"/>
        <v>6</v>
      </c>
      <c r="M1488" s="3">
        <f t="shared" si="189"/>
        <v>216.220001</v>
      </c>
      <c r="N1488" s="1">
        <f t="shared" ca="1" si="190"/>
        <v>216.220001</v>
      </c>
      <c r="O1488" s="5">
        <f t="shared" si="191"/>
        <v>7.8161270566268204E-3</v>
      </c>
    </row>
    <row r="1489" spans="1:15" s="2" customFormat="1" x14ac:dyDescent="0.5">
      <c r="A1489" s="6">
        <v>42515</v>
      </c>
      <c r="B1489" s="1">
        <v>217.91000399999999</v>
      </c>
      <c r="C1489" s="1">
        <v>221.36000100000001</v>
      </c>
      <c r="D1489" s="1">
        <v>216.509995</v>
      </c>
      <c r="E1489" s="1">
        <v>219.58000200000001</v>
      </c>
      <c r="F1489" s="1">
        <v>219.58000200000001</v>
      </c>
      <c r="G1489" s="2">
        <v>3126800</v>
      </c>
      <c r="H1489" s="2">
        <f t="shared" si="184"/>
        <v>2016</v>
      </c>
      <c r="I1489" s="2">
        <f t="shared" si="185"/>
        <v>5</v>
      </c>
      <c r="J1489" s="2">
        <f t="shared" si="186"/>
        <v>25</v>
      </c>
      <c r="K1489" s="2">
        <f t="shared" si="187"/>
        <v>4</v>
      </c>
      <c r="L1489" s="2">
        <f t="shared" si="188"/>
        <v>6</v>
      </c>
      <c r="M1489" s="3">
        <f t="shared" si="189"/>
        <v>217.91000399999999</v>
      </c>
      <c r="N1489" s="1">
        <f t="shared" ca="1" si="190"/>
        <v>217.91000399999999</v>
      </c>
      <c r="O1489" s="5">
        <f t="shared" si="191"/>
        <v>7.663705058717829E-3</v>
      </c>
    </row>
    <row r="1490" spans="1:15" s="2" customFormat="1" x14ac:dyDescent="0.5">
      <c r="A1490" s="6">
        <v>42516</v>
      </c>
      <c r="B1490" s="1">
        <v>220.5</v>
      </c>
      <c r="C1490" s="1">
        <v>225.259995</v>
      </c>
      <c r="D1490" s="1">
        <v>219.050003</v>
      </c>
      <c r="E1490" s="1">
        <v>225.11999499999999</v>
      </c>
      <c r="F1490" s="1">
        <v>225.11999499999999</v>
      </c>
      <c r="G1490" s="2">
        <v>4064000</v>
      </c>
      <c r="H1490" s="2">
        <f t="shared" si="184"/>
        <v>2016</v>
      </c>
      <c r="I1490" s="2">
        <f t="shared" si="185"/>
        <v>5</v>
      </c>
      <c r="J1490" s="2">
        <f t="shared" si="186"/>
        <v>26</v>
      </c>
      <c r="K1490" s="2">
        <f t="shared" si="187"/>
        <v>5</v>
      </c>
      <c r="L1490" s="2">
        <f t="shared" si="188"/>
        <v>6</v>
      </c>
      <c r="M1490" s="3">
        <f t="shared" si="189"/>
        <v>219.58000200000001</v>
      </c>
      <c r="N1490" s="1">
        <f t="shared" ca="1" si="190"/>
        <v>219.58000200000001</v>
      </c>
      <c r="O1490" s="5">
        <f t="shared" si="191"/>
        <v>2.522995240705006E-2</v>
      </c>
    </row>
    <row r="1491" spans="1:15" s="2" customFormat="1" x14ac:dyDescent="0.5">
      <c r="A1491" s="6">
        <v>42517</v>
      </c>
      <c r="B1491" s="1">
        <v>224.990005</v>
      </c>
      <c r="C1491" s="1">
        <v>225.929993</v>
      </c>
      <c r="D1491" s="1">
        <v>220.75</v>
      </c>
      <c r="E1491" s="1">
        <v>223.03999300000001</v>
      </c>
      <c r="F1491" s="1">
        <v>223.03999300000001</v>
      </c>
      <c r="G1491" s="2">
        <v>3650300</v>
      </c>
      <c r="H1491" s="2">
        <f t="shared" si="184"/>
        <v>2016</v>
      </c>
      <c r="I1491" s="2">
        <f t="shared" si="185"/>
        <v>5</v>
      </c>
      <c r="J1491" s="2">
        <f t="shared" si="186"/>
        <v>27</v>
      </c>
      <c r="K1491" s="2">
        <f t="shared" si="187"/>
        <v>6</v>
      </c>
      <c r="L1491" s="2">
        <f t="shared" si="188"/>
        <v>6</v>
      </c>
      <c r="M1491" s="3">
        <f t="shared" si="189"/>
        <v>225.11999499999999</v>
      </c>
      <c r="N1491" s="1">
        <f t="shared" ca="1" si="190"/>
        <v>225.11999499999999</v>
      </c>
      <c r="O1491" s="5">
        <f t="shared" si="191"/>
        <v>-9.2395257915671714E-3</v>
      </c>
    </row>
    <row r="1492" spans="1:15" s="2" customFormat="1" x14ac:dyDescent="0.5">
      <c r="A1492" s="6">
        <v>42521</v>
      </c>
      <c r="B1492" s="1">
        <v>223.03999300000001</v>
      </c>
      <c r="C1492" s="1">
        <v>224.75</v>
      </c>
      <c r="D1492" s="1">
        <v>221.5</v>
      </c>
      <c r="E1492" s="1">
        <v>223.229996</v>
      </c>
      <c r="F1492" s="1">
        <v>223.229996</v>
      </c>
      <c r="G1492" s="2">
        <v>2789000</v>
      </c>
      <c r="H1492" s="2">
        <f t="shared" si="184"/>
        <v>2016</v>
      </c>
      <c r="I1492" s="2">
        <f t="shared" si="185"/>
        <v>5</v>
      </c>
      <c r="J1492" s="2">
        <f t="shared" si="186"/>
        <v>31</v>
      </c>
      <c r="K1492" s="2">
        <f t="shared" si="187"/>
        <v>3</v>
      </c>
      <c r="L1492" s="2">
        <f t="shared" si="188"/>
        <v>6</v>
      </c>
      <c r="M1492" s="3">
        <f t="shared" si="189"/>
        <v>223.03999300000001</v>
      </c>
      <c r="N1492" s="1">
        <f t="shared" ca="1" si="190"/>
        <v>223.03999300000001</v>
      </c>
      <c r="O1492" s="5">
        <f t="shared" si="191"/>
        <v>8.5187861353630545E-4</v>
      </c>
    </row>
    <row r="1493" spans="1:15" s="2" customFormat="1" x14ac:dyDescent="0.5">
      <c r="A1493" s="6">
        <v>42522</v>
      </c>
      <c r="B1493" s="1">
        <v>221.479996</v>
      </c>
      <c r="C1493" s="1">
        <v>222.39999399999999</v>
      </c>
      <c r="D1493" s="1">
        <v>216.88999899999999</v>
      </c>
      <c r="E1493" s="1">
        <v>219.55999800000001</v>
      </c>
      <c r="F1493" s="1">
        <v>219.55999800000001</v>
      </c>
      <c r="G1493" s="2">
        <v>2982700</v>
      </c>
      <c r="H1493" s="2">
        <f t="shared" si="184"/>
        <v>2016</v>
      </c>
      <c r="I1493" s="2">
        <f t="shared" si="185"/>
        <v>6</v>
      </c>
      <c r="J1493" s="2">
        <f t="shared" si="186"/>
        <v>1</v>
      </c>
      <c r="K1493" s="2">
        <f t="shared" si="187"/>
        <v>4</v>
      </c>
      <c r="L1493" s="2">
        <f t="shared" si="188"/>
        <v>7</v>
      </c>
      <c r="M1493" s="3">
        <f t="shared" si="189"/>
        <v>223.229996</v>
      </c>
      <c r="N1493" s="1">
        <f t="shared" ca="1" si="190"/>
        <v>223.229996</v>
      </c>
      <c r="O1493" s="5">
        <f t="shared" si="191"/>
        <v>-1.6440433928064047E-2</v>
      </c>
    </row>
    <row r="1494" spans="1:15" s="2" customFormat="1" x14ac:dyDescent="0.5">
      <c r="A1494" s="6">
        <v>42523</v>
      </c>
      <c r="B1494" s="1">
        <v>219.58999600000001</v>
      </c>
      <c r="C1494" s="1">
        <v>219.91000399999999</v>
      </c>
      <c r="D1494" s="1">
        <v>217.11000100000001</v>
      </c>
      <c r="E1494" s="1">
        <v>218.96000699999999</v>
      </c>
      <c r="F1494" s="1">
        <v>218.96000699999999</v>
      </c>
      <c r="G1494" s="2">
        <v>2009400</v>
      </c>
      <c r="H1494" s="2">
        <f t="shared" si="184"/>
        <v>2016</v>
      </c>
      <c r="I1494" s="2">
        <f t="shared" si="185"/>
        <v>6</v>
      </c>
      <c r="J1494" s="2">
        <f t="shared" si="186"/>
        <v>2</v>
      </c>
      <c r="K1494" s="2">
        <f t="shared" si="187"/>
        <v>5</v>
      </c>
      <c r="L1494" s="2">
        <f t="shared" si="188"/>
        <v>7</v>
      </c>
      <c r="M1494" s="3">
        <f t="shared" si="189"/>
        <v>219.55999800000001</v>
      </c>
      <c r="N1494" s="1">
        <f t="shared" ca="1" si="190"/>
        <v>219.55999800000001</v>
      </c>
      <c r="O1494" s="5">
        <f t="shared" si="191"/>
        <v>-2.7326972374995817E-3</v>
      </c>
    </row>
    <row r="1495" spans="1:15" s="2" customFormat="1" x14ac:dyDescent="0.5">
      <c r="A1495" s="6">
        <v>42524</v>
      </c>
      <c r="B1495" s="1">
        <v>220</v>
      </c>
      <c r="C1495" s="1">
        <v>221.94000199999999</v>
      </c>
      <c r="D1495" s="1">
        <v>218.009995</v>
      </c>
      <c r="E1495" s="1">
        <v>218.990005</v>
      </c>
      <c r="F1495" s="1">
        <v>218.990005</v>
      </c>
      <c r="G1495" s="2">
        <v>2229000</v>
      </c>
      <c r="H1495" s="2">
        <f t="shared" si="184"/>
        <v>2016</v>
      </c>
      <c r="I1495" s="2">
        <f t="shared" si="185"/>
        <v>6</v>
      </c>
      <c r="J1495" s="2">
        <f t="shared" si="186"/>
        <v>3</v>
      </c>
      <c r="K1495" s="2">
        <f t="shared" si="187"/>
        <v>6</v>
      </c>
      <c r="L1495" s="2">
        <f t="shared" si="188"/>
        <v>7</v>
      </c>
      <c r="M1495" s="3">
        <f t="shared" si="189"/>
        <v>218.96000699999999</v>
      </c>
      <c r="N1495" s="1">
        <f t="shared" ca="1" si="190"/>
        <v>218.96000699999999</v>
      </c>
      <c r="O1495" s="5">
        <f t="shared" si="191"/>
        <v>1.3700218780132722E-4</v>
      </c>
    </row>
    <row r="1496" spans="1:15" s="2" customFormat="1" x14ac:dyDescent="0.5">
      <c r="A1496" s="6">
        <v>42527</v>
      </c>
      <c r="B1496" s="1">
        <v>218</v>
      </c>
      <c r="C1496" s="1">
        <v>220.89999399999999</v>
      </c>
      <c r="D1496" s="1">
        <v>215.449997</v>
      </c>
      <c r="E1496" s="1">
        <v>220.679993</v>
      </c>
      <c r="F1496" s="1">
        <v>220.679993</v>
      </c>
      <c r="G1496" s="2">
        <v>2249500</v>
      </c>
      <c r="H1496" s="2">
        <f t="shared" si="184"/>
        <v>2016</v>
      </c>
      <c r="I1496" s="2">
        <f t="shared" si="185"/>
        <v>6</v>
      </c>
      <c r="J1496" s="2">
        <f t="shared" si="186"/>
        <v>6</v>
      </c>
      <c r="K1496" s="2">
        <f t="shared" si="187"/>
        <v>2</v>
      </c>
      <c r="L1496" s="2">
        <f t="shared" si="188"/>
        <v>7</v>
      </c>
      <c r="M1496" s="3">
        <f t="shared" si="189"/>
        <v>218.990005</v>
      </c>
      <c r="N1496" s="1">
        <f t="shared" ca="1" si="190"/>
        <v>218.990005</v>
      </c>
      <c r="O1496" s="5">
        <f t="shared" si="191"/>
        <v>7.717192389670835E-3</v>
      </c>
    </row>
    <row r="1497" spans="1:15" s="2" customFormat="1" x14ac:dyDescent="0.5">
      <c r="A1497" s="6">
        <v>42528</v>
      </c>
      <c r="B1497" s="1">
        <v>222.240005</v>
      </c>
      <c r="C1497" s="1">
        <v>234.44000199999999</v>
      </c>
      <c r="D1497" s="1">
        <v>221.520004</v>
      </c>
      <c r="E1497" s="1">
        <v>232.33999600000001</v>
      </c>
      <c r="F1497" s="1">
        <v>232.33999600000001</v>
      </c>
      <c r="G1497" s="2">
        <v>6213600</v>
      </c>
      <c r="H1497" s="2">
        <f t="shared" si="184"/>
        <v>2016</v>
      </c>
      <c r="I1497" s="2">
        <f t="shared" si="185"/>
        <v>6</v>
      </c>
      <c r="J1497" s="2">
        <f t="shared" si="186"/>
        <v>7</v>
      </c>
      <c r="K1497" s="2">
        <f t="shared" si="187"/>
        <v>3</v>
      </c>
      <c r="L1497" s="2">
        <f t="shared" si="188"/>
        <v>7</v>
      </c>
      <c r="M1497" s="3">
        <f t="shared" si="189"/>
        <v>220.679993</v>
      </c>
      <c r="N1497" s="1">
        <f t="shared" ca="1" si="190"/>
        <v>220.679993</v>
      </c>
      <c r="O1497" s="5">
        <f t="shared" si="191"/>
        <v>5.2836701875371261E-2</v>
      </c>
    </row>
    <row r="1498" spans="1:15" s="2" customFormat="1" x14ac:dyDescent="0.5">
      <c r="A1498" s="6">
        <v>42529</v>
      </c>
      <c r="B1498" s="1">
        <v>233.800003</v>
      </c>
      <c r="C1498" s="1">
        <v>240.85000600000001</v>
      </c>
      <c r="D1498" s="1">
        <v>232.61000100000001</v>
      </c>
      <c r="E1498" s="1">
        <v>235.520004</v>
      </c>
      <c r="F1498" s="1">
        <v>235.520004</v>
      </c>
      <c r="G1498" s="2">
        <v>5972000</v>
      </c>
      <c r="H1498" s="2">
        <f t="shared" si="184"/>
        <v>2016</v>
      </c>
      <c r="I1498" s="2">
        <f t="shared" si="185"/>
        <v>6</v>
      </c>
      <c r="J1498" s="2">
        <f t="shared" si="186"/>
        <v>8</v>
      </c>
      <c r="K1498" s="2">
        <f t="shared" si="187"/>
        <v>4</v>
      </c>
      <c r="L1498" s="2">
        <f t="shared" si="188"/>
        <v>7</v>
      </c>
      <c r="M1498" s="3">
        <f t="shared" si="189"/>
        <v>232.33999600000001</v>
      </c>
      <c r="N1498" s="1">
        <f t="shared" ca="1" si="190"/>
        <v>232.33999600000001</v>
      </c>
      <c r="O1498" s="5">
        <f t="shared" si="191"/>
        <v>1.3686872922215265E-2</v>
      </c>
    </row>
    <row r="1499" spans="1:15" s="2" customFormat="1" x14ac:dyDescent="0.5">
      <c r="A1499" s="6">
        <v>42530</v>
      </c>
      <c r="B1499" s="1">
        <v>234.979996</v>
      </c>
      <c r="C1499" s="1">
        <v>235.33000200000001</v>
      </c>
      <c r="D1499" s="1">
        <v>227.05999800000001</v>
      </c>
      <c r="E1499" s="1">
        <v>229.36000100000001</v>
      </c>
      <c r="F1499" s="1">
        <v>229.36000100000001</v>
      </c>
      <c r="G1499" s="2">
        <v>4492100</v>
      </c>
      <c r="H1499" s="2">
        <f t="shared" si="184"/>
        <v>2016</v>
      </c>
      <c r="I1499" s="2">
        <f t="shared" si="185"/>
        <v>6</v>
      </c>
      <c r="J1499" s="2">
        <f t="shared" si="186"/>
        <v>9</v>
      </c>
      <c r="K1499" s="2">
        <f t="shared" si="187"/>
        <v>5</v>
      </c>
      <c r="L1499" s="2">
        <f t="shared" si="188"/>
        <v>7</v>
      </c>
      <c r="M1499" s="3">
        <f t="shared" si="189"/>
        <v>235.520004</v>
      </c>
      <c r="N1499" s="1">
        <f t="shared" ca="1" si="190"/>
        <v>235.520004</v>
      </c>
      <c r="O1499" s="5">
        <f t="shared" si="191"/>
        <v>-2.6154903597912615E-2</v>
      </c>
    </row>
    <row r="1500" spans="1:15" s="2" customFormat="1" x14ac:dyDescent="0.5">
      <c r="A1500" s="6">
        <v>42531</v>
      </c>
      <c r="B1500" s="1">
        <v>227.38999899999999</v>
      </c>
      <c r="C1500" s="1">
        <v>227.970001</v>
      </c>
      <c r="D1500" s="1">
        <v>218.41999799999999</v>
      </c>
      <c r="E1500" s="1">
        <v>218.78999300000001</v>
      </c>
      <c r="F1500" s="1">
        <v>218.78999300000001</v>
      </c>
      <c r="G1500" s="2">
        <v>6026600</v>
      </c>
      <c r="H1500" s="2">
        <f t="shared" si="184"/>
        <v>2016</v>
      </c>
      <c r="I1500" s="2">
        <f t="shared" si="185"/>
        <v>6</v>
      </c>
      <c r="J1500" s="2">
        <f t="shared" si="186"/>
        <v>10</v>
      </c>
      <c r="K1500" s="2">
        <f t="shared" si="187"/>
        <v>6</v>
      </c>
      <c r="L1500" s="2">
        <f t="shared" si="188"/>
        <v>7</v>
      </c>
      <c r="M1500" s="3">
        <f t="shared" si="189"/>
        <v>229.36000100000001</v>
      </c>
      <c r="N1500" s="1">
        <f t="shared" ca="1" si="190"/>
        <v>229.36000100000001</v>
      </c>
      <c r="O1500" s="5">
        <f t="shared" si="191"/>
        <v>-4.6084792265064567E-2</v>
      </c>
    </row>
    <row r="1501" spans="1:15" s="2" customFormat="1" x14ac:dyDescent="0.5">
      <c r="A1501" s="6">
        <v>42534</v>
      </c>
      <c r="B1501" s="1">
        <v>219.5</v>
      </c>
      <c r="C1501" s="1">
        <v>225.770004</v>
      </c>
      <c r="D1501" s="1">
        <v>217.66000399999999</v>
      </c>
      <c r="E1501" s="1">
        <v>217.86999499999999</v>
      </c>
      <c r="F1501" s="1">
        <v>217.86999499999999</v>
      </c>
      <c r="G1501" s="2">
        <v>4193000</v>
      </c>
      <c r="H1501" s="2">
        <f t="shared" si="184"/>
        <v>2016</v>
      </c>
      <c r="I1501" s="2">
        <f t="shared" si="185"/>
        <v>6</v>
      </c>
      <c r="J1501" s="2">
        <f t="shared" si="186"/>
        <v>13</v>
      </c>
      <c r="K1501" s="2">
        <f t="shared" si="187"/>
        <v>2</v>
      </c>
      <c r="L1501" s="2">
        <f t="shared" si="188"/>
        <v>7</v>
      </c>
      <c r="M1501" s="3">
        <f t="shared" si="189"/>
        <v>218.78999300000001</v>
      </c>
      <c r="N1501" s="1">
        <f t="shared" ca="1" si="190"/>
        <v>218.78999300000001</v>
      </c>
      <c r="O1501" s="5">
        <f t="shared" si="191"/>
        <v>-4.2049363747638235E-3</v>
      </c>
    </row>
    <row r="1502" spans="1:15" s="2" customFormat="1" x14ac:dyDescent="0.5">
      <c r="A1502" s="6">
        <v>42535</v>
      </c>
      <c r="B1502" s="1">
        <v>218.88000500000001</v>
      </c>
      <c r="C1502" s="1">
        <v>222.199997</v>
      </c>
      <c r="D1502" s="1">
        <v>212.529999</v>
      </c>
      <c r="E1502" s="1">
        <v>214.96000699999999</v>
      </c>
      <c r="F1502" s="1">
        <v>214.96000699999999</v>
      </c>
      <c r="G1502" s="2">
        <v>3580200</v>
      </c>
      <c r="H1502" s="2">
        <f t="shared" si="184"/>
        <v>2016</v>
      </c>
      <c r="I1502" s="2">
        <f t="shared" si="185"/>
        <v>6</v>
      </c>
      <c r="J1502" s="2">
        <f t="shared" si="186"/>
        <v>14</v>
      </c>
      <c r="K1502" s="2">
        <f t="shared" si="187"/>
        <v>3</v>
      </c>
      <c r="L1502" s="2">
        <f t="shared" si="188"/>
        <v>7</v>
      </c>
      <c r="M1502" s="3">
        <f t="shared" si="189"/>
        <v>217.86999499999999</v>
      </c>
      <c r="N1502" s="1">
        <f t="shared" ca="1" si="190"/>
        <v>217.86999499999999</v>
      </c>
      <c r="O1502" s="5">
        <f t="shared" si="191"/>
        <v>-1.3356534019289823E-2</v>
      </c>
    </row>
    <row r="1503" spans="1:15" s="2" customFormat="1" x14ac:dyDescent="0.5">
      <c r="A1503" s="6">
        <v>42536</v>
      </c>
      <c r="B1503" s="1">
        <v>216.949997</v>
      </c>
      <c r="C1503" s="1">
        <v>221.89999399999999</v>
      </c>
      <c r="D1503" s="1">
        <v>215.13000500000001</v>
      </c>
      <c r="E1503" s="1">
        <v>217.699997</v>
      </c>
      <c r="F1503" s="1">
        <v>217.699997</v>
      </c>
      <c r="G1503" s="2">
        <v>2908500</v>
      </c>
      <c r="H1503" s="2">
        <f t="shared" si="184"/>
        <v>2016</v>
      </c>
      <c r="I1503" s="2">
        <f t="shared" si="185"/>
        <v>6</v>
      </c>
      <c r="J1503" s="2">
        <f t="shared" si="186"/>
        <v>15</v>
      </c>
      <c r="K1503" s="2">
        <f t="shared" si="187"/>
        <v>4</v>
      </c>
      <c r="L1503" s="2">
        <f t="shared" si="188"/>
        <v>7</v>
      </c>
      <c r="M1503" s="3">
        <f t="shared" si="189"/>
        <v>214.96000699999999</v>
      </c>
      <c r="N1503" s="1">
        <f t="shared" ca="1" si="190"/>
        <v>214.96000699999999</v>
      </c>
      <c r="O1503" s="5">
        <f t="shared" si="191"/>
        <v>1.2746510563706792E-2</v>
      </c>
    </row>
    <row r="1504" spans="1:15" s="2" customFormat="1" x14ac:dyDescent="0.5">
      <c r="A1504" s="6">
        <v>42537</v>
      </c>
      <c r="B1504" s="1">
        <v>217.41999799999999</v>
      </c>
      <c r="C1504" s="1">
        <v>218.03999300000001</v>
      </c>
      <c r="D1504" s="1">
        <v>213.5</v>
      </c>
      <c r="E1504" s="1">
        <v>217.929993</v>
      </c>
      <c r="F1504" s="1">
        <v>217.929993</v>
      </c>
      <c r="G1504" s="2">
        <v>2440300</v>
      </c>
      <c r="H1504" s="2">
        <f t="shared" si="184"/>
        <v>2016</v>
      </c>
      <c r="I1504" s="2">
        <f t="shared" si="185"/>
        <v>6</v>
      </c>
      <c r="J1504" s="2">
        <f t="shared" si="186"/>
        <v>16</v>
      </c>
      <c r="K1504" s="2">
        <f t="shared" si="187"/>
        <v>5</v>
      </c>
      <c r="L1504" s="2">
        <f t="shared" si="188"/>
        <v>7</v>
      </c>
      <c r="M1504" s="3">
        <f t="shared" si="189"/>
        <v>217.699997</v>
      </c>
      <c r="N1504" s="1">
        <f t="shared" ca="1" si="190"/>
        <v>217.699997</v>
      </c>
      <c r="O1504" s="5">
        <f t="shared" si="191"/>
        <v>1.056481410975918E-3</v>
      </c>
    </row>
    <row r="1505" spans="1:15" s="2" customFormat="1" x14ac:dyDescent="0.5">
      <c r="A1505" s="6">
        <v>42538</v>
      </c>
      <c r="B1505" s="1">
        <v>217.80999800000001</v>
      </c>
      <c r="C1505" s="1">
        <v>219.990005</v>
      </c>
      <c r="D1505" s="1">
        <v>214.5</v>
      </c>
      <c r="E1505" s="1">
        <v>215.470001</v>
      </c>
      <c r="F1505" s="1">
        <v>215.470001</v>
      </c>
      <c r="G1505" s="2">
        <v>3112600</v>
      </c>
      <c r="H1505" s="2">
        <f t="shared" si="184"/>
        <v>2016</v>
      </c>
      <c r="I1505" s="2">
        <f t="shared" si="185"/>
        <v>6</v>
      </c>
      <c r="J1505" s="2">
        <f t="shared" si="186"/>
        <v>17</v>
      </c>
      <c r="K1505" s="2">
        <f t="shared" si="187"/>
        <v>6</v>
      </c>
      <c r="L1505" s="2">
        <f t="shared" si="188"/>
        <v>7</v>
      </c>
      <c r="M1505" s="3">
        <f t="shared" si="189"/>
        <v>217.929993</v>
      </c>
      <c r="N1505" s="1">
        <f t="shared" ca="1" si="190"/>
        <v>217.929993</v>
      </c>
      <c r="O1505" s="5">
        <f t="shared" si="191"/>
        <v>-1.1287991919496809E-2</v>
      </c>
    </row>
    <row r="1506" spans="1:15" s="2" customFormat="1" x14ac:dyDescent="0.5">
      <c r="A1506" s="6">
        <v>42541</v>
      </c>
      <c r="B1506" s="1">
        <v>219.5</v>
      </c>
      <c r="C1506" s="1">
        <v>223.75</v>
      </c>
      <c r="D1506" s="1">
        <v>218.229996</v>
      </c>
      <c r="E1506" s="1">
        <v>219.699997</v>
      </c>
      <c r="F1506" s="1">
        <v>219.699997</v>
      </c>
      <c r="G1506" s="2">
        <v>3555500</v>
      </c>
      <c r="H1506" s="2">
        <f t="shared" si="184"/>
        <v>2016</v>
      </c>
      <c r="I1506" s="2">
        <f t="shared" si="185"/>
        <v>6</v>
      </c>
      <c r="J1506" s="2">
        <f t="shared" si="186"/>
        <v>20</v>
      </c>
      <c r="K1506" s="2">
        <f t="shared" si="187"/>
        <v>2</v>
      </c>
      <c r="L1506" s="2">
        <f t="shared" si="188"/>
        <v>7</v>
      </c>
      <c r="M1506" s="3">
        <f t="shared" si="189"/>
        <v>215.470001</v>
      </c>
      <c r="N1506" s="1">
        <f t="shared" ca="1" si="190"/>
        <v>215.470001</v>
      </c>
      <c r="O1506" s="5">
        <f t="shared" si="191"/>
        <v>1.9631484570327817E-2</v>
      </c>
    </row>
    <row r="1507" spans="1:15" s="2" customFormat="1" x14ac:dyDescent="0.5">
      <c r="A1507" s="6">
        <v>42542</v>
      </c>
      <c r="B1507" s="1">
        <v>220.679993</v>
      </c>
      <c r="C1507" s="1">
        <v>222.570007</v>
      </c>
      <c r="D1507" s="1">
        <v>218.80999800000001</v>
      </c>
      <c r="E1507" s="1">
        <v>219.61000100000001</v>
      </c>
      <c r="F1507" s="1">
        <v>219.61000100000001</v>
      </c>
      <c r="G1507" s="2">
        <v>4529000</v>
      </c>
      <c r="H1507" s="2">
        <f t="shared" si="184"/>
        <v>2016</v>
      </c>
      <c r="I1507" s="2">
        <f t="shared" si="185"/>
        <v>6</v>
      </c>
      <c r="J1507" s="2">
        <f t="shared" si="186"/>
        <v>21</v>
      </c>
      <c r="K1507" s="2">
        <f t="shared" si="187"/>
        <v>3</v>
      </c>
      <c r="L1507" s="2">
        <f t="shared" si="188"/>
        <v>7</v>
      </c>
      <c r="M1507" s="3">
        <f t="shared" si="189"/>
        <v>219.699997</v>
      </c>
      <c r="N1507" s="1">
        <f t="shared" ca="1" si="190"/>
        <v>219.699997</v>
      </c>
      <c r="O1507" s="5">
        <f t="shared" si="191"/>
        <v>-4.0963132102356248E-4</v>
      </c>
    </row>
    <row r="1508" spans="1:15" s="2" customFormat="1" x14ac:dyDescent="0.5">
      <c r="A1508" s="6">
        <v>42543</v>
      </c>
      <c r="B1508" s="1">
        <v>199.470001</v>
      </c>
      <c r="C1508" s="1">
        <v>205.949997</v>
      </c>
      <c r="D1508" s="1">
        <v>195.75</v>
      </c>
      <c r="E1508" s="1">
        <v>196.66000399999999</v>
      </c>
      <c r="F1508" s="1">
        <v>196.66000399999999</v>
      </c>
      <c r="G1508" s="2">
        <v>23742400</v>
      </c>
      <c r="H1508" s="2">
        <f t="shared" si="184"/>
        <v>2016</v>
      </c>
      <c r="I1508" s="2">
        <f t="shared" si="185"/>
        <v>6</v>
      </c>
      <c r="J1508" s="2">
        <f t="shared" si="186"/>
        <v>22</v>
      </c>
      <c r="K1508" s="2">
        <f t="shared" si="187"/>
        <v>4</v>
      </c>
      <c r="L1508" s="2">
        <f t="shared" si="188"/>
        <v>7</v>
      </c>
      <c r="M1508" s="3">
        <f t="shared" si="189"/>
        <v>219.61000100000001</v>
      </c>
      <c r="N1508" s="1">
        <f t="shared" ca="1" si="190"/>
        <v>219.61000100000001</v>
      </c>
      <c r="O1508" s="5">
        <f t="shared" si="191"/>
        <v>-0.10450342377622424</v>
      </c>
    </row>
    <row r="1509" spans="1:15" s="2" customFormat="1" x14ac:dyDescent="0.5">
      <c r="A1509" s="6">
        <v>42544</v>
      </c>
      <c r="B1509" s="1">
        <v>195.69000199999999</v>
      </c>
      <c r="C1509" s="1">
        <v>197.550003</v>
      </c>
      <c r="D1509" s="1">
        <v>192.13000500000001</v>
      </c>
      <c r="E1509" s="1">
        <v>196.39999399999999</v>
      </c>
      <c r="F1509" s="1">
        <v>196.39999399999999</v>
      </c>
      <c r="G1509" s="2">
        <v>10130700</v>
      </c>
      <c r="H1509" s="2">
        <f t="shared" si="184"/>
        <v>2016</v>
      </c>
      <c r="I1509" s="2">
        <f t="shared" si="185"/>
        <v>6</v>
      </c>
      <c r="J1509" s="2">
        <f t="shared" si="186"/>
        <v>23</v>
      </c>
      <c r="K1509" s="2">
        <f t="shared" si="187"/>
        <v>5</v>
      </c>
      <c r="L1509" s="2">
        <f t="shared" si="188"/>
        <v>7</v>
      </c>
      <c r="M1509" s="3">
        <f t="shared" si="189"/>
        <v>196.66000399999999</v>
      </c>
      <c r="N1509" s="1">
        <f t="shared" ca="1" si="190"/>
        <v>196.66000399999999</v>
      </c>
      <c r="O1509" s="5">
        <f t="shared" si="191"/>
        <v>-1.322129536822314E-3</v>
      </c>
    </row>
    <row r="1510" spans="1:15" s="2" customFormat="1" x14ac:dyDescent="0.5">
      <c r="A1510" s="6">
        <v>42545</v>
      </c>
      <c r="B1510" s="1">
        <v>190.050003</v>
      </c>
      <c r="C1510" s="1">
        <v>195.11999499999999</v>
      </c>
      <c r="D1510" s="1">
        <v>189.729996</v>
      </c>
      <c r="E1510" s="1">
        <v>193.14999399999999</v>
      </c>
      <c r="F1510" s="1">
        <v>193.14999399999999</v>
      </c>
      <c r="G1510" s="2">
        <v>7026500</v>
      </c>
      <c r="H1510" s="2">
        <f t="shared" si="184"/>
        <v>2016</v>
      </c>
      <c r="I1510" s="2">
        <f t="shared" si="185"/>
        <v>6</v>
      </c>
      <c r="J1510" s="2">
        <f t="shared" si="186"/>
        <v>24</v>
      </c>
      <c r="K1510" s="2">
        <f t="shared" si="187"/>
        <v>6</v>
      </c>
      <c r="L1510" s="2">
        <f t="shared" si="188"/>
        <v>7</v>
      </c>
      <c r="M1510" s="3">
        <f t="shared" si="189"/>
        <v>196.39999399999999</v>
      </c>
      <c r="N1510" s="1">
        <f t="shared" ca="1" si="190"/>
        <v>196.39999399999999</v>
      </c>
      <c r="O1510" s="5">
        <f t="shared" si="191"/>
        <v>-1.6547862012663783E-2</v>
      </c>
    </row>
    <row r="1511" spans="1:15" s="2" customFormat="1" x14ac:dyDescent="0.5">
      <c r="A1511" s="6">
        <v>42548</v>
      </c>
      <c r="B1511" s="1">
        <v>190.86000100000001</v>
      </c>
      <c r="C1511" s="1">
        <v>198.80999800000001</v>
      </c>
      <c r="D1511" s="1">
        <v>187.86999499999999</v>
      </c>
      <c r="E1511" s="1">
        <v>198.550003</v>
      </c>
      <c r="F1511" s="1">
        <v>198.550003</v>
      </c>
      <c r="G1511" s="2">
        <v>7205400</v>
      </c>
      <c r="H1511" s="2">
        <f t="shared" si="184"/>
        <v>2016</v>
      </c>
      <c r="I1511" s="2">
        <f t="shared" si="185"/>
        <v>6</v>
      </c>
      <c r="J1511" s="2">
        <f t="shared" si="186"/>
        <v>27</v>
      </c>
      <c r="K1511" s="2">
        <f t="shared" si="187"/>
        <v>2</v>
      </c>
      <c r="L1511" s="2">
        <f t="shared" si="188"/>
        <v>7</v>
      </c>
      <c r="M1511" s="3">
        <f t="shared" si="189"/>
        <v>193.14999399999999</v>
      </c>
      <c r="N1511" s="1">
        <f t="shared" ca="1" si="190"/>
        <v>193.14999399999999</v>
      </c>
      <c r="O1511" s="5">
        <f t="shared" si="191"/>
        <v>2.7957593413127535E-2</v>
      </c>
    </row>
    <row r="1512" spans="1:15" s="2" customFormat="1" x14ac:dyDescent="0.5">
      <c r="A1512" s="6">
        <v>42549</v>
      </c>
      <c r="B1512" s="1">
        <v>201.88999899999999</v>
      </c>
      <c r="C1512" s="1">
        <v>204.050003</v>
      </c>
      <c r="D1512" s="1">
        <v>199.41000399999999</v>
      </c>
      <c r="E1512" s="1">
        <v>201.78999300000001</v>
      </c>
      <c r="F1512" s="1">
        <v>201.78999300000001</v>
      </c>
      <c r="G1512" s="2">
        <v>6212400</v>
      </c>
      <c r="H1512" s="2">
        <f t="shared" si="184"/>
        <v>2016</v>
      </c>
      <c r="I1512" s="2">
        <f t="shared" si="185"/>
        <v>6</v>
      </c>
      <c r="J1512" s="2">
        <f t="shared" si="186"/>
        <v>28</v>
      </c>
      <c r="K1512" s="2">
        <f t="shared" si="187"/>
        <v>3</v>
      </c>
      <c r="L1512" s="2">
        <f t="shared" si="188"/>
        <v>7</v>
      </c>
      <c r="M1512" s="3">
        <f t="shared" si="189"/>
        <v>198.550003</v>
      </c>
      <c r="N1512" s="1">
        <f t="shared" ca="1" si="190"/>
        <v>198.550003</v>
      </c>
      <c r="O1512" s="5">
        <f t="shared" si="191"/>
        <v>1.6318257119341428E-2</v>
      </c>
    </row>
    <row r="1513" spans="1:15" s="2" customFormat="1" x14ac:dyDescent="0.5">
      <c r="A1513" s="6">
        <v>42550</v>
      </c>
      <c r="B1513" s="1">
        <v>205.13000500000001</v>
      </c>
      <c r="C1513" s="1">
        <v>211.779999</v>
      </c>
      <c r="D1513" s="1">
        <v>203</v>
      </c>
      <c r="E1513" s="1">
        <v>210.19000199999999</v>
      </c>
      <c r="F1513" s="1">
        <v>210.19000199999999</v>
      </c>
      <c r="G1513" s="2">
        <v>5994900</v>
      </c>
      <c r="H1513" s="2">
        <f t="shared" si="184"/>
        <v>2016</v>
      </c>
      <c r="I1513" s="2">
        <f t="shared" si="185"/>
        <v>6</v>
      </c>
      <c r="J1513" s="2">
        <f t="shared" si="186"/>
        <v>29</v>
      </c>
      <c r="K1513" s="2">
        <f t="shared" si="187"/>
        <v>4</v>
      </c>
      <c r="L1513" s="2">
        <f t="shared" si="188"/>
        <v>7</v>
      </c>
      <c r="M1513" s="3">
        <f t="shared" si="189"/>
        <v>201.78999300000001</v>
      </c>
      <c r="N1513" s="1">
        <f t="shared" ca="1" si="190"/>
        <v>201.78999300000001</v>
      </c>
      <c r="O1513" s="5">
        <f t="shared" si="191"/>
        <v>4.1627480506429171E-2</v>
      </c>
    </row>
    <row r="1514" spans="1:15" s="2" customFormat="1" x14ac:dyDescent="0.5">
      <c r="A1514" s="6">
        <v>42551</v>
      </c>
      <c r="B1514" s="1">
        <v>212.970001</v>
      </c>
      <c r="C1514" s="1">
        <v>213.5</v>
      </c>
      <c r="D1514" s="1">
        <v>209.020004</v>
      </c>
      <c r="E1514" s="1">
        <v>212.279999</v>
      </c>
      <c r="F1514" s="1">
        <v>212.279999</v>
      </c>
      <c r="G1514" s="2">
        <v>4843100</v>
      </c>
      <c r="H1514" s="2">
        <f t="shared" si="184"/>
        <v>2016</v>
      </c>
      <c r="I1514" s="2">
        <f t="shared" si="185"/>
        <v>6</v>
      </c>
      <c r="J1514" s="2">
        <f t="shared" si="186"/>
        <v>30</v>
      </c>
      <c r="K1514" s="2">
        <f t="shared" si="187"/>
        <v>5</v>
      </c>
      <c r="L1514" s="2">
        <f t="shared" si="188"/>
        <v>7</v>
      </c>
      <c r="M1514" s="3">
        <f t="shared" si="189"/>
        <v>210.19000199999999</v>
      </c>
      <c r="N1514" s="1">
        <f t="shared" ca="1" si="190"/>
        <v>210.19000199999999</v>
      </c>
      <c r="O1514" s="5">
        <f t="shared" si="191"/>
        <v>9.9433701894156012E-3</v>
      </c>
    </row>
    <row r="1515" spans="1:15" s="2" customFormat="1" x14ac:dyDescent="0.5">
      <c r="A1515" s="6">
        <v>42552</v>
      </c>
      <c r="B1515" s="1">
        <v>206.13999899999999</v>
      </c>
      <c r="C1515" s="1">
        <v>218.240005</v>
      </c>
      <c r="D1515" s="1">
        <v>206</v>
      </c>
      <c r="E1515" s="1">
        <v>216.5</v>
      </c>
      <c r="F1515" s="1">
        <v>216.5</v>
      </c>
      <c r="G1515" s="2">
        <v>5400000</v>
      </c>
      <c r="H1515" s="2">
        <f t="shared" si="184"/>
        <v>2016</v>
      </c>
      <c r="I1515" s="2">
        <f t="shared" si="185"/>
        <v>7</v>
      </c>
      <c r="J1515" s="2">
        <f t="shared" si="186"/>
        <v>1</v>
      </c>
      <c r="K1515" s="2">
        <f t="shared" si="187"/>
        <v>6</v>
      </c>
      <c r="L1515" s="2">
        <f t="shared" si="188"/>
        <v>8</v>
      </c>
      <c r="M1515" s="3">
        <f t="shared" si="189"/>
        <v>212.279999</v>
      </c>
      <c r="N1515" s="1">
        <f t="shared" ca="1" si="190"/>
        <v>212.279999</v>
      </c>
      <c r="O1515" s="5">
        <f t="shared" si="191"/>
        <v>1.9879409364421452E-2</v>
      </c>
    </row>
    <row r="1516" spans="1:15" s="2" customFormat="1" x14ac:dyDescent="0.5">
      <c r="A1516" s="6">
        <v>42556</v>
      </c>
      <c r="B1516" s="1">
        <v>209.729996</v>
      </c>
      <c r="C1516" s="1">
        <v>214.53999300000001</v>
      </c>
      <c r="D1516" s="1">
        <v>208</v>
      </c>
      <c r="E1516" s="1">
        <v>213.979996</v>
      </c>
      <c r="F1516" s="1">
        <v>213.979996</v>
      </c>
      <c r="G1516" s="2">
        <v>5175300</v>
      </c>
      <c r="H1516" s="2">
        <f t="shared" si="184"/>
        <v>2016</v>
      </c>
      <c r="I1516" s="2">
        <f t="shared" si="185"/>
        <v>7</v>
      </c>
      <c r="J1516" s="2">
        <f t="shared" si="186"/>
        <v>5</v>
      </c>
      <c r="K1516" s="2">
        <f t="shared" si="187"/>
        <v>3</v>
      </c>
      <c r="L1516" s="2">
        <f t="shared" si="188"/>
        <v>8</v>
      </c>
      <c r="M1516" s="3">
        <f t="shared" si="189"/>
        <v>216.5</v>
      </c>
      <c r="N1516" s="1">
        <f t="shared" ca="1" si="190"/>
        <v>216.5</v>
      </c>
      <c r="O1516" s="5">
        <f t="shared" si="191"/>
        <v>-1.1639741339491971E-2</v>
      </c>
    </row>
    <row r="1517" spans="1:15" s="2" customFormat="1" x14ac:dyDescent="0.5">
      <c r="A1517" s="6">
        <v>42557</v>
      </c>
      <c r="B1517" s="1">
        <v>210</v>
      </c>
      <c r="C1517" s="1">
        <v>215.229996</v>
      </c>
      <c r="D1517" s="1">
        <v>209</v>
      </c>
      <c r="E1517" s="1">
        <v>214.44000199999999</v>
      </c>
      <c r="F1517" s="1">
        <v>214.44000199999999</v>
      </c>
      <c r="G1517" s="2">
        <v>4919900</v>
      </c>
      <c r="H1517" s="2">
        <f t="shared" si="184"/>
        <v>2016</v>
      </c>
      <c r="I1517" s="2">
        <f t="shared" si="185"/>
        <v>7</v>
      </c>
      <c r="J1517" s="2">
        <f t="shared" si="186"/>
        <v>6</v>
      </c>
      <c r="K1517" s="2">
        <f t="shared" si="187"/>
        <v>4</v>
      </c>
      <c r="L1517" s="2">
        <f t="shared" si="188"/>
        <v>8</v>
      </c>
      <c r="M1517" s="3">
        <f t="shared" si="189"/>
        <v>213.979996</v>
      </c>
      <c r="N1517" s="1">
        <f t="shared" ca="1" si="190"/>
        <v>213.979996</v>
      </c>
      <c r="O1517" s="5">
        <f t="shared" si="191"/>
        <v>2.1497617001544622E-3</v>
      </c>
    </row>
    <row r="1518" spans="1:15" s="2" customFormat="1" x14ac:dyDescent="0.5">
      <c r="A1518" s="6">
        <v>42558</v>
      </c>
      <c r="B1518" s="1">
        <v>213.10000600000001</v>
      </c>
      <c r="C1518" s="1">
        <v>218.11999499999999</v>
      </c>
      <c r="D1518" s="1">
        <v>213.009995</v>
      </c>
      <c r="E1518" s="1">
        <v>215.94000199999999</v>
      </c>
      <c r="F1518" s="1">
        <v>215.94000199999999</v>
      </c>
      <c r="G1518" s="2">
        <v>3599700</v>
      </c>
      <c r="H1518" s="2">
        <f t="shared" si="184"/>
        <v>2016</v>
      </c>
      <c r="I1518" s="2">
        <f t="shared" si="185"/>
        <v>7</v>
      </c>
      <c r="J1518" s="2">
        <f t="shared" si="186"/>
        <v>7</v>
      </c>
      <c r="K1518" s="2">
        <f t="shared" si="187"/>
        <v>5</v>
      </c>
      <c r="L1518" s="2">
        <f t="shared" si="188"/>
        <v>8</v>
      </c>
      <c r="M1518" s="3">
        <f t="shared" si="189"/>
        <v>214.44000199999999</v>
      </c>
      <c r="N1518" s="1">
        <f t="shared" ca="1" si="190"/>
        <v>214.44000199999999</v>
      </c>
      <c r="O1518" s="5">
        <f t="shared" si="191"/>
        <v>6.9949635609498628E-3</v>
      </c>
    </row>
    <row r="1519" spans="1:15" s="2" customFormat="1" x14ac:dyDescent="0.5">
      <c r="A1519" s="6">
        <v>42559</v>
      </c>
      <c r="B1519" s="1">
        <v>217.800003</v>
      </c>
      <c r="C1519" s="1">
        <v>219.80999800000001</v>
      </c>
      <c r="D1519" s="1">
        <v>214.5</v>
      </c>
      <c r="E1519" s="1">
        <v>216.779999</v>
      </c>
      <c r="F1519" s="1">
        <v>216.779999</v>
      </c>
      <c r="G1519" s="2">
        <v>4074800</v>
      </c>
      <c r="H1519" s="2">
        <f t="shared" si="184"/>
        <v>2016</v>
      </c>
      <c r="I1519" s="2">
        <f t="shared" si="185"/>
        <v>7</v>
      </c>
      <c r="J1519" s="2">
        <f t="shared" si="186"/>
        <v>8</v>
      </c>
      <c r="K1519" s="2">
        <f t="shared" si="187"/>
        <v>6</v>
      </c>
      <c r="L1519" s="2">
        <f t="shared" si="188"/>
        <v>8</v>
      </c>
      <c r="M1519" s="3">
        <f t="shared" si="189"/>
        <v>215.94000199999999</v>
      </c>
      <c r="N1519" s="1">
        <f t="shared" ca="1" si="190"/>
        <v>215.94000199999999</v>
      </c>
      <c r="O1519" s="5">
        <f t="shared" si="191"/>
        <v>3.8899555071782999E-3</v>
      </c>
    </row>
    <row r="1520" spans="1:15" s="2" customFormat="1" x14ac:dyDescent="0.5">
      <c r="A1520" s="6">
        <v>42562</v>
      </c>
      <c r="B1520" s="1">
        <v>219.96000699999999</v>
      </c>
      <c r="C1520" s="1">
        <v>226.779999</v>
      </c>
      <c r="D1520" s="1">
        <v>219.509995</v>
      </c>
      <c r="E1520" s="1">
        <v>224.779999</v>
      </c>
      <c r="F1520" s="1">
        <v>224.779999</v>
      </c>
      <c r="G1520" s="2">
        <v>5429800</v>
      </c>
      <c r="H1520" s="2">
        <f t="shared" si="184"/>
        <v>2016</v>
      </c>
      <c r="I1520" s="2">
        <f t="shared" si="185"/>
        <v>7</v>
      </c>
      <c r="J1520" s="2">
        <f t="shared" si="186"/>
        <v>11</v>
      </c>
      <c r="K1520" s="2">
        <f t="shared" si="187"/>
        <v>2</v>
      </c>
      <c r="L1520" s="2">
        <f t="shared" si="188"/>
        <v>8</v>
      </c>
      <c r="M1520" s="3">
        <f t="shared" si="189"/>
        <v>216.779999</v>
      </c>
      <c r="N1520" s="1">
        <f t="shared" ca="1" si="190"/>
        <v>216.779999</v>
      </c>
      <c r="O1520" s="5">
        <f t="shared" si="191"/>
        <v>3.6903773581067334E-2</v>
      </c>
    </row>
    <row r="1521" spans="1:15" s="2" customFormat="1" x14ac:dyDescent="0.5">
      <c r="A1521" s="6">
        <v>42563</v>
      </c>
      <c r="B1521" s="1">
        <v>224.10000600000001</v>
      </c>
      <c r="C1521" s="1">
        <v>227.5</v>
      </c>
      <c r="D1521" s="1">
        <v>223.220001</v>
      </c>
      <c r="E1521" s="1">
        <v>224.64999399999999</v>
      </c>
      <c r="F1521" s="1">
        <v>224.64999399999999</v>
      </c>
      <c r="G1521" s="2">
        <v>4571300</v>
      </c>
      <c r="H1521" s="2">
        <f t="shared" si="184"/>
        <v>2016</v>
      </c>
      <c r="I1521" s="2">
        <f t="shared" si="185"/>
        <v>7</v>
      </c>
      <c r="J1521" s="2">
        <f t="shared" si="186"/>
        <v>12</v>
      </c>
      <c r="K1521" s="2">
        <f t="shared" si="187"/>
        <v>3</v>
      </c>
      <c r="L1521" s="2">
        <f t="shared" si="188"/>
        <v>8</v>
      </c>
      <c r="M1521" s="3">
        <f t="shared" si="189"/>
        <v>224.779999</v>
      </c>
      <c r="N1521" s="1">
        <f t="shared" ca="1" si="190"/>
        <v>224.779999</v>
      </c>
      <c r="O1521" s="5">
        <f t="shared" si="191"/>
        <v>-5.7836551551904147E-4</v>
      </c>
    </row>
    <row r="1522" spans="1:15" s="2" customFormat="1" x14ac:dyDescent="0.5">
      <c r="A1522" s="6">
        <v>42564</v>
      </c>
      <c r="B1522" s="1">
        <v>225.5</v>
      </c>
      <c r="C1522" s="1">
        <v>225.58999600000001</v>
      </c>
      <c r="D1522" s="1">
        <v>220.28999300000001</v>
      </c>
      <c r="E1522" s="1">
        <v>222.529999</v>
      </c>
      <c r="F1522" s="1">
        <v>222.529999</v>
      </c>
      <c r="G1522" s="2">
        <v>3567100</v>
      </c>
      <c r="H1522" s="2">
        <f t="shared" si="184"/>
        <v>2016</v>
      </c>
      <c r="I1522" s="2">
        <f t="shared" si="185"/>
        <v>7</v>
      </c>
      <c r="J1522" s="2">
        <f t="shared" si="186"/>
        <v>13</v>
      </c>
      <c r="K1522" s="2">
        <f t="shared" si="187"/>
        <v>4</v>
      </c>
      <c r="L1522" s="2">
        <f t="shared" si="188"/>
        <v>8</v>
      </c>
      <c r="M1522" s="3">
        <f t="shared" si="189"/>
        <v>224.64999399999999</v>
      </c>
      <c r="N1522" s="1">
        <f t="shared" ca="1" si="190"/>
        <v>224.64999399999999</v>
      </c>
      <c r="O1522" s="5">
        <f t="shared" si="191"/>
        <v>-9.4368798425161771E-3</v>
      </c>
    </row>
    <row r="1523" spans="1:15" s="2" customFormat="1" x14ac:dyDescent="0.5">
      <c r="A1523" s="6">
        <v>42565</v>
      </c>
      <c r="B1523" s="1">
        <v>223.11999499999999</v>
      </c>
      <c r="C1523" s="1">
        <v>224.94000199999999</v>
      </c>
      <c r="D1523" s="1">
        <v>221.050003</v>
      </c>
      <c r="E1523" s="1">
        <v>221.529999</v>
      </c>
      <c r="F1523" s="1">
        <v>221.529999</v>
      </c>
      <c r="G1523" s="2">
        <v>2675800</v>
      </c>
      <c r="H1523" s="2">
        <f t="shared" si="184"/>
        <v>2016</v>
      </c>
      <c r="I1523" s="2">
        <f t="shared" si="185"/>
        <v>7</v>
      </c>
      <c r="J1523" s="2">
        <f t="shared" si="186"/>
        <v>14</v>
      </c>
      <c r="K1523" s="2">
        <f t="shared" si="187"/>
        <v>5</v>
      </c>
      <c r="L1523" s="2">
        <f t="shared" si="188"/>
        <v>8</v>
      </c>
      <c r="M1523" s="3">
        <f t="shared" si="189"/>
        <v>222.529999</v>
      </c>
      <c r="N1523" s="1">
        <f t="shared" ca="1" si="190"/>
        <v>222.529999</v>
      </c>
      <c r="O1523" s="5">
        <f t="shared" si="191"/>
        <v>-4.4937761402676912E-3</v>
      </c>
    </row>
    <row r="1524" spans="1:15" s="2" customFormat="1" x14ac:dyDescent="0.5">
      <c r="A1524" s="6">
        <v>42566</v>
      </c>
      <c r="B1524" s="1">
        <v>222.520004</v>
      </c>
      <c r="C1524" s="1">
        <v>222.75</v>
      </c>
      <c r="D1524" s="1">
        <v>219.63999899999999</v>
      </c>
      <c r="E1524" s="1">
        <v>220.39999399999999</v>
      </c>
      <c r="F1524" s="1">
        <v>220.39999399999999</v>
      </c>
      <c r="G1524" s="2">
        <v>2234200</v>
      </c>
      <c r="H1524" s="2">
        <f t="shared" si="184"/>
        <v>2016</v>
      </c>
      <c r="I1524" s="2">
        <f t="shared" si="185"/>
        <v>7</v>
      </c>
      <c r="J1524" s="2">
        <f t="shared" si="186"/>
        <v>15</v>
      </c>
      <c r="K1524" s="2">
        <f t="shared" si="187"/>
        <v>6</v>
      </c>
      <c r="L1524" s="2">
        <f t="shared" si="188"/>
        <v>8</v>
      </c>
      <c r="M1524" s="3">
        <f t="shared" si="189"/>
        <v>221.529999</v>
      </c>
      <c r="N1524" s="1">
        <f t="shared" ca="1" si="190"/>
        <v>221.529999</v>
      </c>
      <c r="O1524" s="5">
        <f t="shared" si="191"/>
        <v>-5.1009118634086636E-3</v>
      </c>
    </row>
    <row r="1525" spans="1:15" s="2" customFormat="1" x14ac:dyDescent="0.5">
      <c r="A1525" s="6">
        <v>42569</v>
      </c>
      <c r="B1525" s="1">
        <v>219.63999899999999</v>
      </c>
      <c r="C1525" s="1">
        <v>227.08999600000001</v>
      </c>
      <c r="D1525" s="1">
        <v>218.300003</v>
      </c>
      <c r="E1525" s="1">
        <v>226.25</v>
      </c>
      <c r="F1525" s="1">
        <v>226.25</v>
      </c>
      <c r="G1525" s="2">
        <v>3412100</v>
      </c>
      <c r="H1525" s="2">
        <f t="shared" si="184"/>
        <v>2016</v>
      </c>
      <c r="I1525" s="2">
        <f t="shared" si="185"/>
        <v>7</v>
      </c>
      <c r="J1525" s="2">
        <f t="shared" si="186"/>
        <v>18</v>
      </c>
      <c r="K1525" s="2">
        <f t="shared" si="187"/>
        <v>2</v>
      </c>
      <c r="L1525" s="2">
        <f t="shared" si="188"/>
        <v>8</v>
      </c>
      <c r="M1525" s="3">
        <f t="shared" si="189"/>
        <v>220.39999399999999</v>
      </c>
      <c r="N1525" s="1">
        <f t="shared" ca="1" si="190"/>
        <v>220.39999399999999</v>
      </c>
      <c r="O1525" s="5">
        <f t="shared" si="191"/>
        <v>2.6542677673575543E-2</v>
      </c>
    </row>
    <row r="1526" spans="1:15" s="2" customFormat="1" x14ac:dyDescent="0.5">
      <c r="A1526" s="6">
        <v>42570</v>
      </c>
      <c r="B1526" s="1">
        <v>225</v>
      </c>
      <c r="C1526" s="1">
        <v>229.10000600000001</v>
      </c>
      <c r="D1526" s="1">
        <v>224.75</v>
      </c>
      <c r="E1526" s="1">
        <v>225.259995</v>
      </c>
      <c r="F1526" s="1">
        <v>225.259995</v>
      </c>
      <c r="G1526" s="2">
        <v>3115100</v>
      </c>
      <c r="H1526" s="2">
        <f t="shared" si="184"/>
        <v>2016</v>
      </c>
      <c r="I1526" s="2">
        <f t="shared" si="185"/>
        <v>7</v>
      </c>
      <c r="J1526" s="2">
        <f t="shared" si="186"/>
        <v>19</v>
      </c>
      <c r="K1526" s="2">
        <f t="shared" si="187"/>
        <v>3</v>
      </c>
      <c r="L1526" s="2">
        <f t="shared" si="188"/>
        <v>8</v>
      </c>
      <c r="M1526" s="3">
        <f t="shared" si="189"/>
        <v>226.25</v>
      </c>
      <c r="N1526" s="1">
        <f t="shared" ca="1" si="190"/>
        <v>226.25</v>
      </c>
      <c r="O1526" s="5">
        <f t="shared" si="191"/>
        <v>-4.3757127071822888E-3</v>
      </c>
    </row>
    <row r="1527" spans="1:15" s="2" customFormat="1" x14ac:dyDescent="0.5">
      <c r="A1527" s="6">
        <v>42571</v>
      </c>
      <c r="B1527" s="1">
        <v>226.470001</v>
      </c>
      <c r="C1527" s="1">
        <v>229.800003</v>
      </c>
      <c r="D1527" s="1">
        <v>225</v>
      </c>
      <c r="E1527" s="1">
        <v>228.36000100000001</v>
      </c>
      <c r="F1527" s="1">
        <v>228.36000100000001</v>
      </c>
      <c r="G1527" s="2">
        <v>2568500</v>
      </c>
      <c r="H1527" s="2">
        <f t="shared" si="184"/>
        <v>2016</v>
      </c>
      <c r="I1527" s="2">
        <f t="shared" si="185"/>
        <v>7</v>
      </c>
      <c r="J1527" s="2">
        <f t="shared" si="186"/>
        <v>20</v>
      </c>
      <c r="K1527" s="2">
        <f t="shared" si="187"/>
        <v>4</v>
      </c>
      <c r="L1527" s="2">
        <f t="shared" si="188"/>
        <v>8</v>
      </c>
      <c r="M1527" s="3">
        <f t="shared" si="189"/>
        <v>225.259995</v>
      </c>
      <c r="N1527" s="1">
        <f t="shared" ca="1" si="190"/>
        <v>225.259995</v>
      </c>
      <c r="O1527" s="5">
        <f t="shared" si="191"/>
        <v>1.3761902107828794E-2</v>
      </c>
    </row>
    <row r="1528" spans="1:15" s="2" customFormat="1" x14ac:dyDescent="0.5">
      <c r="A1528" s="6">
        <v>42572</v>
      </c>
      <c r="B1528" s="1">
        <v>226</v>
      </c>
      <c r="C1528" s="1">
        <v>227.85000600000001</v>
      </c>
      <c r="D1528" s="1">
        <v>219.10000600000001</v>
      </c>
      <c r="E1528" s="1">
        <v>220.5</v>
      </c>
      <c r="F1528" s="1">
        <v>220.5</v>
      </c>
      <c r="G1528" s="2">
        <v>4428700</v>
      </c>
      <c r="H1528" s="2">
        <f t="shared" si="184"/>
        <v>2016</v>
      </c>
      <c r="I1528" s="2">
        <f t="shared" si="185"/>
        <v>7</v>
      </c>
      <c r="J1528" s="2">
        <f t="shared" si="186"/>
        <v>21</v>
      </c>
      <c r="K1528" s="2">
        <f t="shared" si="187"/>
        <v>5</v>
      </c>
      <c r="L1528" s="2">
        <f t="shared" si="188"/>
        <v>8</v>
      </c>
      <c r="M1528" s="3">
        <f t="shared" si="189"/>
        <v>228.36000100000001</v>
      </c>
      <c r="N1528" s="1">
        <f t="shared" ca="1" si="190"/>
        <v>228.36000100000001</v>
      </c>
      <c r="O1528" s="5">
        <f t="shared" si="191"/>
        <v>-3.4419342115872609E-2</v>
      </c>
    </row>
    <row r="1529" spans="1:15" s="2" customFormat="1" x14ac:dyDescent="0.5">
      <c r="A1529" s="6">
        <v>42573</v>
      </c>
      <c r="B1529" s="1">
        <v>221.990005</v>
      </c>
      <c r="C1529" s="1">
        <v>224.5</v>
      </c>
      <c r="D1529" s="1">
        <v>218.88000500000001</v>
      </c>
      <c r="E1529" s="1">
        <v>222.270004</v>
      </c>
      <c r="F1529" s="1">
        <v>222.270004</v>
      </c>
      <c r="G1529" s="2">
        <v>2579700</v>
      </c>
      <c r="H1529" s="2">
        <f t="shared" si="184"/>
        <v>2016</v>
      </c>
      <c r="I1529" s="2">
        <f t="shared" si="185"/>
        <v>7</v>
      </c>
      <c r="J1529" s="2">
        <f t="shared" si="186"/>
        <v>22</v>
      </c>
      <c r="K1529" s="2">
        <f t="shared" si="187"/>
        <v>6</v>
      </c>
      <c r="L1529" s="2">
        <f t="shared" si="188"/>
        <v>8</v>
      </c>
      <c r="M1529" s="3">
        <f t="shared" si="189"/>
        <v>220.5</v>
      </c>
      <c r="N1529" s="1">
        <f t="shared" ca="1" si="190"/>
        <v>220.5</v>
      </c>
      <c r="O1529" s="5">
        <f t="shared" si="191"/>
        <v>8.0272290249432388E-3</v>
      </c>
    </row>
    <row r="1530" spans="1:15" s="2" customFormat="1" x14ac:dyDescent="0.5">
      <c r="A1530" s="6">
        <v>42576</v>
      </c>
      <c r="B1530" s="1">
        <v>222.270004</v>
      </c>
      <c r="C1530" s="1">
        <v>231.38999899999999</v>
      </c>
      <c r="D1530" s="1">
        <v>221.36999499999999</v>
      </c>
      <c r="E1530" s="1">
        <v>230.009995</v>
      </c>
      <c r="F1530" s="1">
        <v>230.009995</v>
      </c>
      <c r="G1530" s="2">
        <v>4490700</v>
      </c>
      <c r="H1530" s="2">
        <f t="shared" si="184"/>
        <v>2016</v>
      </c>
      <c r="I1530" s="2">
        <f t="shared" si="185"/>
        <v>7</v>
      </c>
      <c r="J1530" s="2">
        <f t="shared" si="186"/>
        <v>25</v>
      </c>
      <c r="K1530" s="2">
        <f t="shared" si="187"/>
        <v>2</v>
      </c>
      <c r="L1530" s="2">
        <f t="shared" si="188"/>
        <v>8</v>
      </c>
      <c r="M1530" s="3">
        <f t="shared" si="189"/>
        <v>222.270004</v>
      </c>
      <c r="N1530" s="1">
        <f t="shared" ca="1" si="190"/>
        <v>222.270004</v>
      </c>
      <c r="O1530" s="5">
        <f t="shared" si="191"/>
        <v>3.482247204170652E-2</v>
      </c>
    </row>
    <row r="1531" spans="1:15" s="2" customFormat="1" x14ac:dyDescent="0.5">
      <c r="A1531" s="6">
        <v>42577</v>
      </c>
      <c r="B1531" s="1">
        <v>227.69000199999999</v>
      </c>
      <c r="C1531" s="1">
        <v>230</v>
      </c>
      <c r="D1531" s="1">
        <v>225.300003</v>
      </c>
      <c r="E1531" s="1">
        <v>229.509995</v>
      </c>
      <c r="F1531" s="1">
        <v>229.509995</v>
      </c>
      <c r="G1531" s="2">
        <v>3430000</v>
      </c>
      <c r="H1531" s="2">
        <f t="shared" si="184"/>
        <v>2016</v>
      </c>
      <c r="I1531" s="2">
        <f t="shared" si="185"/>
        <v>7</v>
      </c>
      <c r="J1531" s="2">
        <f t="shared" si="186"/>
        <v>26</v>
      </c>
      <c r="K1531" s="2">
        <f t="shared" si="187"/>
        <v>3</v>
      </c>
      <c r="L1531" s="2">
        <f t="shared" si="188"/>
        <v>8</v>
      </c>
      <c r="M1531" s="3">
        <f t="shared" si="189"/>
        <v>230.009995</v>
      </c>
      <c r="N1531" s="1">
        <f t="shared" ca="1" si="190"/>
        <v>230.009995</v>
      </c>
      <c r="O1531" s="5">
        <f t="shared" si="191"/>
        <v>-2.1738185768840346E-3</v>
      </c>
    </row>
    <row r="1532" spans="1:15" s="2" customFormat="1" x14ac:dyDescent="0.5">
      <c r="A1532" s="6">
        <v>42578</v>
      </c>
      <c r="B1532" s="1">
        <v>229.33999600000001</v>
      </c>
      <c r="C1532" s="1">
        <v>233.36000100000001</v>
      </c>
      <c r="D1532" s="1">
        <v>226.91999799999999</v>
      </c>
      <c r="E1532" s="1">
        <v>228.490005</v>
      </c>
      <c r="F1532" s="1">
        <v>228.490005</v>
      </c>
      <c r="G1532" s="2">
        <v>2885200</v>
      </c>
      <c r="H1532" s="2">
        <f t="shared" si="184"/>
        <v>2016</v>
      </c>
      <c r="I1532" s="2">
        <f t="shared" si="185"/>
        <v>7</v>
      </c>
      <c r="J1532" s="2">
        <f t="shared" si="186"/>
        <v>27</v>
      </c>
      <c r="K1532" s="2">
        <f t="shared" si="187"/>
        <v>4</v>
      </c>
      <c r="L1532" s="2">
        <f t="shared" si="188"/>
        <v>8</v>
      </c>
      <c r="M1532" s="3">
        <f t="shared" si="189"/>
        <v>229.509995</v>
      </c>
      <c r="N1532" s="1">
        <f t="shared" ca="1" si="190"/>
        <v>229.509995</v>
      </c>
      <c r="O1532" s="5">
        <f t="shared" si="191"/>
        <v>-4.4442073209055577E-3</v>
      </c>
    </row>
    <row r="1533" spans="1:15" s="2" customFormat="1" x14ac:dyDescent="0.5">
      <c r="A1533" s="6">
        <v>42579</v>
      </c>
      <c r="B1533" s="1">
        <v>227.949997</v>
      </c>
      <c r="C1533" s="1">
        <v>230.759995</v>
      </c>
      <c r="D1533" s="1">
        <v>226.60000600000001</v>
      </c>
      <c r="E1533" s="1">
        <v>230.61000100000001</v>
      </c>
      <c r="F1533" s="1">
        <v>230.61000100000001</v>
      </c>
      <c r="G1533" s="2">
        <v>2419100</v>
      </c>
      <c r="H1533" s="2">
        <f t="shared" si="184"/>
        <v>2016</v>
      </c>
      <c r="I1533" s="2">
        <f t="shared" si="185"/>
        <v>7</v>
      </c>
      <c r="J1533" s="2">
        <f t="shared" si="186"/>
        <v>28</v>
      </c>
      <c r="K1533" s="2">
        <f t="shared" si="187"/>
        <v>5</v>
      </c>
      <c r="L1533" s="2">
        <f t="shared" si="188"/>
        <v>8</v>
      </c>
      <c r="M1533" s="3">
        <f t="shared" si="189"/>
        <v>228.490005</v>
      </c>
      <c r="N1533" s="1">
        <f t="shared" ca="1" si="190"/>
        <v>228.490005</v>
      </c>
      <c r="O1533" s="5">
        <f t="shared" si="191"/>
        <v>9.2782876870260989E-3</v>
      </c>
    </row>
    <row r="1534" spans="1:15" s="2" customFormat="1" x14ac:dyDescent="0.5">
      <c r="A1534" s="6">
        <v>42580</v>
      </c>
      <c r="B1534" s="1">
        <v>230.699997</v>
      </c>
      <c r="C1534" s="1">
        <v>235.279999</v>
      </c>
      <c r="D1534" s="1">
        <v>230.240005</v>
      </c>
      <c r="E1534" s="1">
        <v>234.78999300000001</v>
      </c>
      <c r="F1534" s="1">
        <v>234.78999300000001</v>
      </c>
      <c r="G1534" s="2">
        <v>3070800</v>
      </c>
      <c r="H1534" s="2">
        <f t="shared" si="184"/>
        <v>2016</v>
      </c>
      <c r="I1534" s="2">
        <f t="shared" si="185"/>
        <v>7</v>
      </c>
      <c r="J1534" s="2">
        <f t="shared" si="186"/>
        <v>29</v>
      </c>
      <c r="K1534" s="2">
        <f t="shared" si="187"/>
        <v>6</v>
      </c>
      <c r="L1534" s="2">
        <f t="shared" si="188"/>
        <v>8</v>
      </c>
      <c r="M1534" s="3">
        <f t="shared" si="189"/>
        <v>230.61000100000001</v>
      </c>
      <c r="N1534" s="1">
        <f t="shared" ca="1" si="190"/>
        <v>230.61000100000001</v>
      </c>
      <c r="O1534" s="5">
        <f t="shared" si="191"/>
        <v>1.8125805393843342E-2</v>
      </c>
    </row>
    <row r="1535" spans="1:15" s="2" customFormat="1" x14ac:dyDescent="0.5">
      <c r="A1535" s="6">
        <v>42583</v>
      </c>
      <c r="B1535" s="1">
        <v>235.5</v>
      </c>
      <c r="C1535" s="1">
        <v>236.63000500000001</v>
      </c>
      <c r="D1535" s="1">
        <v>229.38000500000001</v>
      </c>
      <c r="E1535" s="1">
        <v>230.009995</v>
      </c>
      <c r="F1535" s="1">
        <v>230.009995</v>
      </c>
      <c r="G1535" s="2">
        <v>4016300</v>
      </c>
      <c r="H1535" s="2">
        <f t="shared" si="184"/>
        <v>2016</v>
      </c>
      <c r="I1535" s="2">
        <f t="shared" si="185"/>
        <v>8</v>
      </c>
      <c r="J1535" s="2">
        <f t="shared" si="186"/>
        <v>1</v>
      </c>
      <c r="K1535" s="2">
        <f t="shared" si="187"/>
        <v>2</v>
      </c>
      <c r="L1535" s="2">
        <f t="shared" si="188"/>
        <v>9</v>
      </c>
      <c r="M1535" s="3">
        <f t="shared" si="189"/>
        <v>234.78999300000001</v>
      </c>
      <c r="N1535" s="1">
        <f t="shared" ca="1" si="190"/>
        <v>234.78999300000001</v>
      </c>
      <c r="O1535" s="5">
        <f t="shared" si="191"/>
        <v>-2.0358610428511725E-2</v>
      </c>
    </row>
    <row r="1536" spans="1:15" s="2" customFormat="1" x14ac:dyDescent="0.5">
      <c r="A1536" s="6">
        <v>42584</v>
      </c>
      <c r="B1536" s="1">
        <v>229.36999499999999</v>
      </c>
      <c r="C1536" s="1">
        <v>229.86999499999999</v>
      </c>
      <c r="D1536" s="1">
        <v>221.39999399999999</v>
      </c>
      <c r="E1536" s="1">
        <v>227.199997</v>
      </c>
      <c r="F1536" s="1">
        <v>227.199997</v>
      </c>
      <c r="G1536" s="2">
        <v>3934400</v>
      </c>
      <c r="H1536" s="2">
        <f t="shared" si="184"/>
        <v>2016</v>
      </c>
      <c r="I1536" s="2">
        <f t="shared" si="185"/>
        <v>8</v>
      </c>
      <c r="J1536" s="2">
        <f t="shared" si="186"/>
        <v>2</v>
      </c>
      <c r="K1536" s="2">
        <f t="shared" si="187"/>
        <v>3</v>
      </c>
      <c r="L1536" s="2">
        <f t="shared" si="188"/>
        <v>9</v>
      </c>
      <c r="M1536" s="3">
        <f t="shared" si="189"/>
        <v>230.009995</v>
      </c>
      <c r="N1536" s="1">
        <f t="shared" ca="1" si="190"/>
        <v>230.009995</v>
      </c>
      <c r="O1536" s="5">
        <f t="shared" si="191"/>
        <v>-1.2216851706813858E-2</v>
      </c>
    </row>
    <row r="1537" spans="1:15" s="2" customFormat="1" x14ac:dyDescent="0.5">
      <c r="A1537" s="6">
        <v>42585</v>
      </c>
      <c r="B1537" s="1">
        <v>227.36999499999999</v>
      </c>
      <c r="C1537" s="1">
        <v>229.699997</v>
      </c>
      <c r="D1537" s="1">
        <v>224.21000699999999</v>
      </c>
      <c r="E1537" s="1">
        <v>225.78999300000001</v>
      </c>
      <c r="F1537" s="1">
        <v>225.78999300000001</v>
      </c>
      <c r="G1537" s="2">
        <v>3887800</v>
      </c>
      <c r="H1537" s="2">
        <f t="shared" si="184"/>
        <v>2016</v>
      </c>
      <c r="I1537" s="2">
        <f t="shared" si="185"/>
        <v>8</v>
      </c>
      <c r="J1537" s="2">
        <f t="shared" si="186"/>
        <v>3</v>
      </c>
      <c r="K1537" s="2">
        <f t="shared" si="187"/>
        <v>4</v>
      </c>
      <c r="L1537" s="2">
        <f t="shared" si="188"/>
        <v>9</v>
      </c>
      <c r="M1537" s="3">
        <f t="shared" si="189"/>
        <v>227.199997</v>
      </c>
      <c r="N1537" s="1">
        <f t="shared" ca="1" si="190"/>
        <v>227.199997</v>
      </c>
      <c r="O1537" s="5">
        <f t="shared" si="191"/>
        <v>-6.2060036030722188E-3</v>
      </c>
    </row>
    <row r="1538" spans="1:15" s="2" customFormat="1" x14ac:dyDescent="0.5">
      <c r="A1538" s="6">
        <v>42586</v>
      </c>
      <c r="B1538" s="1">
        <v>225.69000199999999</v>
      </c>
      <c r="C1538" s="1">
        <v>230.86000100000001</v>
      </c>
      <c r="D1538" s="1">
        <v>222.050003</v>
      </c>
      <c r="E1538" s="1">
        <v>230.61000100000001</v>
      </c>
      <c r="F1538" s="1">
        <v>230.61000100000001</v>
      </c>
      <c r="G1538" s="2">
        <v>4122800</v>
      </c>
      <c r="H1538" s="2">
        <f t="shared" ref="H1538:H1601" si="192">YEAR(A1538)</f>
        <v>2016</v>
      </c>
      <c r="I1538" s="2">
        <f t="shared" ref="I1538:I1601" si="193">MONTH(A1538)</f>
        <v>8</v>
      </c>
      <c r="J1538" s="2">
        <f t="shared" ref="J1538:J1601" si="194">DAY(A1538)</f>
        <v>4</v>
      </c>
      <c r="K1538" s="2">
        <f t="shared" ref="K1538:K1601" si="195">WEEKDAY(A1538)</f>
        <v>5</v>
      </c>
      <c r="L1538" s="2">
        <f t="shared" si="188"/>
        <v>9</v>
      </c>
      <c r="M1538" s="3">
        <f t="shared" si="189"/>
        <v>225.78999300000001</v>
      </c>
      <c r="N1538" s="1">
        <f t="shared" ca="1" si="190"/>
        <v>225.78999300000001</v>
      </c>
      <c r="O1538" s="5">
        <f t="shared" si="191"/>
        <v>2.1347305679751738E-2</v>
      </c>
    </row>
    <row r="1539" spans="1:15" s="2" customFormat="1" x14ac:dyDescent="0.5">
      <c r="A1539" s="6">
        <v>42587</v>
      </c>
      <c r="B1539" s="1">
        <v>230</v>
      </c>
      <c r="C1539" s="1">
        <v>232</v>
      </c>
      <c r="D1539" s="1">
        <v>227.39999399999999</v>
      </c>
      <c r="E1539" s="1">
        <v>230.029999</v>
      </c>
      <c r="F1539" s="1">
        <v>230.029999</v>
      </c>
      <c r="G1539" s="2">
        <v>3205200</v>
      </c>
      <c r="H1539" s="2">
        <f t="shared" si="192"/>
        <v>2016</v>
      </c>
      <c r="I1539" s="2">
        <f t="shared" si="193"/>
        <v>8</v>
      </c>
      <c r="J1539" s="2">
        <f t="shared" si="194"/>
        <v>5</v>
      </c>
      <c r="K1539" s="2">
        <f t="shared" si="195"/>
        <v>6</v>
      </c>
      <c r="L1539" s="2">
        <f t="shared" ref="L1539:L1602" si="196">I1539+1</f>
        <v>9</v>
      </c>
      <c r="M1539" s="3">
        <f t="shared" ref="M1539:M1602" si="197">F1538</f>
        <v>230.61000100000001</v>
      </c>
      <c r="N1539" s="1">
        <f t="shared" ref="N1539:N1602" ca="1" si="198">OFFSET(F1539, -1, 0)</f>
        <v>230.61000100000001</v>
      </c>
      <c r="O1539" s="5">
        <f t="shared" ref="O1539:O1602" si="199">(F1539/M1539)-1</f>
        <v>-2.5150773925022296E-3</v>
      </c>
    </row>
    <row r="1540" spans="1:15" s="2" customFormat="1" x14ac:dyDescent="0.5">
      <c r="A1540" s="6">
        <v>42590</v>
      </c>
      <c r="B1540" s="1">
        <v>228</v>
      </c>
      <c r="C1540" s="1">
        <v>229.60000600000001</v>
      </c>
      <c r="D1540" s="1">
        <v>226.08999600000001</v>
      </c>
      <c r="E1540" s="1">
        <v>226.16000399999999</v>
      </c>
      <c r="F1540" s="1">
        <v>226.16000399999999</v>
      </c>
      <c r="G1540" s="2">
        <v>2263600</v>
      </c>
      <c r="H1540" s="2">
        <f t="shared" si="192"/>
        <v>2016</v>
      </c>
      <c r="I1540" s="2">
        <f t="shared" si="193"/>
        <v>8</v>
      </c>
      <c r="J1540" s="2">
        <f t="shared" si="194"/>
        <v>8</v>
      </c>
      <c r="K1540" s="2">
        <f t="shared" si="195"/>
        <v>2</v>
      </c>
      <c r="L1540" s="2">
        <f t="shared" si="196"/>
        <v>9</v>
      </c>
      <c r="M1540" s="3">
        <f t="shared" si="197"/>
        <v>230.029999</v>
      </c>
      <c r="N1540" s="1">
        <f t="shared" ca="1" si="198"/>
        <v>230.029999</v>
      </c>
      <c r="O1540" s="5">
        <f t="shared" si="199"/>
        <v>-1.6823870872598734E-2</v>
      </c>
    </row>
    <row r="1541" spans="1:15" s="2" customFormat="1" x14ac:dyDescent="0.5">
      <c r="A1541" s="6">
        <v>42591</v>
      </c>
      <c r="B1541" s="1">
        <v>226.820007</v>
      </c>
      <c r="C1541" s="1">
        <v>231.53999300000001</v>
      </c>
      <c r="D1541" s="1">
        <v>226.64999399999999</v>
      </c>
      <c r="E1541" s="1">
        <v>229.08000200000001</v>
      </c>
      <c r="F1541" s="1">
        <v>229.08000200000001</v>
      </c>
      <c r="G1541" s="2">
        <v>2207800</v>
      </c>
      <c r="H1541" s="2">
        <f t="shared" si="192"/>
        <v>2016</v>
      </c>
      <c r="I1541" s="2">
        <f t="shared" si="193"/>
        <v>8</v>
      </c>
      <c r="J1541" s="2">
        <f t="shared" si="194"/>
        <v>9</v>
      </c>
      <c r="K1541" s="2">
        <f t="shared" si="195"/>
        <v>3</v>
      </c>
      <c r="L1541" s="2">
        <f t="shared" si="196"/>
        <v>9</v>
      </c>
      <c r="M1541" s="3">
        <f t="shared" si="197"/>
        <v>226.16000399999999</v>
      </c>
      <c r="N1541" s="1">
        <f t="shared" ca="1" si="198"/>
        <v>226.16000399999999</v>
      </c>
      <c r="O1541" s="5">
        <f t="shared" si="199"/>
        <v>1.291120422866654E-2</v>
      </c>
    </row>
    <row r="1542" spans="1:15" s="2" customFormat="1" x14ac:dyDescent="0.5">
      <c r="A1542" s="6">
        <v>42592</v>
      </c>
      <c r="B1542" s="1">
        <v>228.240005</v>
      </c>
      <c r="C1542" s="1">
        <v>229.86999499999999</v>
      </c>
      <c r="D1542" s="1">
        <v>224.61999499999999</v>
      </c>
      <c r="E1542" s="1">
        <v>225.64999399999999</v>
      </c>
      <c r="F1542" s="1">
        <v>225.64999399999999</v>
      </c>
      <c r="G1542" s="2">
        <v>2338300</v>
      </c>
      <c r="H1542" s="2">
        <f t="shared" si="192"/>
        <v>2016</v>
      </c>
      <c r="I1542" s="2">
        <f t="shared" si="193"/>
        <v>8</v>
      </c>
      <c r="J1542" s="2">
        <f t="shared" si="194"/>
        <v>10</v>
      </c>
      <c r="K1542" s="2">
        <f t="shared" si="195"/>
        <v>4</v>
      </c>
      <c r="L1542" s="2">
        <f t="shared" si="196"/>
        <v>9</v>
      </c>
      <c r="M1542" s="3">
        <f t="shared" si="197"/>
        <v>229.08000200000001</v>
      </c>
      <c r="N1542" s="1">
        <f t="shared" ca="1" si="198"/>
        <v>229.08000200000001</v>
      </c>
      <c r="O1542" s="5">
        <f t="shared" si="199"/>
        <v>-1.4972970010712738E-2</v>
      </c>
    </row>
    <row r="1543" spans="1:15" s="2" customFormat="1" x14ac:dyDescent="0.5">
      <c r="A1543" s="6">
        <v>42593</v>
      </c>
      <c r="B1543" s="1">
        <v>226.16999799999999</v>
      </c>
      <c r="C1543" s="1">
        <v>227.570007</v>
      </c>
      <c r="D1543" s="1">
        <v>223.41000399999999</v>
      </c>
      <c r="E1543" s="1">
        <v>224.91000399999999</v>
      </c>
      <c r="F1543" s="1">
        <v>224.91000399999999</v>
      </c>
      <c r="G1543" s="2">
        <v>1875800</v>
      </c>
      <c r="H1543" s="2">
        <f t="shared" si="192"/>
        <v>2016</v>
      </c>
      <c r="I1543" s="2">
        <f t="shared" si="193"/>
        <v>8</v>
      </c>
      <c r="J1543" s="2">
        <f t="shared" si="194"/>
        <v>11</v>
      </c>
      <c r="K1543" s="2">
        <f t="shared" si="195"/>
        <v>5</v>
      </c>
      <c r="L1543" s="2">
        <f t="shared" si="196"/>
        <v>9</v>
      </c>
      <c r="M1543" s="3">
        <f t="shared" si="197"/>
        <v>225.64999399999999</v>
      </c>
      <c r="N1543" s="1">
        <f t="shared" ca="1" si="198"/>
        <v>225.64999399999999</v>
      </c>
      <c r="O1543" s="5">
        <f t="shared" si="199"/>
        <v>-3.2793707940449446E-3</v>
      </c>
    </row>
    <row r="1544" spans="1:15" s="2" customFormat="1" x14ac:dyDescent="0.5">
      <c r="A1544" s="6">
        <v>42594</v>
      </c>
      <c r="B1544" s="1">
        <v>225.41000399999999</v>
      </c>
      <c r="C1544" s="1">
        <v>226.64999399999999</v>
      </c>
      <c r="D1544" s="1">
        <v>224.03999300000001</v>
      </c>
      <c r="E1544" s="1">
        <v>225.61000100000001</v>
      </c>
      <c r="F1544" s="1">
        <v>225.61000100000001</v>
      </c>
      <c r="G1544" s="2">
        <v>1813500</v>
      </c>
      <c r="H1544" s="2">
        <f t="shared" si="192"/>
        <v>2016</v>
      </c>
      <c r="I1544" s="2">
        <f t="shared" si="193"/>
        <v>8</v>
      </c>
      <c r="J1544" s="2">
        <f t="shared" si="194"/>
        <v>12</v>
      </c>
      <c r="K1544" s="2">
        <f t="shared" si="195"/>
        <v>6</v>
      </c>
      <c r="L1544" s="2">
        <f t="shared" si="196"/>
        <v>9</v>
      </c>
      <c r="M1544" s="3">
        <f t="shared" si="197"/>
        <v>224.91000399999999</v>
      </c>
      <c r="N1544" s="1">
        <f t="shared" ca="1" si="198"/>
        <v>224.91000399999999</v>
      </c>
      <c r="O1544" s="5">
        <f t="shared" si="199"/>
        <v>3.1123426595112136E-3</v>
      </c>
    </row>
    <row r="1545" spans="1:15" s="2" customFormat="1" x14ac:dyDescent="0.5">
      <c r="A1545" s="6">
        <v>42597</v>
      </c>
      <c r="B1545" s="1">
        <v>226.020004</v>
      </c>
      <c r="C1545" s="1">
        <v>229.5</v>
      </c>
      <c r="D1545" s="1">
        <v>224.929993</v>
      </c>
      <c r="E1545" s="1">
        <v>225.58999600000001</v>
      </c>
      <c r="F1545" s="1">
        <v>225.58999600000001</v>
      </c>
      <c r="G1545" s="2">
        <v>2034300</v>
      </c>
      <c r="H1545" s="2">
        <f t="shared" si="192"/>
        <v>2016</v>
      </c>
      <c r="I1545" s="2">
        <f t="shared" si="193"/>
        <v>8</v>
      </c>
      <c r="J1545" s="2">
        <f t="shared" si="194"/>
        <v>15</v>
      </c>
      <c r="K1545" s="2">
        <f t="shared" si="195"/>
        <v>2</v>
      </c>
      <c r="L1545" s="2">
        <f t="shared" si="196"/>
        <v>9</v>
      </c>
      <c r="M1545" s="3">
        <f t="shared" si="197"/>
        <v>225.61000100000001</v>
      </c>
      <c r="N1545" s="1">
        <f t="shared" ca="1" si="198"/>
        <v>225.61000100000001</v>
      </c>
      <c r="O1545" s="5">
        <f t="shared" si="199"/>
        <v>-8.8670714557537167E-5</v>
      </c>
    </row>
    <row r="1546" spans="1:15" s="2" customFormat="1" x14ac:dyDescent="0.5">
      <c r="A1546" s="6">
        <v>42598</v>
      </c>
      <c r="B1546" s="1">
        <v>225.490005</v>
      </c>
      <c r="C1546" s="1">
        <v>227.19000199999999</v>
      </c>
      <c r="D1546" s="1">
        <v>223.41000399999999</v>
      </c>
      <c r="E1546" s="1">
        <v>223.61000100000001</v>
      </c>
      <c r="F1546" s="1">
        <v>223.61000100000001</v>
      </c>
      <c r="G1546" s="2">
        <v>2267100</v>
      </c>
      <c r="H1546" s="2">
        <f t="shared" si="192"/>
        <v>2016</v>
      </c>
      <c r="I1546" s="2">
        <f t="shared" si="193"/>
        <v>8</v>
      </c>
      <c r="J1546" s="2">
        <f t="shared" si="194"/>
        <v>16</v>
      </c>
      <c r="K1546" s="2">
        <f t="shared" si="195"/>
        <v>3</v>
      </c>
      <c r="L1546" s="2">
        <f t="shared" si="196"/>
        <v>9</v>
      </c>
      <c r="M1546" s="3">
        <f t="shared" si="197"/>
        <v>225.58999600000001</v>
      </c>
      <c r="N1546" s="1">
        <f t="shared" ca="1" si="198"/>
        <v>225.58999600000001</v>
      </c>
      <c r="O1546" s="5">
        <f t="shared" si="199"/>
        <v>-8.7769627869491718E-3</v>
      </c>
    </row>
    <row r="1547" spans="1:15" s="2" customFormat="1" x14ac:dyDescent="0.5">
      <c r="A1547" s="6">
        <v>42599</v>
      </c>
      <c r="B1547" s="1">
        <v>224.33000200000001</v>
      </c>
      <c r="C1547" s="1">
        <v>224.83000200000001</v>
      </c>
      <c r="D1547" s="1">
        <v>222.800003</v>
      </c>
      <c r="E1547" s="1">
        <v>223.240005</v>
      </c>
      <c r="F1547" s="1">
        <v>223.240005</v>
      </c>
      <c r="G1547" s="2">
        <v>1787100</v>
      </c>
      <c r="H1547" s="2">
        <f t="shared" si="192"/>
        <v>2016</v>
      </c>
      <c r="I1547" s="2">
        <f t="shared" si="193"/>
        <v>8</v>
      </c>
      <c r="J1547" s="2">
        <f t="shared" si="194"/>
        <v>17</v>
      </c>
      <c r="K1547" s="2">
        <f t="shared" si="195"/>
        <v>4</v>
      </c>
      <c r="L1547" s="2">
        <f t="shared" si="196"/>
        <v>9</v>
      </c>
      <c r="M1547" s="3">
        <f t="shared" si="197"/>
        <v>223.61000100000001</v>
      </c>
      <c r="N1547" s="1">
        <f t="shared" ca="1" si="198"/>
        <v>223.61000100000001</v>
      </c>
      <c r="O1547" s="5">
        <f t="shared" si="199"/>
        <v>-1.6546487113517916E-3</v>
      </c>
    </row>
    <row r="1548" spans="1:15" s="2" customFormat="1" x14ac:dyDescent="0.5">
      <c r="A1548" s="6">
        <v>42600</v>
      </c>
      <c r="B1548" s="1">
        <v>223.820007</v>
      </c>
      <c r="C1548" s="1">
        <v>225.66000399999999</v>
      </c>
      <c r="D1548" s="1">
        <v>222.28999300000001</v>
      </c>
      <c r="E1548" s="1">
        <v>223.509995</v>
      </c>
      <c r="F1548" s="1">
        <v>223.509995</v>
      </c>
      <c r="G1548" s="2">
        <v>1714500</v>
      </c>
      <c r="H1548" s="2">
        <f t="shared" si="192"/>
        <v>2016</v>
      </c>
      <c r="I1548" s="2">
        <f t="shared" si="193"/>
        <v>8</v>
      </c>
      <c r="J1548" s="2">
        <f t="shared" si="194"/>
        <v>18</v>
      </c>
      <c r="K1548" s="2">
        <f t="shared" si="195"/>
        <v>5</v>
      </c>
      <c r="L1548" s="2">
        <f t="shared" si="196"/>
        <v>9</v>
      </c>
      <c r="M1548" s="3">
        <f t="shared" si="197"/>
        <v>223.240005</v>
      </c>
      <c r="N1548" s="1">
        <f t="shared" ca="1" si="198"/>
        <v>223.240005</v>
      </c>
      <c r="O1548" s="5">
        <f t="shared" si="199"/>
        <v>1.2094158482034434E-3</v>
      </c>
    </row>
    <row r="1549" spans="1:15" s="2" customFormat="1" x14ac:dyDescent="0.5">
      <c r="A1549" s="6">
        <v>42601</v>
      </c>
      <c r="B1549" s="1">
        <v>223.53999300000001</v>
      </c>
      <c r="C1549" s="1">
        <v>225.16999799999999</v>
      </c>
      <c r="D1549" s="1">
        <v>222.529999</v>
      </c>
      <c r="E1549" s="1">
        <v>225</v>
      </c>
      <c r="F1549" s="1">
        <v>225</v>
      </c>
      <c r="G1549" s="2">
        <v>1659500</v>
      </c>
      <c r="H1549" s="2">
        <f t="shared" si="192"/>
        <v>2016</v>
      </c>
      <c r="I1549" s="2">
        <f t="shared" si="193"/>
        <v>8</v>
      </c>
      <c r="J1549" s="2">
        <f t="shared" si="194"/>
        <v>19</v>
      </c>
      <c r="K1549" s="2">
        <f t="shared" si="195"/>
        <v>6</v>
      </c>
      <c r="L1549" s="2">
        <f t="shared" si="196"/>
        <v>9</v>
      </c>
      <c r="M1549" s="3">
        <f t="shared" si="197"/>
        <v>223.509995</v>
      </c>
      <c r="N1549" s="1">
        <f t="shared" ca="1" si="198"/>
        <v>223.509995</v>
      </c>
      <c r="O1549" s="5">
        <f t="shared" si="199"/>
        <v>6.6663909146433831E-3</v>
      </c>
    </row>
    <row r="1550" spans="1:15" s="2" customFormat="1" x14ac:dyDescent="0.5">
      <c r="A1550" s="6">
        <v>42604</v>
      </c>
      <c r="B1550" s="1">
        <v>224.16999799999999</v>
      </c>
      <c r="C1550" s="1">
        <v>225.11000100000001</v>
      </c>
      <c r="D1550" s="1">
        <v>222.679993</v>
      </c>
      <c r="E1550" s="1">
        <v>222.929993</v>
      </c>
      <c r="F1550" s="1">
        <v>222.929993</v>
      </c>
      <c r="G1550" s="2">
        <v>2065500</v>
      </c>
      <c r="H1550" s="2">
        <f t="shared" si="192"/>
        <v>2016</v>
      </c>
      <c r="I1550" s="2">
        <f t="shared" si="193"/>
        <v>8</v>
      </c>
      <c r="J1550" s="2">
        <f t="shared" si="194"/>
        <v>22</v>
      </c>
      <c r="K1550" s="2">
        <f t="shared" si="195"/>
        <v>2</v>
      </c>
      <c r="L1550" s="2">
        <f t="shared" si="196"/>
        <v>9</v>
      </c>
      <c r="M1550" s="3">
        <f t="shared" si="197"/>
        <v>225</v>
      </c>
      <c r="N1550" s="1">
        <f t="shared" ca="1" si="198"/>
        <v>225</v>
      </c>
      <c r="O1550" s="5">
        <f t="shared" si="199"/>
        <v>-9.2000311111111177E-3</v>
      </c>
    </row>
    <row r="1551" spans="1:15" s="2" customFormat="1" x14ac:dyDescent="0.5">
      <c r="A1551" s="6">
        <v>42605</v>
      </c>
      <c r="B1551" s="1">
        <v>224.320007</v>
      </c>
      <c r="C1551" s="1">
        <v>228.490005</v>
      </c>
      <c r="D1551" s="1">
        <v>222.800003</v>
      </c>
      <c r="E1551" s="1">
        <v>224.83999600000001</v>
      </c>
      <c r="F1551" s="1">
        <v>224.83999600000001</v>
      </c>
      <c r="G1551" s="2">
        <v>4784400</v>
      </c>
      <c r="H1551" s="2">
        <f t="shared" si="192"/>
        <v>2016</v>
      </c>
      <c r="I1551" s="2">
        <f t="shared" si="193"/>
        <v>8</v>
      </c>
      <c r="J1551" s="2">
        <f t="shared" si="194"/>
        <v>23</v>
      </c>
      <c r="K1551" s="2">
        <f t="shared" si="195"/>
        <v>3</v>
      </c>
      <c r="L1551" s="2">
        <f t="shared" si="196"/>
        <v>9</v>
      </c>
      <c r="M1551" s="3">
        <f t="shared" si="197"/>
        <v>222.929993</v>
      </c>
      <c r="N1551" s="1">
        <f t="shared" ca="1" si="198"/>
        <v>222.929993</v>
      </c>
      <c r="O1551" s="5">
        <f t="shared" si="199"/>
        <v>8.5677255639622363E-3</v>
      </c>
    </row>
    <row r="1552" spans="1:15" s="2" customFormat="1" x14ac:dyDescent="0.5">
      <c r="A1552" s="6">
        <v>42606</v>
      </c>
      <c r="B1552" s="1">
        <v>227.050003</v>
      </c>
      <c r="C1552" s="1">
        <v>227.14999399999999</v>
      </c>
      <c r="D1552" s="1">
        <v>222.220001</v>
      </c>
      <c r="E1552" s="1">
        <v>222.61999499999999</v>
      </c>
      <c r="F1552" s="1">
        <v>222.61999499999999</v>
      </c>
      <c r="G1552" s="2">
        <v>2570700</v>
      </c>
      <c r="H1552" s="2">
        <f t="shared" si="192"/>
        <v>2016</v>
      </c>
      <c r="I1552" s="2">
        <f t="shared" si="193"/>
        <v>8</v>
      </c>
      <c r="J1552" s="2">
        <f t="shared" si="194"/>
        <v>24</v>
      </c>
      <c r="K1552" s="2">
        <f t="shared" si="195"/>
        <v>4</v>
      </c>
      <c r="L1552" s="2">
        <f t="shared" si="196"/>
        <v>9</v>
      </c>
      <c r="M1552" s="3">
        <f t="shared" si="197"/>
        <v>224.83999600000001</v>
      </c>
      <c r="N1552" s="1">
        <f t="shared" ca="1" si="198"/>
        <v>224.83999600000001</v>
      </c>
      <c r="O1552" s="5">
        <f t="shared" si="199"/>
        <v>-9.8736925791442776E-3</v>
      </c>
    </row>
    <row r="1553" spans="1:15" s="2" customFormat="1" x14ac:dyDescent="0.5">
      <c r="A1553" s="6">
        <v>42607</v>
      </c>
      <c r="B1553" s="1">
        <v>223.11000100000001</v>
      </c>
      <c r="C1553" s="1">
        <v>223.800003</v>
      </c>
      <c r="D1553" s="1">
        <v>220.770004</v>
      </c>
      <c r="E1553" s="1">
        <v>220.96000699999999</v>
      </c>
      <c r="F1553" s="1">
        <v>220.96000699999999</v>
      </c>
      <c r="G1553" s="2">
        <v>1762500</v>
      </c>
      <c r="H1553" s="2">
        <f t="shared" si="192"/>
        <v>2016</v>
      </c>
      <c r="I1553" s="2">
        <f t="shared" si="193"/>
        <v>8</v>
      </c>
      <c r="J1553" s="2">
        <f t="shared" si="194"/>
        <v>25</v>
      </c>
      <c r="K1553" s="2">
        <f t="shared" si="195"/>
        <v>5</v>
      </c>
      <c r="L1553" s="2">
        <f t="shared" si="196"/>
        <v>9</v>
      </c>
      <c r="M1553" s="3">
        <f t="shared" si="197"/>
        <v>222.61999499999999</v>
      </c>
      <c r="N1553" s="1">
        <f t="shared" ca="1" si="198"/>
        <v>222.61999499999999</v>
      </c>
      <c r="O1553" s="5">
        <f t="shared" si="199"/>
        <v>-7.4565988558215057E-3</v>
      </c>
    </row>
    <row r="1554" spans="1:15" s="2" customFormat="1" x14ac:dyDescent="0.5">
      <c r="A1554" s="6">
        <v>42608</v>
      </c>
      <c r="B1554" s="1">
        <v>222.13999899999999</v>
      </c>
      <c r="C1554" s="1">
        <v>222.86000100000001</v>
      </c>
      <c r="D1554" s="1">
        <v>218.820007</v>
      </c>
      <c r="E1554" s="1">
        <v>219.990005</v>
      </c>
      <c r="F1554" s="1">
        <v>219.990005</v>
      </c>
      <c r="G1554" s="2">
        <v>2239000</v>
      </c>
      <c r="H1554" s="2">
        <f t="shared" si="192"/>
        <v>2016</v>
      </c>
      <c r="I1554" s="2">
        <f t="shared" si="193"/>
        <v>8</v>
      </c>
      <c r="J1554" s="2">
        <f t="shared" si="194"/>
        <v>26</v>
      </c>
      <c r="K1554" s="2">
        <f t="shared" si="195"/>
        <v>6</v>
      </c>
      <c r="L1554" s="2">
        <f t="shared" si="196"/>
        <v>9</v>
      </c>
      <c r="M1554" s="3">
        <f t="shared" si="197"/>
        <v>220.96000699999999</v>
      </c>
      <c r="N1554" s="1">
        <f t="shared" ca="1" si="198"/>
        <v>220.96000699999999</v>
      </c>
      <c r="O1554" s="5">
        <f t="shared" si="199"/>
        <v>-4.3899437421722753E-3</v>
      </c>
    </row>
    <row r="1555" spans="1:15" s="2" customFormat="1" x14ac:dyDescent="0.5">
      <c r="A1555" s="6">
        <v>42611</v>
      </c>
      <c r="B1555" s="1">
        <v>220.14999399999999</v>
      </c>
      <c r="C1555" s="1">
        <v>220.39999399999999</v>
      </c>
      <c r="D1555" s="1">
        <v>215</v>
      </c>
      <c r="E1555" s="1">
        <v>215.199997</v>
      </c>
      <c r="F1555" s="1">
        <v>215.199997</v>
      </c>
      <c r="G1555" s="2">
        <v>3257100</v>
      </c>
      <c r="H1555" s="2">
        <f t="shared" si="192"/>
        <v>2016</v>
      </c>
      <c r="I1555" s="2">
        <f t="shared" si="193"/>
        <v>8</v>
      </c>
      <c r="J1555" s="2">
        <f t="shared" si="194"/>
        <v>29</v>
      </c>
      <c r="K1555" s="2">
        <f t="shared" si="195"/>
        <v>2</v>
      </c>
      <c r="L1555" s="2">
        <f t="shared" si="196"/>
        <v>9</v>
      </c>
      <c r="M1555" s="3">
        <f t="shared" si="197"/>
        <v>219.990005</v>
      </c>
      <c r="N1555" s="1">
        <f t="shared" ca="1" si="198"/>
        <v>219.990005</v>
      </c>
      <c r="O1555" s="5">
        <f t="shared" si="199"/>
        <v>-2.177375285754457E-2</v>
      </c>
    </row>
    <row r="1556" spans="1:15" s="2" customFormat="1" x14ac:dyDescent="0.5">
      <c r="A1556" s="6">
        <v>42612</v>
      </c>
      <c r="B1556" s="1">
        <v>216.11000100000001</v>
      </c>
      <c r="C1556" s="1">
        <v>216.11000100000001</v>
      </c>
      <c r="D1556" s="1">
        <v>210.520004</v>
      </c>
      <c r="E1556" s="1">
        <v>211.33999600000001</v>
      </c>
      <c r="F1556" s="1">
        <v>211.33999600000001</v>
      </c>
      <c r="G1556" s="2">
        <v>3168900</v>
      </c>
      <c r="H1556" s="2">
        <f t="shared" si="192"/>
        <v>2016</v>
      </c>
      <c r="I1556" s="2">
        <f t="shared" si="193"/>
        <v>8</v>
      </c>
      <c r="J1556" s="2">
        <f t="shared" si="194"/>
        <v>30</v>
      </c>
      <c r="K1556" s="2">
        <f t="shared" si="195"/>
        <v>3</v>
      </c>
      <c r="L1556" s="2">
        <f t="shared" si="196"/>
        <v>9</v>
      </c>
      <c r="M1556" s="3">
        <f t="shared" si="197"/>
        <v>215.199997</v>
      </c>
      <c r="N1556" s="1">
        <f t="shared" ca="1" si="198"/>
        <v>215.199997</v>
      </c>
      <c r="O1556" s="5">
        <f t="shared" si="199"/>
        <v>-1.7936807870866156E-2</v>
      </c>
    </row>
    <row r="1557" spans="1:15" s="2" customFormat="1" x14ac:dyDescent="0.5">
      <c r="A1557" s="6">
        <v>42613</v>
      </c>
      <c r="B1557" s="1">
        <v>210.429993</v>
      </c>
      <c r="C1557" s="1">
        <v>212.60000600000001</v>
      </c>
      <c r="D1557" s="1">
        <v>208.64999399999999</v>
      </c>
      <c r="E1557" s="1">
        <v>212.009995</v>
      </c>
      <c r="F1557" s="1">
        <v>212.009995</v>
      </c>
      <c r="G1557" s="2">
        <v>3276500</v>
      </c>
      <c r="H1557" s="2">
        <f t="shared" si="192"/>
        <v>2016</v>
      </c>
      <c r="I1557" s="2">
        <f t="shared" si="193"/>
        <v>8</v>
      </c>
      <c r="J1557" s="2">
        <f t="shared" si="194"/>
        <v>31</v>
      </c>
      <c r="K1557" s="2">
        <f t="shared" si="195"/>
        <v>4</v>
      </c>
      <c r="L1557" s="2">
        <f t="shared" si="196"/>
        <v>9</v>
      </c>
      <c r="M1557" s="3">
        <f t="shared" si="197"/>
        <v>211.33999600000001</v>
      </c>
      <c r="N1557" s="1">
        <f t="shared" ca="1" si="198"/>
        <v>211.33999600000001</v>
      </c>
      <c r="O1557" s="5">
        <f t="shared" si="199"/>
        <v>3.1702423236537047E-3</v>
      </c>
    </row>
    <row r="1558" spans="1:15" s="2" customFormat="1" x14ac:dyDescent="0.5">
      <c r="A1558" s="6">
        <v>42614</v>
      </c>
      <c r="B1558" s="1">
        <v>209.009995</v>
      </c>
      <c r="C1558" s="1">
        <v>211.10000600000001</v>
      </c>
      <c r="D1558" s="1">
        <v>200.5</v>
      </c>
      <c r="E1558" s="1">
        <v>200.770004</v>
      </c>
      <c r="F1558" s="1">
        <v>200.770004</v>
      </c>
      <c r="G1558" s="2">
        <v>7943100</v>
      </c>
      <c r="H1558" s="2">
        <f t="shared" si="192"/>
        <v>2016</v>
      </c>
      <c r="I1558" s="2">
        <f t="shared" si="193"/>
        <v>9</v>
      </c>
      <c r="J1558" s="2">
        <f t="shared" si="194"/>
        <v>1</v>
      </c>
      <c r="K1558" s="2">
        <f t="shared" si="195"/>
        <v>5</v>
      </c>
      <c r="L1558" s="2">
        <f t="shared" si="196"/>
        <v>10</v>
      </c>
      <c r="M1558" s="3">
        <f t="shared" si="197"/>
        <v>212.009995</v>
      </c>
      <c r="N1558" s="1">
        <f t="shared" ca="1" si="198"/>
        <v>212.009995</v>
      </c>
      <c r="O1558" s="5">
        <f t="shared" si="199"/>
        <v>-5.3016325951991128E-2</v>
      </c>
    </row>
    <row r="1559" spans="1:15" s="2" customFormat="1" x14ac:dyDescent="0.5">
      <c r="A1559" s="6">
        <v>42615</v>
      </c>
      <c r="B1559" s="1">
        <v>202.33000200000001</v>
      </c>
      <c r="C1559" s="1">
        <v>203.199997</v>
      </c>
      <c r="D1559" s="1">
        <v>196.199997</v>
      </c>
      <c r="E1559" s="1">
        <v>197.779999</v>
      </c>
      <c r="F1559" s="1">
        <v>197.779999</v>
      </c>
      <c r="G1559" s="2">
        <v>5977400</v>
      </c>
      <c r="H1559" s="2">
        <f t="shared" si="192"/>
        <v>2016</v>
      </c>
      <c r="I1559" s="2">
        <f t="shared" si="193"/>
        <v>9</v>
      </c>
      <c r="J1559" s="2">
        <f t="shared" si="194"/>
        <v>2</v>
      </c>
      <c r="K1559" s="2">
        <f t="shared" si="195"/>
        <v>6</v>
      </c>
      <c r="L1559" s="2">
        <f t="shared" si="196"/>
        <v>10</v>
      </c>
      <c r="M1559" s="3">
        <f t="shared" si="197"/>
        <v>200.770004</v>
      </c>
      <c r="N1559" s="1">
        <f t="shared" ca="1" si="198"/>
        <v>200.770004</v>
      </c>
      <c r="O1559" s="5">
        <f t="shared" si="199"/>
        <v>-1.4892687853908626E-2</v>
      </c>
    </row>
    <row r="1560" spans="1:15" s="2" customFormat="1" x14ac:dyDescent="0.5">
      <c r="A1560" s="6">
        <v>42619</v>
      </c>
      <c r="B1560" s="1">
        <v>199.020004</v>
      </c>
      <c r="C1560" s="1">
        <v>203.25</v>
      </c>
      <c r="D1560" s="1">
        <v>199</v>
      </c>
      <c r="E1560" s="1">
        <v>202.83000200000001</v>
      </c>
      <c r="F1560" s="1">
        <v>202.83000200000001</v>
      </c>
      <c r="G1560" s="2">
        <v>4390600</v>
      </c>
      <c r="H1560" s="2">
        <f t="shared" si="192"/>
        <v>2016</v>
      </c>
      <c r="I1560" s="2">
        <f t="shared" si="193"/>
        <v>9</v>
      </c>
      <c r="J1560" s="2">
        <f t="shared" si="194"/>
        <v>6</v>
      </c>
      <c r="K1560" s="2">
        <f t="shared" si="195"/>
        <v>3</v>
      </c>
      <c r="L1560" s="2">
        <f t="shared" si="196"/>
        <v>10</v>
      </c>
      <c r="M1560" s="3">
        <f t="shared" si="197"/>
        <v>197.779999</v>
      </c>
      <c r="N1560" s="1">
        <f t="shared" ca="1" si="198"/>
        <v>197.779999</v>
      </c>
      <c r="O1560" s="5">
        <f t="shared" si="199"/>
        <v>2.5533436270267273E-2</v>
      </c>
    </row>
    <row r="1561" spans="1:15" s="2" customFormat="1" x14ac:dyDescent="0.5">
      <c r="A1561" s="6">
        <v>42620</v>
      </c>
      <c r="B1561" s="1">
        <v>205.5</v>
      </c>
      <c r="C1561" s="1">
        <v>206.5</v>
      </c>
      <c r="D1561" s="1">
        <v>200.71000699999999</v>
      </c>
      <c r="E1561" s="1">
        <v>201.71000699999999</v>
      </c>
      <c r="F1561" s="1">
        <v>201.71000699999999</v>
      </c>
      <c r="G1561" s="2">
        <v>3640900</v>
      </c>
      <c r="H1561" s="2">
        <f t="shared" si="192"/>
        <v>2016</v>
      </c>
      <c r="I1561" s="2">
        <f t="shared" si="193"/>
        <v>9</v>
      </c>
      <c r="J1561" s="2">
        <f t="shared" si="194"/>
        <v>7</v>
      </c>
      <c r="K1561" s="2">
        <f t="shared" si="195"/>
        <v>4</v>
      </c>
      <c r="L1561" s="2">
        <f t="shared" si="196"/>
        <v>10</v>
      </c>
      <c r="M1561" s="3">
        <f t="shared" si="197"/>
        <v>202.83000200000001</v>
      </c>
      <c r="N1561" s="1">
        <f t="shared" ca="1" si="198"/>
        <v>202.83000200000001</v>
      </c>
      <c r="O1561" s="5">
        <f t="shared" si="199"/>
        <v>-5.5218408961018595E-3</v>
      </c>
    </row>
    <row r="1562" spans="1:15" s="2" customFormat="1" x14ac:dyDescent="0.5">
      <c r="A1562" s="6">
        <v>42621</v>
      </c>
      <c r="B1562" s="1">
        <v>199.550003</v>
      </c>
      <c r="C1562" s="1">
        <v>199.88999899999999</v>
      </c>
      <c r="D1562" s="1">
        <v>196.36000100000001</v>
      </c>
      <c r="E1562" s="1">
        <v>197.36000100000001</v>
      </c>
      <c r="F1562" s="1">
        <v>197.36000100000001</v>
      </c>
      <c r="G1562" s="2">
        <v>3370000</v>
      </c>
      <c r="H1562" s="2">
        <f t="shared" si="192"/>
        <v>2016</v>
      </c>
      <c r="I1562" s="2">
        <f t="shared" si="193"/>
        <v>9</v>
      </c>
      <c r="J1562" s="2">
        <f t="shared" si="194"/>
        <v>8</v>
      </c>
      <c r="K1562" s="2">
        <f t="shared" si="195"/>
        <v>5</v>
      </c>
      <c r="L1562" s="2">
        <f t="shared" si="196"/>
        <v>10</v>
      </c>
      <c r="M1562" s="3">
        <f t="shared" si="197"/>
        <v>201.71000699999999</v>
      </c>
      <c r="N1562" s="1">
        <f t="shared" ca="1" si="198"/>
        <v>201.71000699999999</v>
      </c>
      <c r="O1562" s="5">
        <f t="shared" si="199"/>
        <v>-2.1565642997573131E-2</v>
      </c>
    </row>
    <row r="1563" spans="1:15" s="2" customFormat="1" x14ac:dyDescent="0.5">
      <c r="A1563" s="6">
        <v>42622</v>
      </c>
      <c r="B1563" s="1">
        <v>199.08999600000001</v>
      </c>
      <c r="C1563" s="1">
        <v>199.91999799999999</v>
      </c>
      <c r="D1563" s="1">
        <v>193.699997</v>
      </c>
      <c r="E1563" s="1">
        <v>194.470001</v>
      </c>
      <c r="F1563" s="1">
        <v>194.470001</v>
      </c>
      <c r="G1563" s="2">
        <v>3757000</v>
      </c>
      <c r="H1563" s="2">
        <f t="shared" si="192"/>
        <v>2016</v>
      </c>
      <c r="I1563" s="2">
        <f t="shared" si="193"/>
        <v>9</v>
      </c>
      <c r="J1563" s="2">
        <f t="shared" si="194"/>
        <v>9</v>
      </c>
      <c r="K1563" s="2">
        <f t="shared" si="195"/>
        <v>6</v>
      </c>
      <c r="L1563" s="2">
        <f t="shared" si="196"/>
        <v>10</v>
      </c>
      <c r="M1563" s="3">
        <f t="shared" si="197"/>
        <v>197.36000100000001</v>
      </c>
      <c r="N1563" s="1">
        <f t="shared" ca="1" si="198"/>
        <v>197.36000100000001</v>
      </c>
      <c r="O1563" s="5">
        <f t="shared" si="199"/>
        <v>-1.4643291372905987E-2</v>
      </c>
    </row>
    <row r="1564" spans="1:15" s="2" customFormat="1" x14ac:dyDescent="0.5">
      <c r="A1564" s="6">
        <v>42625</v>
      </c>
      <c r="B1564" s="1">
        <v>195</v>
      </c>
      <c r="C1564" s="1">
        <v>201.36999499999999</v>
      </c>
      <c r="D1564" s="1">
        <v>194.10000600000001</v>
      </c>
      <c r="E1564" s="1">
        <v>198.300003</v>
      </c>
      <c r="F1564" s="1">
        <v>198.300003</v>
      </c>
      <c r="G1564" s="2">
        <v>3715200</v>
      </c>
      <c r="H1564" s="2">
        <f t="shared" si="192"/>
        <v>2016</v>
      </c>
      <c r="I1564" s="2">
        <f t="shared" si="193"/>
        <v>9</v>
      </c>
      <c r="J1564" s="2">
        <f t="shared" si="194"/>
        <v>12</v>
      </c>
      <c r="K1564" s="2">
        <f t="shared" si="195"/>
        <v>2</v>
      </c>
      <c r="L1564" s="2">
        <f t="shared" si="196"/>
        <v>10</v>
      </c>
      <c r="M1564" s="3">
        <f t="shared" si="197"/>
        <v>194.470001</v>
      </c>
      <c r="N1564" s="1">
        <f t="shared" ca="1" si="198"/>
        <v>194.470001</v>
      </c>
      <c r="O1564" s="5">
        <f t="shared" si="199"/>
        <v>1.9694564613078835E-2</v>
      </c>
    </row>
    <row r="1565" spans="1:15" s="2" customFormat="1" x14ac:dyDescent="0.5">
      <c r="A1565" s="6">
        <v>42626</v>
      </c>
      <c r="B1565" s="1">
        <v>197.05999800000001</v>
      </c>
      <c r="C1565" s="1">
        <v>198.490005</v>
      </c>
      <c r="D1565" s="1">
        <v>193.449997</v>
      </c>
      <c r="E1565" s="1">
        <v>196.050003</v>
      </c>
      <c r="F1565" s="1">
        <v>196.050003</v>
      </c>
      <c r="G1565" s="2">
        <v>3589400</v>
      </c>
      <c r="H1565" s="2">
        <f t="shared" si="192"/>
        <v>2016</v>
      </c>
      <c r="I1565" s="2">
        <f t="shared" si="193"/>
        <v>9</v>
      </c>
      <c r="J1565" s="2">
        <f t="shared" si="194"/>
        <v>13</v>
      </c>
      <c r="K1565" s="2">
        <f t="shared" si="195"/>
        <v>3</v>
      </c>
      <c r="L1565" s="2">
        <f t="shared" si="196"/>
        <v>10</v>
      </c>
      <c r="M1565" s="3">
        <f t="shared" si="197"/>
        <v>198.300003</v>
      </c>
      <c r="N1565" s="1">
        <f t="shared" ca="1" si="198"/>
        <v>198.300003</v>
      </c>
      <c r="O1565" s="5">
        <f t="shared" si="199"/>
        <v>-1.1346444608979711E-2</v>
      </c>
    </row>
    <row r="1566" spans="1:15" s="2" customFormat="1" x14ac:dyDescent="0.5">
      <c r="A1566" s="6">
        <v>42627</v>
      </c>
      <c r="B1566" s="1">
        <v>195.75</v>
      </c>
      <c r="C1566" s="1">
        <v>197.91999799999999</v>
      </c>
      <c r="D1566" s="1">
        <v>194.86000100000001</v>
      </c>
      <c r="E1566" s="1">
        <v>196.41000399999999</v>
      </c>
      <c r="F1566" s="1">
        <v>196.41000399999999</v>
      </c>
      <c r="G1566" s="2">
        <v>2254500</v>
      </c>
      <c r="H1566" s="2">
        <f t="shared" si="192"/>
        <v>2016</v>
      </c>
      <c r="I1566" s="2">
        <f t="shared" si="193"/>
        <v>9</v>
      </c>
      <c r="J1566" s="2">
        <f t="shared" si="194"/>
        <v>14</v>
      </c>
      <c r="K1566" s="2">
        <f t="shared" si="195"/>
        <v>4</v>
      </c>
      <c r="L1566" s="2">
        <f t="shared" si="196"/>
        <v>10</v>
      </c>
      <c r="M1566" s="3">
        <f t="shared" si="197"/>
        <v>196.050003</v>
      </c>
      <c r="N1566" s="1">
        <f t="shared" ca="1" si="198"/>
        <v>196.050003</v>
      </c>
      <c r="O1566" s="5">
        <f t="shared" si="199"/>
        <v>1.8362713312480849E-3</v>
      </c>
    </row>
    <row r="1567" spans="1:15" s="2" customFormat="1" x14ac:dyDescent="0.5">
      <c r="A1567" s="6">
        <v>42628</v>
      </c>
      <c r="B1567" s="1">
        <v>196.490005</v>
      </c>
      <c r="C1567" s="1">
        <v>202.520004</v>
      </c>
      <c r="D1567" s="1">
        <v>196.39999399999999</v>
      </c>
      <c r="E1567" s="1">
        <v>200.41999799999999</v>
      </c>
      <c r="F1567" s="1">
        <v>200.41999799999999</v>
      </c>
      <c r="G1567" s="2">
        <v>3077200</v>
      </c>
      <c r="H1567" s="2">
        <f t="shared" si="192"/>
        <v>2016</v>
      </c>
      <c r="I1567" s="2">
        <f t="shared" si="193"/>
        <v>9</v>
      </c>
      <c r="J1567" s="2">
        <f t="shared" si="194"/>
        <v>15</v>
      </c>
      <c r="K1567" s="2">
        <f t="shared" si="195"/>
        <v>5</v>
      </c>
      <c r="L1567" s="2">
        <f t="shared" si="196"/>
        <v>10</v>
      </c>
      <c r="M1567" s="3">
        <f t="shared" si="197"/>
        <v>196.41000399999999</v>
      </c>
      <c r="N1567" s="1">
        <f t="shared" ca="1" si="198"/>
        <v>196.41000399999999</v>
      </c>
      <c r="O1567" s="5">
        <f t="shared" si="199"/>
        <v>2.0416444775389397E-2</v>
      </c>
    </row>
    <row r="1568" spans="1:15" s="2" customFormat="1" x14ac:dyDescent="0.5">
      <c r="A1568" s="6">
        <v>42629</v>
      </c>
      <c r="B1568" s="1">
        <v>200.41999799999999</v>
      </c>
      <c r="C1568" s="1">
        <v>205.699997</v>
      </c>
      <c r="D1568" s="1">
        <v>199</v>
      </c>
      <c r="E1568" s="1">
        <v>205.39999399999999</v>
      </c>
      <c r="F1568" s="1">
        <v>205.39999399999999</v>
      </c>
      <c r="G1568" s="2">
        <v>3107800</v>
      </c>
      <c r="H1568" s="2">
        <f t="shared" si="192"/>
        <v>2016</v>
      </c>
      <c r="I1568" s="2">
        <f t="shared" si="193"/>
        <v>9</v>
      </c>
      <c r="J1568" s="2">
        <f t="shared" si="194"/>
        <v>16</v>
      </c>
      <c r="K1568" s="2">
        <f t="shared" si="195"/>
        <v>6</v>
      </c>
      <c r="L1568" s="2">
        <f t="shared" si="196"/>
        <v>10</v>
      </c>
      <c r="M1568" s="3">
        <f t="shared" si="197"/>
        <v>200.41999799999999</v>
      </c>
      <c r="N1568" s="1">
        <f t="shared" ca="1" si="198"/>
        <v>200.41999799999999</v>
      </c>
      <c r="O1568" s="5">
        <f t="shared" si="199"/>
        <v>2.4847799868753517E-2</v>
      </c>
    </row>
    <row r="1569" spans="1:15" s="2" customFormat="1" x14ac:dyDescent="0.5">
      <c r="A1569" s="6">
        <v>42632</v>
      </c>
      <c r="B1569" s="1">
        <v>207</v>
      </c>
      <c r="C1569" s="1">
        <v>209.429993</v>
      </c>
      <c r="D1569" s="1">
        <v>205</v>
      </c>
      <c r="E1569" s="1">
        <v>206.33999600000001</v>
      </c>
      <c r="F1569" s="1">
        <v>206.33999600000001</v>
      </c>
      <c r="G1569" s="2">
        <v>2297000</v>
      </c>
      <c r="H1569" s="2">
        <f t="shared" si="192"/>
        <v>2016</v>
      </c>
      <c r="I1569" s="2">
        <f t="shared" si="193"/>
        <v>9</v>
      </c>
      <c r="J1569" s="2">
        <f t="shared" si="194"/>
        <v>19</v>
      </c>
      <c r="K1569" s="2">
        <f t="shared" si="195"/>
        <v>2</v>
      </c>
      <c r="L1569" s="2">
        <f t="shared" si="196"/>
        <v>10</v>
      </c>
      <c r="M1569" s="3">
        <f t="shared" si="197"/>
        <v>205.39999399999999</v>
      </c>
      <c r="N1569" s="1">
        <f t="shared" ca="1" si="198"/>
        <v>205.39999399999999</v>
      </c>
      <c r="O1569" s="5">
        <f t="shared" si="199"/>
        <v>4.5764460927881778E-3</v>
      </c>
    </row>
    <row r="1570" spans="1:15" s="2" customFormat="1" x14ac:dyDescent="0.5">
      <c r="A1570" s="6">
        <v>42633</v>
      </c>
      <c r="B1570" s="1">
        <v>206.85000600000001</v>
      </c>
      <c r="C1570" s="1">
        <v>207.75</v>
      </c>
      <c r="D1570" s="1">
        <v>203.91000399999999</v>
      </c>
      <c r="E1570" s="1">
        <v>204.63999899999999</v>
      </c>
      <c r="F1570" s="1">
        <v>204.63999899999999</v>
      </c>
      <c r="G1570" s="2">
        <v>2410500</v>
      </c>
      <c r="H1570" s="2">
        <f t="shared" si="192"/>
        <v>2016</v>
      </c>
      <c r="I1570" s="2">
        <f t="shared" si="193"/>
        <v>9</v>
      </c>
      <c r="J1570" s="2">
        <f t="shared" si="194"/>
        <v>20</v>
      </c>
      <c r="K1570" s="2">
        <f t="shared" si="195"/>
        <v>3</v>
      </c>
      <c r="L1570" s="2">
        <f t="shared" si="196"/>
        <v>10</v>
      </c>
      <c r="M1570" s="3">
        <f t="shared" si="197"/>
        <v>206.33999600000001</v>
      </c>
      <c r="N1570" s="1">
        <f t="shared" ca="1" si="198"/>
        <v>206.33999600000001</v>
      </c>
      <c r="O1570" s="5">
        <f t="shared" si="199"/>
        <v>-8.2388147375946907E-3</v>
      </c>
    </row>
    <row r="1571" spans="1:15" s="2" customFormat="1" x14ac:dyDescent="0.5">
      <c r="A1571" s="6">
        <v>42634</v>
      </c>
      <c r="B1571" s="1">
        <v>206.36999499999999</v>
      </c>
      <c r="C1571" s="1">
        <v>207</v>
      </c>
      <c r="D1571" s="1">
        <v>201.55999800000001</v>
      </c>
      <c r="E1571" s="1">
        <v>205.220001</v>
      </c>
      <c r="F1571" s="1">
        <v>205.220001</v>
      </c>
      <c r="G1571" s="2">
        <v>2633500</v>
      </c>
      <c r="H1571" s="2">
        <f t="shared" si="192"/>
        <v>2016</v>
      </c>
      <c r="I1571" s="2">
        <f t="shared" si="193"/>
        <v>9</v>
      </c>
      <c r="J1571" s="2">
        <f t="shared" si="194"/>
        <v>21</v>
      </c>
      <c r="K1571" s="2">
        <f t="shared" si="195"/>
        <v>4</v>
      </c>
      <c r="L1571" s="2">
        <f t="shared" si="196"/>
        <v>10</v>
      </c>
      <c r="M1571" s="3">
        <f t="shared" si="197"/>
        <v>204.63999899999999</v>
      </c>
      <c r="N1571" s="1">
        <f t="shared" ca="1" si="198"/>
        <v>204.63999899999999</v>
      </c>
      <c r="O1571" s="5">
        <f t="shared" si="199"/>
        <v>2.8342552914106811E-3</v>
      </c>
    </row>
    <row r="1572" spans="1:15" s="2" customFormat="1" x14ac:dyDescent="0.5">
      <c r="A1572" s="6">
        <v>42635</v>
      </c>
      <c r="B1572" s="1">
        <v>206.39999399999999</v>
      </c>
      <c r="C1572" s="1">
        <v>207.279999</v>
      </c>
      <c r="D1572" s="1">
        <v>203</v>
      </c>
      <c r="E1572" s="1">
        <v>206.429993</v>
      </c>
      <c r="F1572" s="1">
        <v>206.429993</v>
      </c>
      <c r="G1572" s="2">
        <v>2382900</v>
      </c>
      <c r="H1572" s="2">
        <f t="shared" si="192"/>
        <v>2016</v>
      </c>
      <c r="I1572" s="2">
        <f t="shared" si="193"/>
        <v>9</v>
      </c>
      <c r="J1572" s="2">
        <f t="shared" si="194"/>
        <v>22</v>
      </c>
      <c r="K1572" s="2">
        <f t="shared" si="195"/>
        <v>5</v>
      </c>
      <c r="L1572" s="2">
        <f t="shared" si="196"/>
        <v>10</v>
      </c>
      <c r="M1572" s="3">
        <f t="shared" si="197"/>
        <v>205.220001</v>
      </c>
      <c r="N1572" s="1">
        <f t="shared" ca="1" si="198"/>
        <v>205.220001</v>
      </c>
      <c r="O1572" s="5">
        <f t="shared" si="199"/>
        <v>5.8960724788224006E-3</v>
      </c>
    </row>
    <row r="1573" spans="1:15" s="2" customFormat="1" x14ac:dyDescent="0.5">
      <c r="A1573" s="6">
        <v>42636</v>
      </c>
      <c r="B1573" s="1">
        <v>205.990005</v>
      </c>
      <c r="C1573" s="1">
        <v>210.179993</v>
      </c>
      <c r="D1573" s="1">
        <v>205.66999799999999</v>
      </c>
      <c r="E1573" s="1">
        <v>207.449997</v>
      </c>
      <c r="F1573" s="1">
        <v>207.449997</v>
      </c>
      <c r="G1573" s="2">
        <v>2905200</v>
      </c>
      <c r="H1573" s="2">
        <f t="shared" si="192"/>
        <v>2016</v>
      </c>
      <c r="I1573" s="2">
        <f t="shared" si="193"/>
        <v>9</v>
      </c>
      <c r="J1573" s="2">
        <f t="shared" si="194"/>
        <v>23</v>
      </c>
      <c r="K1573" s="2">
        <f t="shared" si="195"/>
        <v>6</v>
      </c>
      <c r="L1573" s="2">
        <f t="shared" si="196"/>
        <v>10</v>
      </c>
      <c r="M1573" s="3">
        <f t="shared" si="197"/>
        <v>206.429993</v>
      </c>
      <c r="N1573" s="1">
        <f t="shared" ca="1" si="198"/>
        <v>206.429993</v>
      </c>
      <c r="O1573" s="5">
        <f t="shared" si="199"/>
        <v>4.9411618204142638E-3</v>
      </c>
    </row>
    <row r="1574" spans="1:15" s="2" customFormat="1" x14ac:dyDescent="0.5">
      <c r="A1574" s="6">
        <v>42639</v>
      </c>
      <c r="B1574" s="1">
        <v>206.5</v>
      </c>
      <c r="C1574" s="1">
        <v>211</v>
      </c>
      <c r="D1574" s="1">
        <v>206.5</v>
      </c>
      <c r="E1574" s="1">
        <v>208.990005</v>
      </c>
      <c r="F1574" s="1">
        <v>208.990005</v>
      </c>
      <c r="G1574" s="2">
        <v>2394400</v>
      </c>
      <c r="H1574" s="2">
        <f t="shared" si="192"/>
        <v>2016</v>
      </c>
      <c r="I1574" s="2">
        <f t="shared" si="193"/>
        <v>9</v>
      </c>
      <c r="J1574" s="2">
        <f t="shared" si="194"/>
        <v>26</v>
      </c>
      <c r="K1574" s="2">
        <f t="shared" si="195"/>
        <v>2</v>
      </c>
      <c r="L1574" s="2">
        <f t="shared" si="196"/>
        <v>10</v>
      </c>
      <c r="M1574" s="3">
        <f t="shared" si="197"/>
        <v>207.449997</v>
      </c>
      <c r="N1574" s="1">
        <f t="shared" ca="1" si="198"/>
        <v>207.449997</v>
      </c>
      <c r="O1574" s="5">
        <f t="shared" si="199"/>
        <v>7.4235142071368276E-3</v>
      </c>
    </row>
    <row r="1575" spans="1:15" s="2" customFormat="1" x14ac:dyDescent="0.5">
      <c r="A1575" s="6">
        <v>42640</v>
      </c>
      <c r="B1575" s="1">
        <v>209.64999399999999</v>
      </c>
      <c r="C1575" s="1">
        <v>209.979996</v>
      </c>
      <c r="D1575" s="1">
        <v>204.61000100000001</v>
      </c>
      <c r="E1575" s="1">
        <v>205.80999800000001</v>
      </c>
      <c r="F1575" s="1">
        <v>205.80999800000001</v>
      </c>
      <c r="G1575" s="2">
        <v>3373200</v>
      </c>
      <c r="H1575" s="2">
        <f t="shared" si="192"/>
        <v>2016</v>
      </c>
      <c r="I1575" s="2">
        <f t="shared" si="193"/>
        <v>9</v>
      </c>
      <c r="J1575" s="2">
        <f t="shared" si="194"/>
        <v>27</v>
      </c>
      <c r="K1575" s="2">
        <f t="shared" si="195"/>
        <v>3</v>
      </c>
      <c r="L1575" s="2">
        <f t="shared" si="196"/>
        <v>10</v>
      </c>
      <c r="M1575" s="3">
        <f t="shared" si="197"/>
        <v>208.990005</v>
      </c>
      <c r="N1575" s="1">
        <f t="shared" ca="1" si="198"/>
        <v>208.990005</v>
      </c>
      <c r="O1575" s="5">
        <f t="shared" si="199"/>
        <v>-1.5216072175317619E-2</v>
      </c>
    </row>
    <row r="1576" spans="1:15" s="2" customFormat="1" x14ac:dyDescent="0.5">
      <c r="A1576" s="6">
        <v>42641</v>
      </c>
      <c r="B1576" s="1">
        <v>207.509995</v>
      </c>
      <c r="C1576" s="1">
        <v>208.25</v>
      </c>
      <c r="D1576" s="1">
        <v>205.259995</v>
      </c>
      <c r="E1576" s="1">
        <v>206.270004</v>
      </c>
      <c r="F1576" s="1">
        <v>206.270004</v>
      </c>
      <c r="G1576" s="2">
        <v>2088400</v>
      </c>
      <c r="H1576" s="2">
        <f t="shared" si="192"/>
        <v>2016</v>
      </c>
      <c r="I1576" s="2">
        <f t="shared" si="193"/>
        <v>9</v>
      </c>
      <c r="J1576" s="2">
        <f t="shared" si="194"/>
        <v>28</v>
      </c>
      <c r="K1576" s="2">
        <f t="shared" si="195"/>
        <v>4</v>
      </c>
      <c r="L1576" s="2">
        <f t="shared" si="196"/>
        <v>10</v>
      </c>
      <c r="M1576" s="3">
        <f t="shared" si="197"/>
        <v>205.80999800000001</v>
      </c>
      <c r="N1576" s="1">
        <f t="shared" ca="1" si="198"/>
        <v>205.80999800000001</v>
      </c>
      <c r="O1576" s="5">
        <f t="shared" si="199"/>
        <v>2.2351003569807126E-3</v>
      </c>
    </row>
    <row r="1577" spans="1:15" s="2" customFormat="1" x14ac:dyDescent="0.5">
      <c r="A1577" s="6">
        <v>42642</v>
      </c>
      <c r="B1577" s="1">
        <v>205.60000600000001</v>
      </c>
      <c r="C1577" s="1">
        <v>207.33000200000001</v>
      </c>
      <c r="D1577" s="1">
        <v>200.58000200000001</v>
      </c>
      <c r="E1577" s="1">
        <v>200.699997</v>
      </c>
      <c r="F1577" s="1">
        <v>200.699997</v>
      </c>
      <c r="G1577" s="2">
        <v>2727000</v>
      </c>
      <c r="H1577" s="2">
        <f t="shared" si="192"/>
        <v>2016</v>
      </c>
      <c r="I1577" s="2">
        <f t="shared" si="193"/>
        <v>9</v>
      </c>
      <c r="J1577" s="2">
        <f t="shared" si="194"/>
        <v>29</v>
      </c>
      <c r="K1577" s="2">
        <f t="shared" si="195"/>
        <v>5</v>
      </c>
      <c r="L1577" s="2">
        <f t="shared" si="196"/>
        <v>10</v>
      </c>
      <c r="M1577" s="3">
        <f t="shared" si="197"/>
        <v>206.270004</v>
      </c>
      <c r="N1577" s="1">
        <f t="shared" ca="1" si="198"/>
        <v>206.270004</v>
      </c>
      <c r="O1577" s="5">
        <f t="shared" si="199"/>
        <v>-2.7003475502914154E-2</v>
      </c>
    </row>
    <row r="1578" spans="1:15" s="2" customFormat="1" x14ac:dyDescent="0.5">
      <c r="A1578" s="6">
        <v>42643</v>
      </c>
      <c r="B1578" s="1">
        <v>202.21000699999999</v>
      </c>
      <c r="C1578" s="1">
        <v>204.979996</v>
      </c>
      <c r="D1578" s="1">
        <v>199.550003</v>
      </c>
      <c r="E1578" s="1">
        <v>204.029999</v>
      </c>
      <c r="F1578" s="1">
        <v>204.029999</v>
      </c>
      <c r="G1578" s="2">
        <v>2586300</v>
      </c>
      <c r="H1578" s="2">
        <f t="shared" si="192"/>
        <v>2016</v>
      </c>
      <c r="I1578" s="2">
        <f t="shared" si="193"/>
        <v>9</v>
      </c>
      <c r="J1578" s="2">
        <f t="shared" si="194"/>
        <v>30</v>
      </c>
      <c r="K1578" s="2">
        <f t="shared" si="195"/>
        <v>6</v>
      </c>
      <c r="L1578" s="2">
        <f t="shared" si="196"/>
        <v>10</v>
      </c>
      <c r="M1578" s="3">
        <f t="shared" si="197"/>
        <v>200.699997</v>
      </c>
      <c r="N1578" s="1">
        <f t="shared" ca="1" si="198"/>
        <v>200.699997</v>
      </c>
      <c r="O1578" s="5">
        <f t="shared" si="199"/>
        <v>1.659193846425433E-2</v>
      </c>
    </row>
    <row r="1579" spans="1:15" s="2" customFormat="1" x14ac:dyDescent="0.5">
      <c r="A1579" s="6">
        <v>42646</v>
      </c>
      <c r="B1579" s="1">
        <v>212.300003</v>
      </c>
      <c r="C1579" s="1">
        <v>215.66999799999999</v>
      </c>
      <c r="D1579" s="1">
        <v>208.25</v>
      </c>
      <c r="E1579" s="1">
        <v>213.699997</v>
      </c>
      <c r="F1579" s="1">
        <v>213.699997</v>
      </c>
      <c r="G1579" s="2">
        <v>5999900</v>
      </c>
      <c r="H1579" s="2">
        <f t="shared" si="192"/>
        <v>2016</v>
      </c>
      <c r="I1579" s="2">
        <f t="shared" si="193"/>
        <v>10</v>
      </c>
      <c r="J1579" s="2">
        <f t="shared" si="194"/>
        <v>3</v>
      </c>
      <c r="K1579" s="2">
        <f t="shared" si="195"/>
        <v>2</v>
      </c>
      <c r="L1579" s="2">
        <f t="shared" si="196"/>
        <v>11</v>
      </c>
      <c r="M1579" s="3">
        <f t="shared" si="197"/>
        <v>204.029999</v>
      </c>
      <c r="N1579" s="1">
        <f t="shared" ca="1" si="198"/>
        <v>204.029999</v>
      </c>
      <c r="O1579" s="5">
        <f t="shared" si="199"/>
        <v>4.7394981362520072E-2</v>
      </c>
    </row>
    <row r="1580" spans="1:15" s="2" customFormat="1" x14ac:dyDescent="0.5">
      <c r="A1580" s="6">
        <v>42647</v>
      </c>
      <c r="B1580" s="1">
        <v>213.10000600000001</v>
      </c>
      <c r="C1580" s="1">
        <v>213.320007</v>
      </c>
      <c r="D1580" s="1">
        <v>208.820007</v>
      </c>
      <c r="E1580" s="1">
        <v>211.41000399999999</v>
      </c>
      <c r="F1580" s="1">
        <v>211.41000399999999</v>
      </c>
      <c r="G1580" s="2">
        <v>3541500</v>
      </c>
      <c r="H1580" s="2">
        <f t="shared" si="192"/>
        <v>2016</v>
      </c>
      <c r="I1580" s="2">
        <f t="shared" si="193"/>
        <v>10</v>
      </c>
      <c r="J1580" s="2">
        <f t="shared" si="194"/>
        <v>4</v>
      </c>
      <c r="K1580" s="2">
        <f t="shared" si="195"/>
        <v>3</v>
      </c>
      <c r="L1580" s="2">
        <f t="shared" si="196"/>
        <v>11</v>
      </c>
      <c r="M1580" s="3">
        <f t="shared" si="197"/>
        <v>213.699997</v>
      </c>
      <c r="N1580" s="1">
        <f t="shared" ca="1" si="198"/>
        <v>213.699997</v>
      </c>
      <c r="O1580" s="5">
        <f t="shared" si="199"/>
        <v>-1.0715924343227767E-2</v>
      </c>
    </row>
    <row r="1581" spans="1:15" s="2" customFormat="1" x14ac:dyDescent="0.5">
      <c r="A1581" s="6">
        <v>42648</v>
      </c>
      <c r="B1581" s="1">
        <v>212.240005</v>
      </c>
      <c r="C1581" s="1">
        <v>213.14999399999999</v>
      </c>
      <c r="D1581" s="1">
        <v>208.11999499999999</v>
      </c>
      <c r="E1581" s="1">
        <v>208.46000699999999</v>
      </c>
      <c r="F1581" s="1">
        <v>208.46000699999999</v>
      </c>
      <c r="G1581" s="2">
        <v>1877500</v>
      </c>
      <c r="H1581" s="2">
        <f t="shared" si="192"/>
        <v>2016</v>
      </c>
      <c r="I1581" s="2">
        <f t="shared" si="193"/>
        <v>10</v>
      </c>
      <c r="J1581" s="2">
        <f t="shared" si="194"/>
        <v>5</v>
      </c>
      <c r="K1581" s="2">
        <f t="shared" si="195"/>
        <v>4</v>
      </c>
      <c r="L1581" s="2">
        <f t="shared" si="196"/>
        <v>11</v>
      </c>
      <c r="M1581" s="3">
        <f t="shared" si="197"/>
        <v>211.41000399999999</v>
      </c>
      <c r="N1581" s="1">
        <f t="shared" ca="1" si="198"/>
        <v>211.41000399999999</v>
      </c>
      <c r="O1581" s="5">
        <f t="shared" si="199"/>
        <v>-1.3953913931149642E-2</v>
      </c>
    </row>
    <row r="1582" spans="1:15" s="2" customFormat="1" x14ac:dyDescent="0.5">
      <c r="A1582" s="6">
        <v>42649</v>
      </c>
      <c r="B1582" s="1">
        <v>202.46000699999999</v>
      </c>
      <c r="C1582" s="1">
        <v>204.21000699999999</v>
      </c>
      <c r="D1582" s="1">
        <v>200.21000699999999</v>
      </c>
      <c r="E1582" s="1">
        <v>201</v>
      </c>
      <c r="F1582" s="1">
        <v>201</v>
      </c>
      <c r="G1582" s="2">
        <v>4703400</v>
      </c>
      <c r="H1582" s="2">
        <f t="shared" si="192"/>
        <v>2016</v>
      </c>
      <c r="I1582" s="2">
        <f t="shared" si="193"/>
        <v>10</v>
      </c>
      <c r="J1582" s="2">
        <f t="shared" si="194"/>
        <v>6</v>
      </c>
      <c r="K1582" s="2">
        <f t="shared" si="195"/>
        <v>5</v>
      </c>
      <c r="L1582" s="2">
        <f t="shared" si="196"/>
        <v>11</v>
      </c>
      <c r="M1582" s="3">
        <f t="shared" si="197"/>
        <v>208.46000699999999</v>
      </c>
      <c r="N1582" s="1">
        <f t="shared" ca="1" si="198"/>
        <v>208.46000699999999</v>
      </c>
      <c r="O1582" s="5">
        <f t="shared" si="199"/>
        <v>-3.57862743427807E-2</v>
      </c>
    </row>
    <row r="1583" spans="1:15" s="2" customFormat="1" x14ac:dyDescent="0.5">
      <c r="A1583" s="6">
        <v>42650</v>
      </c>
      <c r="B1583" s="1">
        <v>201</v>
      </c>
      <c r="C1583" s="1">
        <v>201.320007</v>
      </c>
      <c r="D1583" s="1">
        <v>195.800003</v>
      </c>
      <c r="E1583" s="1">
        <v>196.61000100000001</v>
      </c>
      <c r="F1583" s="1">
        <v>196.61000100000001</v>
      </c>
      <c r="G1583" s="2">
        <v>3493000</v>
      </c>
      <c r="H1583" s="2">
        <f t="shared" si="192"/>
        <v>2016</v>
      </c>
      <c r="I1583" s="2">
        <f t="shared" si="193"/>
        <v>10</v>
      </c>
      <c r="J1583" s="2">
        <f t="shared" si="194"/>
        <v>7</v>
      </c>
      <c r="K1583" s="2">
        <f t="shared" si="195"/>
        <v>6</v>
      </c>
      <c r="L1583" s="2">
        <f t="shared" si="196"/>
        <v>11</v>
      </c>
      <c r="M1583" s="3">
        <f t="shared" si="197"/>
        <v>201</v>
      </c>
      <c r="N1583" s="1">
        <f t="shared" ca="1" si="198"/>
        <v>201</v>
      </c>
      <c r="O1583" s="5">
        <f t="shared" si="199"/>
        <v>-2.1840791044776098E-2</v>
      </c>
    </row>
    <row r="1584" spans="1:15" s="2" customFormat="1" x14ac:dyDescent="0.5">
      <c r="A1584" s="6">
        <v>42653</v>
      </c>
      <c r="B1584" s="1">
        <v>201.35000600000001</v>
      </c>
      <c r="C1584" s="1">
        <v>204.13999899999999</v>
      </c>
      <c r="D1584" s="1">
        <v>199.66000399999999</v>
      </c>
      <c r="E1584" s="1">
        <v>200.949997</v>
      </c>
      <c r="F1584" s="1">
        <v>200.949997</v>
      </c>
      <c r="G1584" s="2">
        <v>3303100</v>
      </c>
      <c r="H1584" s="2">
        <f t="shared" si="192"/>
        <v>2016</v>
      </c>
      <c r="I1584" s="2">
        <f t="shared" si="193"/>
        <v>10</v>
      </c>
      <c r="J1584" s="2">
        <f t="shared" si="194"/>
        <v>10</v>
      </c>
      <c r="K1584" s="2">
        <f t="shared" si="195"/>
        <v>2</v>
      </c>
      <c r="L1584" s="2">
        <f t="shared" si="196"/>
        <v>11</v>
      </c>
      <c r="M1584" s="3">
        <f t="shared" si="197"/>
        <v>196.61000100000001</v>
      </c>
      <c r="N1584" s="1">
        <f t="shared" ca="1" si="198"/>
        <v>196.61000100000001</v>
      </c>
      <c r="O1584" s="5">
        <f t="shared" si="199"/>
        <v>2.2074136503361208E-2</v>
      </c>
    </row>
    <row r="1585" spans="1:15" s="2" customFormat="1" x14ac:dyDescent="0.5">
      <c r="A1585" s="6">
        <v>42654</v>
      </c>
      <c r="B1585" s="1">
        <v>201.85000600000001</v>
      </c>
      <c r="C1585" s="1">
        <v>202.199997</v>
      </c>
      <c r="D1585" s="1">
        <v>198.30999800000001</v>
      </c>
      <c r="E1585" s="1">
        <v>200.10000600000001</v>
      </c>
      <c r="F1585" s="1">
        <v>200.10000600000001</v>
      </c>
      <c r="G1585" s="2">
        <v>2328400</v>
      </c>
      <c r="H1585" s="2">
        <f t="shared" si="192"/>
        <v>2016</v>
      </c>
      <c r="I1585" s="2">
        <f t="shared" si="193"/>
        <v>10</v>
      </c>
      <c r="J1585" s="2">
        <f t="shared" si="194"/>
        <v>11</v>
      </c>
      <c r="K1585" s="2">
        <f t="shared" si="195"/>
        <v>3</v>
      </c>
      <c r="L1585" s="2">
        <f t="shared" si="196"/>
        <v>11</v>
      </c>
      <c r="M1585" s="3">
        <f t="shared" si="197"/>
        <v>200.949997</v>
      </c>
      <c r="N1585" s="1">
        <f t="shared" ca="1" si="198"/>
        <v>200.949997</v>
      </c>
      <c r="O1585" s="5">
        <f t="shared" si="199"/>
        <v>-4.2298632131853031E-3</v>
      </c>
    </row>
    <row r="1586" spans="1:15" s="2" customFormat="1" x14ac:dyDescent="0.5">
      <c r="A1586" s="6">
        <v>42655</v>
      </c>
      <c r="B1586" s="1">
        <v>200.949997</v>
      </c>
      <c r="C1586" s="1">
        <v>203.88000500000001</v>
      </c>
      <c r="D1586" s="1">
        <v>200.41999799999999</v>
      </c>
      <c r="E1586" s="1">
        <v>201.509995</v>
      </c>
      <c r="F1586" s="1">
        <v>201.509995</v>
      </c>
      <c r="G1586" s="2">
        <v>1970700</v>
      </c>
      <c r="H1586" s="2">
        <f t="shared" si="192"/>
        <v>2016</v>
      </c>
      <c r="I1586" s="2">
        <f t="shared" si="193"/>
        <v>10</v>
      </c>
      <c r="J1586" s="2">
        <f t="shared" si="194"/>
        <v>12</v>
      </c>
      <c r="K1586" s="2">
        <f t="shared" si="195"/>
        <v>4</v>
      </c>
      <c r="L1586" s="2">
        <f t="shared" si="196"/>
        <v>11</v>
      </c>
      <c r="M1586" s="3">
        <f t="shared" si="197"/>
        <v>200.10000600000001</v>
      </c>
      <c r="N1586" s="1">
        <f t="shared" ca="1" si="198"/>
        <v>200.10000600000001</v>
      </c>
      <c r="O1586" s="5">
        <f t="shared" si="199"/>
        <v>7.0464215778183181E-3</v>
      </c>
    </row>
    <row r="1587" spans="1:15" s="2" customFormat="1" x14ac:dyDescent="0.5">
      <c r="A1587" s="6">
        <v>42656</v>
      </c>
      <c r="B1587" s="1">
        <v>200.5</v>
      </c>
      <c r="C1587" s="1">
        <v>200.89999399999999</v>
      </c>
      <c r="D1587" s="1">
        <v>197.050003</v>
      </c>
      <c r="E1587" s="1">
        <v>200.240005</v>
      </c>
      <c r="F1587" s="1">
        <v>200.240005</v>
      </c>
      <c r="G1587" s="2">
        <v>2494600</v>
      </c>
      <c r="H1587" s="2">
        <f t="shared" si="192"/>
        <v>2016</v>
      </c>
      <c r="I1587" s="2">
        <f t="shared" si="193"/>
        <v>10</v>
      </c>
      <c r="J1587" s="2">
        <f t="shared" si="194"/>
        <v>13</v>
      </c>
      <c r="K1587" s="2">
        <f t="shared" si="195"/>
        <v>5</v>
      </c>
      <c r="L1587" s="2">
        <f t="shared" si="196"/>
        <v>11</v>
      </c>
      <c r="M1587" s="3">
        <f t="shared" si="197"/>
        <v>201.509995</v>
      </c>
      <c r="N1587" s="1">
        <f t="shared" ca="1" si="198"/>
        <v>201.509995</v>
      </c>
      <c r="O1587" s="5">
        <f t="shared" si="199"/>
        <v>-6.3023672845607948E-3</v>
      </c>
    </row>
    <row r="1588" spans="1:15" s="2" customFormat="1" x14ac:dyDescent="0.5">
      <c r="A1588" s="6">
        <v>42657</v>
      </c>
      <c r="B1588" s="1">
        <v>200.66000399999999</v>
      </c>
      <c r="C1588" s="1">
        <v>201.429993</v>
      </c>
      <c r="D1588" s="1">
        <v>196.300003</v>
      </c>
      <c r="E1588" s="1">
        <v>196.509995</v>
      </c>
      <c r="F1588" s="1">
        <v>196.509995</v>
      </c>
      <c r="G1588" s="2">
        <v>4269900</v>
      </c>
      <c r="H1588" s="2">
        <f t="shared" si="192"/>
        <v>2016</v>
      </c>
      <c r="I1588" s="2">
        <f t="shared" si="193"/>
        <v>10</v>
      </c>
      <c r="J1588" s="2">
        <f t="shared" si="194"/>
        <v>14</v>
      </c>
      <c r="K1588" s="2">
        <f t="shared" si="195"/>
        <v>6</v>
      </c>
      <c r="L1588" s="2">
        <f t="shared" si="196"/>
        <v>11</v>
      </c>
      <c r="M1588" s="3">
        <f t="shared" si="197"/>
        <v>200.240005</v>
      </c>
      <c r="N1588" s="1">
        <f t="shared" ca="1" si="198"/>
        <v>200.240005</v>
      </c>
      <c r="O1588" s="5">
        <f t="shared" si="199"/>
        <v>-1.8627696298749052E-2</v>
      </c>
    </row>
    <row r="1589" spans="1:15" s="2" customFormat="1" x14ac:dyDescent="0.5">
      <c r="A1589" s="6">
        <v>42660</v>
      </c>
      <c r="B1589" s="1">
        <v>197.050003</v>
      </c>
      <c r="C1589" s="1">
        <v>198.38999899999999</v>
      </c>
      <c r="D1589" s="1">
        <v>192</v>
      </c>
      <c r="E1589" s="1">
        <v>193.96000699999999</v>
      </c>
      <c r="F1589" s="1">
        <v>193.96000699999999</v>
      </c>
      <c r="G1589" s="2">
        <v>4554100</v>
      </c>
      <c r="H1589" s="2">
        <f t="shared" si="192"/>
        <v>2016</v>
      </c>
      <c r="I1589" s="2">
        <f t="shared" si="193"/>
        <v>10</v>
      </c>
      <c r="J1589" s="2">
        <f t="shared" si="194"/>
        <v>17</v>
      </c>
      <c r="K1589" s="2">
        <f t="shared" si="195"/>
        <v>2</v>
      </c>
      <c r="L1589" s="2">
        <f t="shared" si="196"/>
        <v>11</v>
      </c>
      <c r="M1589" s="3">
        <f t="shared" si="197"/>
        <v>196.509995</v>
      </c>
      <c r="N1589" s="1">
        <f t="shared" ca="1" si="198"/>
        <v>196.509995</v>
      </c>
      <c r="O1589" s="5">
        <f t="shared" si="199"/>
        <v>-1.2976378122649734E-2</v>
      </c>
    </row>
    <row r="1590" spans="1:15" s="2" customFormat="1" x14ac:dyDescent="0.5">
      <c r="A1590" s="6">
        <v>42661</v>
      </c>
      <c r="B1590" s="1">
        <v>195.990005</v>
      </c>
      <c r="C1590" s="1">
        <v>199.470001</v>
      </c>
      <c r="D1590" s="1">
        <v>193.259995</v>
      </c>
      <c r="E1590" s="1">
        <v>199.10000600000001</v>
      </c>
      <c r="F1590" s="1">
        <v>199.10000600000001</v>
      </c>
      <c r="G1590" s="2">
        <v>5669000</v>
      </c>
      <c r="H1590" s="2">
        <f t="shared" si="192"/>
        <v>2016</v>
      </c>
      <c r="I1590" s="2">
        <f t="shared" si="193"/>
        <v>10</v>
      </c>
      <c r="J1590" s="2">
        <f t="shared" si="194"/>
        <v>18</v>
      </c>
      <c r="K1590" s="2">
        <f t="shared" si="195"/>
        <v>3</v>
      </c>
      <c r="L1590" s="2">
        <f t="shared" si="196"/>
        <v>11</v>
      </c>
      <c r="M1590" s="3">
        <f t="shared" si="197"/>
        <v>193.96000699999999</v>
      </c>
      <c r="N1590" s="1">
        <f t="shared" ca="1" si="198"/>
        <v>193.96000699999999</v>
      </c>
      <c r="O1590" s="5">
        <f t="shared" si="199"/>
        <v>2.6500303230036604E-2</v>
      </c>
    </row>
    <row r="1591" spans="1:15" s="2" customFormat="1" x14ac:dyDescent="0.5">
      <c r="A1591" s="6">
        <v>42662</v>
      </c>
      <c r="B1591" s="1">
        <v>199.740005</v>
      </c>
      <c r="C1591" s="1">
        <v>206.66000399999999</v>
      </c>
      <c r="D1591" s="1">
        <v>198.05999800000001</v>
      </c>
      <c r="E1591" s="1">
        <v>203.55999800000001</v>
      </c>
      <c r="F1591" s="1">
        <v>203.55999800000001</v>
      </c>
      <c r="G1591" s="2">
        <v>6991200</v>
      </c>
      <c r="H1591" s="2">
        <f t="shared" si="192"/>
        <v>2016</v>
      </c>
      <c r="I1591" s="2">
        <f t="shared" si="193"/>
        <v>10</v>
      </c>
      <c r="J1591" s="2">
        <f t="shared" si="194"/>
        <v>19</v>
      </c>
      <c r="K1591" s="2">
        <f t="shared" si="195"/>
        <v>4</v>
      </c>
      <c r="L1591" s="2">
        <f t="shared" si="196"/>
        <v>11</v>
      </c>
      <c r="M1591" s="3">
        <f t="shared" si="197"/>
        <v>199.10000600000001</v>
      </c>
      <c r="N1591" s="1">
        <f t="shared" ca="1" si="198"/>
        <v>199.10000600000001</v>
      </c>
      <c r="O1591" s="5">
        <f t="shared" si="199"/>
        <v>2.2400762760398818E-2</v>
      </c>
    </row>
    <row r="1592" spans="1:15" s="2" customFormat="1" x14ac:dyDescent="0.5">
      <c r="A1592" s="6">
        <v>42663</v>
      </c>
      <c r="B1592" s="1">
        <v>202.11999499999999</v>
      </c>
      <c r="C1592" s="1">
        <v>203</v>
      </c>
      <c r="D1592" s="1">
        <v>197.050003</v>
      </c>
      <c r="E1592" s="1">
        <v>199.10000600000001</v>
      </c>
      <c r="F1592" s="1">
        <v>199.10000600000001</v>
      </c>
      <c r="G1592" s="2">
        <v>5072900</v>
      </c>
      <c r="H1592" s="2">
        <f t="shared" si="192"/>
        <v>2016</v>
      </c>
      <c r="I1592" s="2">
        <f t="shared" si="193"/>
        <v>10</v>
      </c>
      <c r="J1592" s="2">
        <f t="shared" si="194"/>
        <v>20</v>
      </c>
      <c r="K1592" s="2">
        <f t="shared" si="195"/>
        <v>5</v>
      </c>
      <c r="L1592" s="2">
        <f t="shared" si="196"/>
        <v>11</v>
      </c>
      <c r="M1592" s="3">
        <f t="shared" si="197"/>
        <v>203.55999800000001</v>
      </c>
      <c r="N1592" s="1">
        <f t="shared" ca="1" si="198"/>
        <v>203.55999800000001</v>
      </c>
      <c r="O1592" s="5">
        <f t="shared" si="199"/>
        <v>-2.1909962879838485E-2</v>
      </c>
    </row>
    <row r="1593" spans="1:15" s="2" customFormat="1" x14ac:dyDescent="0.5">
      <c r="A1593" s="6">
        <v>42664</v>
      </c>
      <c r="B1593" s="1">
        <v>198.60000600000001</v>
      </c>
      <c r="C1593" s="1">
        <v>201.570007</v>
      </c>
      <c r="D1593" s="1">
        <v>197.41000399999999</v>
      </c>
      <c r="E1593" s="1">
        <v>200.08999600000001</v>
      </c>
      <c r="F1593" s="1">
        <v>200.08999600000001</v>
      </c>
      <c r="G1593" s="2">
        <v>2943400</v>
      </c>
      <c r="H1593" s="2">
        <f t="shared" si="192"/>
        <v>2016</v>
      </c>
      <c r="I1593" s="2">
        <f t="shared" si="193"/>
        <v>10</v>
      </c>
      <c r="J1593" s="2">
        <f t="shared" si="194"/>
        <v>21</v>
      </c>
      <c r="K1593" s="2">
        <f t="shared" si="195"/>
        <v>6</v>
      </c>
      <c r="L1593" s="2">
        <f t="shared" si="196"/>
        <v>11</v>
      </c>
      <c r="M1593" s="3">
        <f t="shared" si="197"/>
        <v>199.10000600000001</v>
      </c>
      <c r="N1593" s="1">
        <f t="shared" ca="1" si="198"/>
        <v>199.10000600000001</v>
      </c>
      <c r="O1593" s="5">
        <f t="shared" si="199"/>
        <v>4.9723253147466728E-3</v>
      </c>
    </row>
    <row r="1594" spans="1:15" s="2" customFormat="1" x14ac:dyDescent="0.5">
      <c r="A1594" s="6">
        <v>42667</v>
      </c>
      <c r="B1594" s="1">
        <v>201</v>
      </c>
      <c r="C1594" s="1">
        <v>203.949997</v>
      </c>
      <c r="D1594" s="1">
        <v>200.25</v>
      </c>
      <c r="E1594" s="1">
        <v>202.759995</v>
      </c>
      <c r="F1594" s="1">
        <v>202.759995</v>
      </c>
      <c r="G1594" s="2">
        <v>2751600</v>
      </c>
      <c r="H1594" s="2">
        <f t="shared" si="192"/>
        <v>2016</v>
      </c>
      <c r="I1594" s="2">
        <f t="shared" si="193"/>
        <v>10</v>
      </c>
      <c r="J1594" s="2">
        <f t="shared" si="194"/>
        <v>24</v>
      </c>
      <c r="K1594" s="2">
        <f t="shared" si="195"/>
        <v>2</v>
      </c>
      <c r="L1594" s="2">
        <f t="shared" si="196"/>
        <v>11</v>
      </c>
      <c r="M1594" s="3">
        <f t="shared" si="197"/>
        <v>200.08999600000001</v>
      </c>
      <c r="N1594" s="1">
        <f t="shared" ca="1" si="198"/>
        <v>200.08999600000001</v>
      </c>
      <c r="O1594" s="5">
        <f t="shared" si="199"/>
        <v>1.3343990471167633E-2</v>
      </c>
    </row>
    <row r="1595" spans="1:15" s="2" customFormat="1" x14ac:dyDescent="0.5">
      <c r="A1595" s="6">
        <v>42668</v>
      </c>
      <c r="B1595" s="1">
        <v>202.89999399999999</v>
      </c>
      <c r="C1595" s="1">
        <v>204.69000199999999</v>
      </c>
      <c r="D1595" s="1">
        <v>201.199997</v>
      </c>
      <c r="E1595" s="1">
        <v>202.33999600000001</v>
      </c>
      <c r="F1595" s="1">
        <v>202.33999600000001</v>
      </c>
      <c r="G1595" s="2">
        <v>2445000</v>
      </c>
      <c r="H1595" s="2">
        <f t="shared" si="192"/>
        <v>2016</v>
      </c>
      <c r="I1595" s="2">
        <f t="shared" si="193"/>
        <v>10</v>
      </c>
      <c r="J1595" s="2">
        <f t="shared" si="194"/>
        <v>25</v>
      </c>
      <c r="K1595" s="2">
        <f t="shared" si="195"/>
        <v>3</v>
      </c>
      <c r="L1595" s="2">
        <f t="shared" si="196"/>
        <v>11</v>
      </c>
      <c r="M1595" s="3">
        <f t="shared" si="197"/>
        <v>202.759995</v>
      </c>
      <c r="N1595" s="1">
        <f t="shared" ca="1" si="198"/>
        <v>202.759995</v>
      </c>
      <c r="O1595" s="5">
        <f t="shared" si="199"/>
        <v>-2.071409599314622E-3</v>
      </c>
    </row>
    <row r="1596" spans="1:15" s="2" customFormat="1" x14ac:dyDescent="0.5">
      <c r="A1596" s="6">
        <v>42669</v>
      </c>
      <c r="B1596" s="1">
        <v>201</v>
      </c>
      <c r="C1596" s="1">
        <v>203.19000199999999</v>
      </c>
      <c r="D1596" s="1">
        <v>200.10000600000001</v>
      </c>
      <c r="E1596" s="1">
        <v>202.240005</v>
      </c>
      <c r="F1596" s="1">
        <v>202.240005</v>
      </c>
      <c r="G1596" s="2">
        <v>5632800</v>
      </c>
      <c r="H1596" s="2">
        <f t="shared" si="192"/>
        <v>2016</v>
      </c>
      <c r="I1596" s="2">
        <f t="shared" si="193"/>
        <v>10</v>
      </c>
      <c r="J1596" s="2">
        <f t="shared" si="194"/>
        <v>26</v>
      </c>
      <c r="K1596" s="2">
        <f t="shared" si="195"/>
        <v>4</v>
      </c>
      <c r="L1596" s="2">
        <f t="shared" si="196"/>
        <v>11</v>
      </c>
      <c r="M1596" s="3">
        <f t="shared" si="197"/>
        <v>202.33999600000001</v>
      </c>
      <c r="N1596" s="1">
        <f t="shared" ca="1" si="198"/>
        <v>202.33999600000001</v>
      </c>
      <c r="O1596" s="5">
        <f t="shared" si="199"/>
        <v>-4.9417318363498275E-4</v>
      </c>
    </row>
    <row r="1597" spans="1:15" s="2" customFormat="1" x14ac:dyDescent="0.5">
      <c r="A1597" s="6">
        <v>42670</v>
      </c>
      <c r="B1597" s="1">
        <v>211.33999600000001</v>
      </c>
      <c r="C1597" s="1">
        <v>213.699997</v>
      </c>
      <c r="D1597" s="1">
        <v>201.64999399999999</v>
      </c>
      <c r="E1597" s="1">
        <v>204.009995</v>
      </c>
      <c r="F1597" s="1">
        <v>204.009995</v>
      </c>
      <c r="G1597" s="2">
        <v>13093700</v>
      </c>
      <c r="H1597" s="2">
        <f t="shared" si="192"/>
        <v>2016</v>
      </c>
      <c r="I1597" s="2">
        <f t="shared" si="193"/>
        <v>10</v>
      </c>
      <c r="J1597" s="2">
        <f t="shared" si="194"/>
        <v>27</v>
      </c>
      <c r="K1597" s="2">
        <f t="shared" si="195"/>
        <v>5</v>
      </c>
      <c r="L1597" s="2">
        <f t="shared" si="196"/>
        <v>11</v>
      </c>
      <c r="M1597" s="3">
        <f t="shared" si="197"/>
        <v>202.240005</v>
      </c>
      <c r="N1597" s="1">
        <f t="shared" ca="1" si="198"/>
        <v>202.240005</v>
      </c>
      <c r="O1597" s="5">
        <f t="shared" si="199"/>
        <v>8.7519281855239495E-3</v>
      </c>
    </row>
    <row r="1598" spans="1:15" s="2" customFormat="1" x14ac:dyDescent="0.5">
      <c r="A1598" s="6">
        <v>42671</v>
      </c>
      <c r="B1598" s="1">
        <v>204</v>
      </c>
      <c r="C1598" s="1">
        <v>205.320007</v>
      </c>
      <c r="D1598" s="1">
        <v>199.83000200000001</v>
      </c>
      <c r="E1598" s="1">
        <v>199.970001</v>
      </c>
      <c r="F1598" s="1">
        <v>199.970001</v>
      </c>
      <c r="G1598" s="2">
        <v>4280100</v>
      </c>
      <c r="H1598" s="2">
        <f t="shared" si="192"/>
        <v>2016</v>
      </c>
      <c r="I1598" s="2">
        <f t="shared" si="193"/>
        <v>10</v>
      </c>
      <c r="J1598" s="2">
        <f t="shared" si="194"/>
        <v>28</v>
      </c>
      <c r="K1598" s="2">
        <f t="shared" si="195"/>
        <v>6</v>
      </c>
      <c r="L1598" s="2">
        <f t="shared" si="196"/>
        <v>11</v>
      </c>
      <c r="M1598" s="3">
        <f t="shared" si="197"/>
        <v>204.009995</v>
      </c>
      <c r="N1598" s="1">
        <f t="shared" ca="1" si="198"/>
        <v>204.009995</v>
      </c>
      <c r="O1598" s="5">
        <f t="shared" si="199"/>
        <v>-1.9802921910762272E-2</v>
      </c>
    </row>
    <row r="1599" spans="1:15" s="2" customFormat="1" x14ac:dyDescent="0.5">
      <c r="A1599" s="6">
        <v>42674</v>
      </c>
      <c r="B1599" s="1">
        <v>202.490005</v>
      </c>
      <c r="C1599" s="1">
        <v>202.490005</v>
      </c>
      <c r="D1599" s="1">
        <v>195.80999800000001</v>
      </c>
      <c r="E1599" s="1">
        <v>197.729996</v>
      </c>
      <c r="F1599" s="1">
        <v>197.729996</v>
      </c>
      <c r="G1599" s="2">
        <v>4692300</v>
      </c>
      <c r="H1599" s="2">
        <f t="shared" si="192"/>
        <v>2016</v>
      </c>
      <c r="I1599" s="2">
        <f t="shared" si="193"/>
        <v>10</v>
      </c>
      <c r="J1599" s="2">
        <f t="shared" si="194"/>
        <v>31</v>
      </c>
      <c r="K1599" s="2">
        <f t="shared" si="195"/>
        <v>2</v>
      </c>
      <c r="L1599" s="2">
        <f t="shared" si="196"/>
        <v>11</v>
      </c>
      <c r="M1599" s="3">
        <f t="shared" si="197"/>
        <v>199.970001</v>
      </c>
      <c r="N1599" s="1">
        <f t="shared" ca="1" si="198"/>
        <v>199.970001</v>
      </c>
      <c r="O1599" s="5">
        <f t="shared" si="199"/>
        <v>-1.1201705199771372E-2</v>
      </c>
    </row>
    <row r="1600" spans="1:15" s="2" customFormat="1" x14ac:dyDescent="0.5">
      <c r="A1600" s="6">
        <v>42675</v>
      </c>
      <c r="B1600" s="1">
        <v>198.03999300000001</v>
      </c>
      <c r="C1600" s="1">
        <v>198.5</v>
      </c>
      <c r="D1600" s="1">
        <v>188.11000100000001</v>
      </c>
      <c r="E1600" s="1">
        <v>190.78999300000001</v>
      </c>
      <c r="F1600" s="1">
        <v>190.78999300000001</v>
      </c>
      <c r="G1600" s="2">
        <v>7060000</v>
      </c>
      <c r="H1600" s="2">
        <f t="shared" si="192"/>
        <v>2016</v>
      </c>
      <c r="I1600" s="2">
        <f t="shared" si="193"/>
        <v>11</v>
      </c>
      <c r="J1600" s="2">
        <f t="shared" si="194"/>
        <v>1</v>
      </c>
      <c r="K1600" s="2">
        <f t="shared" si="195"/>
        <v>3</v>
      </c>
      <c r="L1600" s="2">
        <f t="shared" si="196"/>
        <v>12</v>
      </c>
      <c r="M1600" s="3">
        <f t="shared" si="197"/>
        <v>197.729996</v>
      </c>
      <c r="N1600" s="1">
        <f t="shared" ca="1" si="198"/>
        <v>197.729996</v>
      </c>
      <c r="O1600" s="5">
        <f t="shared" si="199"/>
        <v>-3.5098382341544165E-2</v>
      </c>
    </row>
    <row r="1601" spans="1:15" s="2" customFormat="1" x14ac:dyDescent="0.5">
      <c r="A1601" s="6">
        <v>42676</v>
      </c>
      <c r="B1601" s="1">
        <v>190.050003</v>
      </c>
      <c r="C1601" s="1">
        <v>192.699997</v>
      </c>
      <c r="D1601" s="1">
        <v>187.509995</v>
      </c>
      <c r="E1601" s="1">
        <v>188.020004</v>
      </c>
      <c r="F1601" s="1">
        <v>188.020004</v>
      </c>
      <c r="G1601" s="2">
        <v>4253400</v>
      </c>
      <c r="H1601" s="2">
        <f t="shared" si="192"/>
        <v>2016</v>
      </c>
      <c r="I1601" s="2">
        <f t="shared" si="193"/>
        <v>11</v>
      </c>
      <c r="J1601" s="2">
        <f t="shared" si="194"/>
        <v>2</v>
      </c>
      <c r="K1601" s="2">
        <f t="shared" si="195"/>
        <v>4</v>
      </c>
      <c r="L1601" s="2">
        <f t="shared" si="196"/>
        <v>12</v>
      </c>
      <c r="M1601" s="3">
        <f t="shared" si="197"/>
        <v>190.78999300000001</v>
      </c>
      <c r="N1601" s="1">
        <f t="shared" ca="1" si="198"/>
        <v>190.78999300000001</v>
      </c>
      <c r="O1601" s="5">
        <f t="shared" si="199"/>
        <v>-1.4518523516063087E-2</v>
      </c>
    </row>
    <row r="1602" spans="1:15" s="2" customFormat="1" x14ac:dyDescent="0.5">
      <c r="A1602" s="6">
        <v>42677</v>
      </c>
      <c r="B1602" s="1">
        <v>189</v>
      </c>
      <c r="C1602" s="1">
        <v>191.470001</v>
      </c>
      <c r="D1602" s="1">
        <v>187.03999300000001</v>
      </c>
      <c r="E1602" s="1">
        <v>187.41999799999999</v>
      </c>
      <c r="F1602" s="1">
        <v>187.41999799999999</v>
      </c>
      <c r="G1602" s="2">
        <v>2653000</v>
      </c>
      <c r="H1602" s="2">
        <f t="shared" ref="H1602:H1665" si="200">YEAR(A1602)</f>
        <v>2016</v>
      </c>
      <c r="I1602" s="2">
        <f t="shared" ref="I1602:I1665" si="201">MONTH(A1602)</f>
        <v>11</v>
      </c>
      <c r="J1602" s="2">
        <f t="shared" ref="J1602:J1665" si="202">DAY(A1602)</f>
        <v>3</v>
      </c>
      <c r="K1602" s="2">
        <f t="shared" ref="K1602:K1665" si="203">WEEKDAY(A1602)</f>
        <v>5</v>
      </c>
      <c r="L1602" s="2">
        <f t="shared" si="196"/>
        <v>12</v>
      </c>
      <c r="M1602" s="3">
        <f t="shared" si="197"/>
        <v>188.020004</v>
      </c>
      <c r="N1602" s="1">
        <f t="shared" ca="1" si="198"/>
        <v>188.020004</v>
      </c>
      <c r="O1602" s="5">
        <f t="shared" si="199"/>
        <v>-3.1911817212811888E-3</v>
      </c>
    </row>
    <row r="1603" spans="1:15" s="2" customFormat="1" x14ac:dyDescent="0.5">
      <c r="A1603" s="6">
        <v>42678</v>
      </c>
      <c r="B1603" s="1">
        <v>189</v>
      </c>
      <c r="C1603" s="1">
        <v>193.46000699999999</v>
      </c>
      <c r="D1603" s="1">
        <v>185.96000699999999</v>
      </c>
      <c r="E1603" s="1">
        <v>190.55999800000001</v>
      </c>
      <c r="F1603" s="1">
        <v>190.55999800000001</v>
      </c>
      <c r="G1603" s="2">
        <v>5146000</v>
      </c>
      <c r="H1603" s="2">
        <f t="shared" si="200"/>
        <v>2016</v>
      </c>
      <c r="I1603" s="2">
        <f t="shared" si="201"/>
        <v>11</v>
      </c>
      <c r="J1603" s="2">
        <f t="shared" si="202"/>
        <v>4</v>
      </c>
      <c r="K1603" s="2">
        <f t="shared" si="203"/>
        <v>6</v>
      </c>
      <c r="L1603" s="2">
        <f t="shared" ref="L1603:L1666" si="204">I1603+1</f>
        <v>12</v>
      </c>
      <c r="M1603" s="3">
        <f t="shared" ref="M1603:M1666" si="205">F1602</f>
        <v>187.41999799999999</v>
      </c>
      <c r="N1603" s="1">
        <f t="shared" ref="N1603:N1666" ca="1" si="206">OFFSET(F1603, -1, 0)</f>
        <v>187.41999799999999</v>
      </c>
      <c r="O1603" s="5">
        <f t="shared" ref="O1603:O1666" si="207">(F1603/M1603)-1</f>
        <v>1.6753815139833872E-2</v>
      </c>
    </row>
    <row r="1604" spans="1:15" s="2" customFormat="1" x14ac:dyDescent="0.5">
      <c r="A1604" s="6">
        <v>42681</v>
      </c>
      <c r="B1604" s="1">
        <v>193.58999600000001</v>
      </c>
      <c r="C1604" s="1">
        <v>194.28999300000001</v>
      </c>
      <c r="D1604" s="1">
        <v>190.050003</v>
      </c>
      <c r="E1604" s="1">
        <v>193.21000699999999</v>
      </c>
      <c r="F1604" s="1">
        <v>193.21000699999999</v>
      </c>
      <c r="G1604" s="2">
        <v>3870100</v>
      </c>
      <c r="H1604" s="2">
        <f t="shared" si="200"/>
        <v>2016</v>
      </c>
      <c r="I1604" s="2">
        <f t="shared" si="201"/>
        <v>11</v>
      </c>
      <c r="J1604" s="2">
        <f t="shared" si="202"/>
        <v>7</v>
      </c>
      <c r="K1604" s="2">
        <f t="shared" si="203"/>
        <v>2</v>
      </c>
      <c r="L1604" s="2">
        <f t="shared" si="204"/>
        <v>12</v>
      </c>
      <c r="M1604" s="3">
        <f t="shared" si="205"/>
        <v>190.55999800000001</v>
      </c>
      <c r="N1604" s="1">
        <f t="shared" ca="1" si="206"/>
        <v>190.55999800000001</v>
      </c>
      <c r="O1604" s="5">
        <f t="shared" si="207"/>
        <v>1.3906428567447726E-2</v>
      </c>
    </row>
    <row r="1605" spans="1:15" s="2" customFormat="1" x14ac:dyDescent="0.5">
      <c r="A1605" s="6">
        <v>42682</v>
      </c>
      <c r="B1605" s="1">
        <v>193.78999300000001</v>
      </c>
      <c r="C1605" s="1">
        <v>197.490005</v>
      </c>
      <c r="D1605" s="1">
        <v>191.259995</v>
      </c>
      <c r="E1605" s="1">
        <v>194.94000199999999</v>
      </c>
      <c r="F1605" s="1">
        <v>194.94000199999999</v>
      </c>
      <c r="G1605" s="2">
        <v>3251400</v>
      </c>
      <c r="H1605" s="2">
        <f t="shared" si="200"/>
        <v>2016</v>
      </c>
      <c r="I1605" s="2">
        <f t="shared" si="201"/>
        <v>11</v>
      </c>
      <c r="J1605" s="2">
        <f t="shared" si="202"/>
        <v>8</v>
      </c>
      <c r="K1605" s="2">
        <f t="shared" si="203"/>
        <v>3</v>
      </c>
      <c r="L1605" s="2">
        <f t="shared" si="204"/>
        <v>12</v>
      </c>
      <c r="M1605" s="3">
        <f t="shared" si="205"/>
        <v>193.21000699999999</v>
      </c>
      <c r="N1605" s="1">
        <f t="shared" ca="1" si="206"/>
        <v>193.21000699999999</v>
      </c>
      <c r="O1605" s="5">
        <f t="shared" si="207"/>
        <v>8.9539616858458349E-3</v>
      </c>
    </row>
    <row r="1606" spans="1:15" s="2" customFormat="1" x14ac:dyDescent="0.5">
      <c r="A1606" s="6">
        <v>42683</v>
      </c>
      <c r="B1606" s="1">
        <v>186.88000500000001</v>
      </c>
      <c r="C1606" s="1">
        <v>192</v>
      </c>
      <c r="D1606" s="1">
        <v>183.949997</v>
      </c>
      <c r="E1606" s="1">
        <v>190.05999800000001</v>
      </c>
      <c r="F1606" s="1">
        <v>190.05999800000001</v>
      </c>
      <c r="G1606" s="2">
        <v>8173100</v>
      </c>
      <c r="H1606" s="2">
        <f t="shared" si="200"/>
        <v>2016</v>
      </c>
      <c r="I1606" s="2">
        <f t="shared" si="201"/>
        <v>11</v>
      </c>
      <c r="J1606" s="2">
        <f t="shared" si="202"/>
        <v>9</v>
      </c>
      <c r="K1606" s="2">
        <f t="shared" si="203"/>
        <v>4</v>
      </c>
      <c r="L1606" s="2">
        <f t="shared" si="204"/>
        <v>12</v>
      </c>
      <c r="M1606" s="3">
        <f t="shared" si="205"/>
        <v>194.94000199999999</v>
      </c>
      <c r="N1606" s="1">
        <f t="shared" ca="1" si="206"/>
        <v>194.94000199999999</v>
      </c>
      <c r="O1606" s="5">
        <f t="shared" si="207"/>
        <v>-2.5033363855202939E-2</v>
      </c>
    </row>
    <row r="1607" spans="1:15" s="2" customFormat="1" x14ac:dyDescent="0.5">
      <c r="A1607" s="6">
        <v>42684</v>
      </c>
      <c r="B1607" s="1">
        <v>191.050003</v>
      </c>
      <c r="C1607" s="1">
        <v>191.61000100000001</v>
      </c>
      <c r="D1607" s="1">
        <v>180.41999799999999</v>
      </c>
      <c r="E1607" s="1">
        <v>185.35000600000001</v>
      </c>
      <c r="F1607" s="1">
        <v>185.35000600000001</v>
      </c>
      <c r="G1607" s="2">
        <v>6750300</v>
      </c>
      <c r="H1607" s="2">
        <f t="shared" si="200"/>
        <v>2016</v>
      </c>
      <c r="I1607" s="2">
        <f t="shared" si="201"/>
        <v>11</v>
      </c>
      <c r="J1607" s="2">
        <f t="shared" si="202"/>
        <v>10</v>
      </c>
      <c r="K1607" s="2">
        <f t="shared" si="203"/>
        <v>5</v>
      </c>
      <c r="L1607" s="2">
        <f t="shared" si="204"/>
        <v>12</v>
      </c>
      <c r="M1607" s="3">
        <f t="shared" si="205"/>
        <v>190.05999800000001</v>
      </c>
      <c r="N1607" s="1">
        <f t="shared" ca="1" si="206"/>
        <v>190.05999800000001</v>
      </c>
      <c r="O1607" s="5">
        <f t="shared" si="207"/>
        <v>-2.4781606069468665E-2</v>
      </c>
    </row>
    <row r="1608" spans="1:15" s="2" customFormat="1" x14ac:dyDescent="0.5">
      <c r="A1608" s="6">
        <v>42685</v>
      </c>
      <c r="B1608" s="1">
        <v>184.240005</v>
      </c>
      <c r="C1608" s="1">
        <v>188.88000500000001</v>
      </c>
      <c r="D1608" s="1">
        <v>183</v>
      </c>
      <c r="E1608" s="1">
        <v>188.55999800000001</v>
      </c>
      <c r="F1608" s="1">
        <v>188.55999800000001</v>
      </c>
      <c r="G1608" s="2">
        <v>3988500</v>
      </c>
      <c r="H1608" s="2">
        <f t="shared" si="200"/>
        <v>2016</v>
      </c>
      <c r="I1608" s="2">
        <f t="shared" si="201"/>
        <v>11</v>
      </c>
      <c r="J1608" s="2">
        <f t="shared" si="202"/>
        <v>11</v>
      </c>
      <c r="K1608" s="2">
        <f t="shared" si="203"/>
        <v>6</v>
      </c>
      <c r="L1608" s="2">
        <f t="shared" si="204"/>
        <v>12</v>
      </c>
      <c r="M1608" s="3">
        <f t="shared" si="205"/>
        <v>185.35000600000001</v>
      </c>
      <c r="N1608" s="1">
        <f t="shared" ca="1" si="206"/>
        <v>185.35000600000001</v>
      </c>
      <c r="O1608" s="5">
        <f t="shared" si="207"/>
        <v>1.7318542735844211E-2</v>
      </c>
    </row>
    <row r="1609" spans="1:15" s="2" customFormat="1" x14ac:dyDescent="0.5">
      <c r="A1609" s="6">
        <v>42688</v>
      </c>
      <c r="B1609" s="1">
        <v>188</v>
      </c>
      <c r="C1609" s="1">
        <v>188.25</v>
      </c>
      <c r="D1609" s="1">
        <v>178.19000199999999</v>
      </c>
      <c r="E1609" s="1">
        <v>181.449997</v>
      </c>
      <c r="F1609" s="1">
        <v>181.449997</v>
      </c>
      <c r="G1609" s="2">
        <v>6542200</v>
      </c>
      <c r="H1609" s="2">
        <f t="shared" si="200"/>
        <v>2016</v>
      </c>
      <c r="I1609" s="2">
        <f t="shared" si="201"/>
        <v>11</v>
      </c>
      <c r="J1609" s="2">
        <f t="shared" si="202"/>
        <v>14</v>
      </c>
      <c r="K1609" s="2">
        <f t="shared" si="203"/>
        <v>2</v>
      </c>
      <c r="L1609" s="2">
        <f t="shared" si="204"/>
        <v>12</v>
      </c>
      <c r="M1609" s="3">
        <f t="shared" si="205"/>
        <v>188.55999800000001</v>
      </c>
      <c r="N1609" s="1">
        <f t="shared" ca="1" si="206"/>
        <v>188.55999800000001</v>
      </c>
      <c r="O1609" s="5">
        <f t="shared" si="207"/>
        <v>-3.7706836420310141E-2</v>
      </c>
    </row>
    <row r="1610" spans="1:15" s="2" customFormat="1" x14ac:dyDescent="0.5">
      <c r="A1610" s="6">
        <v>42689</v>
      </c>
      <c r="B1610" s="1">
        <v>182.779999</v>
      </c>
      <c r="C1610" s="1">
        <v>186.429993</v>
      </c>
      <c r="D1610" s="1">
        <v>182.050003</v>
      </c>
      <c r="E1610" s="1">
        <v>183.770004</v>
      </c>
      <c r="F1610" s="1">
        <v>183.770004</v>
      </c>
      <c r="G1610" s="2">
        <v>3902000</v>
      </c>
      <c r="H1610" s="2">
        <f t="shared" si="200"/>
        <v>2016</v>
      </c>
      <c r="I1610" s="2">
        <f t="shared" si="201"/>
        <v>11</v>
      </c>
      <c r="J1610" s="2">
        <f t="shared" si="202"/>
        <v>15</v>
      </c>
      <c r="K1610" s="2">
        <f t="shared" si="203"/>
        <v>3</v>
      </c>
      <c r="L1610" s="2">
        <f t="shared" si="204"/>
        <v>12</v>
      </c>
      <c r="M1610" s="3">
        <f t="shared" si="205"/>
        <v>181.449997</v>
      </c>
      <c r="N1610" s="1">
        <f t="shared" ca="1" si="206"/>
        <v>181.449997</v>
      </c>
      <c r="O1610" s="5">
        <f t="shared" si="207"/>
        <v>1.2785930219662678E-2</v>
      </c>
    </row>
    <row r="1611" spans="1:15" s="2" customFormat="1" x14ac:dyDescent="0.5">
      <c r="A1611" s="6">
        <v>42690</v>
      </c>
      <c r="B1611" s="1">
        <v>182.64999399999999</v>
      </c>
      <c r="C1611" s="1">
        <v>184.729996</v>
      </c>
      <c r="D1611" s="1">
        <v>181.21000699999999</v>
      </c>
      <c r="E1611" s="1">
        <v>183.929993</v>
      </c>
      <c r="F1611" s="1">
        <v>183.929993</v>
      </c>
      <c r="G1611" s="2">
        <v>3430400</v>
      </c>
      <c r="H1611" s="2">
        <f t="shared" si="200"/>
        <v>2016</v>
      </c>
      <c r="I1611" s="2">
        <f t="shared" si="201"/>
        <v>11</v>
      </c>
      <c r="J1611" s="2">
        <f t="shared" si="202"/>
        <v>16</v>
      </c>
      <c r="K1611" s="2">
        <f t="shared" si="203"/>
        <v>4</v>
      </c>
      <c r="L1611" s="2">
        <f t="shared" si="204"/>
        <v>12</v>
      </c>
      <c r="M1611" s="3">
        <f t="shared" si="205"/>
        <v>183.770004</v>
      </c>
      <c r="N1611" s="1">
        <f t="shared" ca="1" si="206"/>
        <v>183.770004</v>
      </c>
      <c r="O1611" s="5">
        <f t="shared" si="207"/>
        <v>8.7059365792896415E-4</v>
      </c>
    </row>
    <row r="1612" spans="1:15" s="2" customFormat="1" x14ac:dyDescent="0.5">
      <c r="A1612" s="6">
        <v>42691</v>
      </c>
      <c r="B1612" s="1">
        <v>183.490005</v>
      </c>
      <c r="C1612" s="1">
        <v>189.490005</v>
      </c>
      <c r="D1612" s="1">
        <v>182.11000100000001</v>
      </c>
      <c r="E1612" s="1">
        <v>188.66000399999999</v>
      </c>
      <c r="F1612" s="1">
        <v>188.66000399999999</v>
      </c>
      <c r="G1612" s="2">
        <v>4887100</v>
      </c>
      <c r="H1612" s="2">
        <f t="shared" si="200"/>
        <v>2016</v>
      </c>
      <c r="I1612" s="2">
        <f t="shared" si="201"/>
        <v>11</v>
      </c>
      <c r="J1612" s="2">
        <f t="shared" si="202"/>
        <v>17</v>
      </c>
      <c r="K1612" s="2">
        <f t="shared" si="203"/>
        <v>5</v>
      </c>
      <c r="L1612" s="2">
        <f t="shared" si="204"/>
        <v>12</v>
      </c>
      <c r="M1612" s="3">
        <f t="shared" si="205"/>
        <v>183.929993</v>
      </c>
      <c r="N1612" s="1">
        <f t="shared" ca="1" si="206"/>
        <v>183.929993</v>
      </c>
      <c r="O1612" s="5">
        <f t="shared" si="207"/>
        <v>2.5716365900149807E-2</v>
      </c>
    </row>
    <row r="1613" spans="1:15" s="2" customFormat="1" x14ac:dyDescent="0.5">
      <c r="A1613" s="6">
        <v>42692</v>
      </c>
      <c r="B1613" s="1">
        <v>190.64999399999999</v>
      </c>
      <c r="C1613" s="1">
        <v>193</v>
      </c>
      <c r="D1613" s="1">
        <v>185</v>
      </c>
      <c r="E1613" s="1">
        <v>185.020004</v>
      </c>
      <c r="F1613" s="1">
        <v>185.020004</v>
      </c>
      <c r="G1613" s="2">
        <v>5210300</v>
      </c>
      <c r="H1613" s="2">
        <f t="shared" si="200"/>
        <v>2016</v>
      </c>
      <c r="I1613" s="2">
        <f t="shared" si="201"/>
        <v>11</v>
      </c>
      <c r="J1613" s="2">
        <f t="shared" si="202"/>
        <v>18</v>
      </c>
      <c r="K1613" s="2">
        <f t="shared" si="203"/>
        <v>6</v>
      </c>
      <c r="L1613" s="2">
        <f t="shared" si="204"/>
        <v>12</v>
      </c>
      <c r="M1613" s="3">
        <f t="shared" si="205"/>
        <v>188.66000399999999</v>
      </c>
      <c r="N1613" s="1">
        <f t="shared" ca="1" si="206"/>
        <v>188.66000399999999</v>
      </c>
      <c r="O1613" s="5">
        <f t="shared" si="207"/>
        <v>-1.9293967575660487E-2</v>
      </c>
    </row>
    <row r="1614" spans="1:15" s="2" customFormat="1" x14ac:dyDescent="0.5">
      <c r="A1614" s="6">
        <v>42695</v>
      </c>
      <c r="B1614" s="1">
        <v>185.03999300000001</v>
      </c>
      <c r="C1614" s="1">
        <v>188.88999899999999</v>
      </c>
      <c r="D1614" s="1">
        <v>184.41000399999999</v>
      </c>
      <c r="E1614" s="1">
        <v>184.520004</v>
      </c>
      <c r="F1614" s="1">
        <v>184.520004</v>
      </c>
      <c r="G1614" s="2">
        <v>4361000</v>
      </c>
      <c r="H1614" s="2">
        <f t="shared" si="200"/>
        <v>2016</v>
      </c>
      <c r="I1614" s="2">
        <f t="shared" si="201"/>
        <v>11</v>
      </c>
      <c r="J1614" s="2">
        <f t="shared" si="202"/>
        <v>21</v>
      </c>
      <c r="K1614" s="2">
        <f t="shared" si="203"/>
        <v>2</v>
      </c>
      <c r="L1614" s="2">
        <f t="shared" si="204"/>
        <v>12</v>
      </c>
      <c r="M1614" s="3">
        <f t="shared" si="205"/>
        <v>185.020004</v>
      </c>
      <c r="N1614" s="1">
        <f t="shared" ca="1" si="206"/>
        <v>185.020004</v>
      </c>
      <c r="O1614" s="5">
        <f t="shared" si="207"/>
        <v>-2.7024104917866554E-3</v>
      </c>
    </row>
    <row r="1615" spans="1:15" s="2" customFormat="1" x14ac:dyDescent="0.5">
      <c r="A1615" s="6">
        <v>42696</v>
      </c>
      <c r="B1615" s="1">
        <v>185.83999600000001</v>
      </c>
      <c r="C1615" s="1">
        <v>191.470001</v>
      </c>
      <c r="D1615" s="1">
        <v>183.71000699999999</v>
      </c>
      <c r="E1615" s="1">
        <v>191.16999799999999</v>
      </c>
      <c r="F1615" s="1">
        <v>191.16999799999999</v>
      </c>
      <c r="G1615" s="2">
        <v>5603400</v>
      </c>
      <c r="H1615" s="2">
        <f t="shared" si="200"/>
        <v>2016</v>
      </c>
      <c r="I1615" s="2">
        <f t="shared" si="201"/>
        <v>11</v>
      </c>
      <c r="J1615" s="2">
        <f t="shared" si="202"/>
        <v>22</v>
      </c>
      <c r="K1615" s="2">
        <f t="shared" si="203"/>
        <v>3</v>
      </c>
      <c r="L1615" s="2">
        <f t="shared" si="204"/>
        <v>12</v>
      </c>
      <c r="M1615" s="3">
        <f t="shared" si="205"/>
        <v>184.520004</v>
      </c>
      <c r="N1615" s="1">
        <f t="shared" ca="1" si="206"/>
        <v>184.520004</v>
      </c>
      <c r="O1615" s="5">
        <f t="shared" si="207"/>
        <v>3.60394204196961E-2</v>
      </c>
    </row>
    <row r="1616" spans="1:15" s="2" customFormat="1" x14ac:dyDescent="0.5">
      <c r="A1616" s="6">
        <v>42697</v>
      </c>
      <c r="B1616" s="1">
        <v>190.61000100000001</v>
      </c>
      <c r="C1616" s="1">
        <v>195.63999899999999</v>
      </c>
      <c r="D1616" s="1">
        <v>189</v>
      </c>
      <c r="E1616" s="1">
        <v>193.13999899999999</v>
      </c>
      <c r="F1616" s="1">
        <v>193.13999899999999</v>
      </c>
      <c r="G1616" s="2">
        <v>4885300</v>
      </c>
      <c r="H1616" s="2">
        <f t="shared" si="200"/>
        <v>2016</v>
      </c>
      <c r="I1616" s="2">
        <f t="shared" si="201"/>
        <v>11</v>
      </c>
      <c r="J1616" s="2">
        <f t="shared" si="202"/>
        <v>23</v>
      </c>
      <c r="K1616" s="2">
        <f t="shared" si="203"/>
        <v>4</v>
      </c>
      <c r="L1616" s="2">
        <f t="shared" si="204"/>
        <v>12</v>
      </c>
      <c r="M1616" s="3">
        <f t="shared" si="205"/>
        <v>191.16999799999999</v>
      </c>
      <c r="N1616" s="1">
        <f t="shared" ca="1" si="206"/>
        <v>191.16999799999999</v>
      </c>
      <c r="O1616" s="5">
        <f t="shared" si="207"/>
        <v>1.0304969506773842E-2</v>
      </c>
    </row>
    <row r="1617" spans="1:15" s="2" customFormat="1" x14ac:dyDescent="0.5">
      <c r="A1617" s="6">
        <v>42699</v>
      </c>
      <c r="B1617" s="1">
        <v>193.63999899999999</v>
      </c>
      <c r="C1617" s="1">
        <v>197.240005</v>
      </c>
      <c r="D1617" s="1">
        <v>193.63999899999999</v>
      </c>
      <c r="E1617" s="1">
        <v>196.64999399999999</v>
      </c>
      <c r="F1617" s="1">
        <v>196.64999399999999</v>
      </c>
      <c r="G1617" s="2">
        <v>2366100</v>
      </c>
      <c r="H1617" s="2">
        <f t="shared" si="200"/>
        <v>2016</v>
      </c>
      <c r="I1617" s="2">
        <f t="shared" si="201"/>
        <v>11</v>
      </c>
      <c r="J1617" s="2">
        <f t="shared" si="202"/>
        <v>25</v>
      </c>
      <c r="K1617" s="2">
        <f t="shared" si="203"/>
        <v>6</v>
      </c>
      <c r="L1617" s="2">
        <f t="shared" si="204"/>
        <v>12</v>
      </c>
      <c r="M1617" s="3">
        <f t="shared" si="205"/>
        <v>193.13999899999999</v>
      </c>
      <c r="N1617" s="1">
        <f t="shared" ca="1" si="206"/>
        <v>193.13999899999999</v>
      </c>
      <c r="O1617" s="5">
        <f t="shared" si="207"/>
        <v>1.8173319965689716E-2</v>
      </c>
    </row>
    <row r="1618" spans="1:15" s="2" customFormat="1" x14ac:dyDescent="0.5">
      <c r="A1618" s="6">
        <v>42702</v>
      </c>
      <c r="B1618" s="1">
        <v>195.479996</v>
      </c>
      <c r="C1618" s="1">
        <v>199.35000600000001</v>
      </c>
      <c r="D1618" s="1">
        <v>194.550003</v>
      </c>
      <c r="E1618" s="1">
        <v>196.11999499999999</v>
      </c>
      <c r="F1618" s="1">
        <v>196.11999499999999</v>
      </c>
      <c r="G1618" s="2">
        <v>4529200</v>
      </c>
      <c r="H1618" s="2">
        <f t="shared" si="200"/>
        <v>2016</v>
      </c>
      <c r="I1618" s="2">
        <f t="shared" si="201"/>
        <v>11</v>
      </c>
      <c r="J1618" s="2">
        <f t="shared" si="202"/>
        <v>28</v>
      </c>
      <c r="K1618" s="2">
        <f t="shared" si="203"/>
        <v>2</v>
      </c>
      <c r="L1618" s="2">
        <f t="shared" si="204"/>
        <v>12</v>
      </c>
      <c r="M1618" s="3">
        <f t="shared" si="205"/>
        <v>196.64999399999999</v>
      </c>
      <c r="N1618" s="1">
        <f t="shared" ca="1" si="206"/>
        <v>196.64999399999999</v>
      </c>
      <c r="O1618" s="5">
        <f t="shared" si="207"/>
        <v>-2.6951386532968469E-3</v>
      </c>
    </row>
    <row r="1619" spans="1:15" s="2" customFormat="1" x14ac:dyDescent="0.5">
      <c r="A1619" s="6">
        <v>42703</v>
      </c>
      <c r="B1619" s="1">
        <v>195.55999800000001</v>
      </c>
      <c r="C1619" s="1">
        <v>196.729996</v>
      </c>
      <c r="D1619" s="1">
        <v>189.5</v>
      </c>
      <c r="E1619" s="1">
        <v>189.570007</v>
      </c>
      <c r="F1619" s="1">
        <v>189.570007</v>
      </c>
      <c r="G1619" s="2">
        <v>4439300</v>
      </c>
      <c r="H1619" s="2">
        <f t="shared" si="200"/>
        <v>2016</v>
      </c>
      <c r="I1619" s="2">
        <f t="shared" si="201"/>
        <v>11</v>
      </c>
      <c r="J1619" s="2">
        <f t="shared" si="202"/>
        <v>29</v>
      </c>
      <c r="K1619" s="2">
        <f t="shared" si="203"/>
        <v>3</v>
      </c>
      <c r="L1619" s="2">
        <f t="shared" si="204"/>
        <v>12</v>
      </c>
      <c r="M1619" s="3">
        <f t="shared" si="205"/>
        <v>196.11999499999999</v>
      </c>
      <c r="N1619" s="1">
        <f t="shared" ca="1" si="206"/>
        <v>196.11999499999999</v>
      </c>
      <c r="O1619" s="5">
        <f t="shared" si="207"/>
        <v>-3.3397859305472566E-2</v>
      </c>
    </row>
    <row r="1620" spans="1:15" s="2" customFormat="1" x14ac:dyDescent="0.5">
      <c r="A1620" s="6">
        <v>42704</v>
      </c>
      <c r="B1620" s="1">
        <v>191</v>
      </c>
      <c r="C1620" s="1">
        <v>191.88999899999999</v>
      </c>
      <c r="D1620" s="1">
        <v>187.5</v>
      </c>
      <c r="E1620" s="1">
        <v>189.39999399999999</v>
      </c>
      <c r="F1620" s="1">
        <v>189.39999399999999</v>
      </c>
      <c r="G1620" s="2">
        <v>3547100</v>
      </c>
      <c r="H1620" s="2">
        <f t="shared" si="200"/>
        <v>2016</v>
      </c>
      <c r="I1620" s="2">
        <f t="shared" si="201"/>
        <v>11</v>
      </c>
      <c r="J1620" s="2">
        <f t="shared" si="202"/>
        <v>30</v>
      </c>
      <c r="K1620" s="2">
        <f t="shared" si="203"/>
        <v>4</v>
      </c>
      <c r="L1620" s="2">
        <f t="shared" si="204"/>
        <v>12</v>
      </c>
      <c r="M1620" s="3">
        <f t="shared" si="205"/>
        <v>189.570007</v>
      </c>
      <c r="N1620" s="1">
        <f t="shared" ca="1" si="206"/>
        <v>189.570007</v>
      </c>
      <c r="O1620" s="5">
        <f t="shared" si="207"/>
        <v>-8.9683490912151331E-4</v>
      </c>
    </row>
    <row r="1621" spans="1:15" s="2" customFormat="1" x14ac:dyDescent="0.5">
      <c r="A1621" s="6">
        <v>42705</v>
      </c>
      <c r="B1621" s="1">
        <v>188.25</v>
      </c>
      <c r="C1621" s="1">
        <v>188.529999</v>
      </c>
      <c r="D1621" s="1">
        <v>181</v>
      </c>
      <c r="E1621" s="1">
        <v>181.88000500000001</v>
      </c>
      <c r="F1621" s="1">
        <v>181.88000500000001</v>
      </c>
      <c r="G1621" s="2">
        <v>5126400</v>
      </c>
      <c r="H1621" s="2">
        <f t="shared" si="200"/>
        <v>2016</v>
      </c>
      <c r="I1621" s="2">
        <f t="shared" si="201"/>
        <v>12</v>
      </c>
      <c r="J1621" s="2">
        <f t="shared" si="202"/>
        <v>1</v>
      </c>
      <c r="K1621" s="2">
        <f t="shared" si="203"/>
        <v>5</v>
      </c>
      <c r="L1621" s="2">
        <f t="shared" si="204"/>
        <v>13</v>
      </c>
      <c r="M1621" s="3">
        <f t="shared" si="205"/>
        <v>189.39999399999999</v>
      </c>
      <c r="N1621" s="1">
        <f t="shared" ca="1" si="206"/>
        <v>189.39999399999999</v>
      </c>
      <c r="O1621" s="5">
        <f t="shared" si="207"/>
        <v>-3.9704272641106764E-2</v>
      </c>
    </row>
    <row r="1622" spans="1:15" s="2" customFormat="1" x14ac:dyDescent="0.5">
      <c r="A1622" s="6">
        <v>42706</v>
      </c>
      <c r="B1622" s="1">
        <v>182.88000500000001</v>
      </c>
      <c r="C1622" s="1">
        <v>184.88000500000001</v>
      </c>
      <c r="D1622" s="1">
        <v>180</v>
      </c>
      <c r="E1622" s="1">
        <v>181.470001</v>
      </c>
      <c r="F1622" s="1">
        <v>181.470001</v>
      </c>
      <c r="G1622" s="2">
        <v>4042300</v>
      </c>
      <c r="H1622" s="2">
        <f t="shared" si="200"/>
        <v>2016</v>
      </c>
      <c r="I1622" s="2">
        <f t="shared" si="201"/>
        <v>12</v>
      </c>
      <c r="J1622" s="2">
        <f t="shared" si="202"/>
        <v>2</v>
      </c>
      <c r="K1622" s="2">
        <f t="shared" si="203"/>
        <v>6</v>
      </c>
      <c r="L1622" s="2">
        <f t="shared" si="204"/>
        <v>13</v>
      </c>
      <c r="M1622" s="3">
        <f t="shared" si="205"/>
        <v>181.88000500000001</v>
      </c>
      <c r="N1622" s="1">
        <f t="shared" ca="1" si="206"/>
        <v>181.88000500000001</v>
      </c>
      <c r="O1622" s="5">
        <f t="shared" si="207"/>
        <v>-2.2542554911411106E-3</v>
      </c>
    </row>
    <row r="1623" spans="1:15" s="2" customFormat="1" x14ac:dyDescent="0.5">
      <c r="A1623" s="6">
        <v>42709</v>
      </c>
      <c r="B1623" s="1">
        <v>182.509995</v>
      </c>
      <c r="C1623" s="1">
        <v>188.88999899999999</v>
      </c>
      <c r="D1623" s="1">
        <v>182.509995</v>
      </c>
      <c r="E1623" s="1">
        <v>186.800003</v>
      </c>
      <c r="F1623" s="1">
        <v>186.800003</v>
      </c>
      <c r="G1623" s="2">
        <v>4072200</v>
      </c>
      <c r="H1623" s="2">
        <f t="shared" si="200"/>
        <v>2016</v>
      </c>
      <c r="I1623" s="2">
        <f t="shared" si="201"/>
        <v>12</v>
      </c>
      <c r="J1623" s="2">
        <f t="shared" si="202"/>
        <v>5</v>
      </c>
      <c r="K1623" s="2">
        <f t="shared" si="203"/>
        <v>2</v>
      </c>
      <c r="L1623" s="2">
        <f t="shared" si="204"/>
        <v>13</v>
      </c>
      <c r="M1623" s="3">
        <f t="shared" si="205"/>
        <v>181.470001</v>
      </c>
      <c r="N1623" s="1">
        <f t="shared" ca="1" si="206"/>
        <v>181.470001</v>
      </c>
      <c r="O1623" s="5">
        <f t="shared" si="207"/>
        <v>2.9371256795220901E-2</v>
      </c>
    </row>
    <row r="1624" spans="1:15" s="2" customFormat="1" x14ac:dyDescent="0.5">
      <c r="A1624" s="6">
        <v>42710</v>
      </c>
      <c r="B1624" s="1">
        <v>185.520004</v>
      </c>
      <c r="C1624" s="1">
        <v>186.58000200000001</v>
      </c>
      <c r="D1624" s="1">
        <v>182.679993</v>
      </c>
      <c r="E1624" s="1">
        <v>185.85000600000001</v>
      </c>
      <c r="F1624" s="1">
        <v>185.85000600000001</v>
      </c>
      <c r="G1624" s="2">
        <v>3391600</v>
      </c>
      <c r="H1624" s="2">
        <f t="shared" si="200"/>
        <v>2016</v>
      </c>
      <c r="I1624" s="2">
        <f t="shared" si="201"/>
        <v>12</v>
      </c>
      <c r="J1624" s="2">
        <f t="shared" si="202"/>
        <v>6</v>
      </c>
      <c r="K1624" s="2">
        <f t="shared" si="203"/>
        <v>3</v>
      </c>
      <c r="L1624" s="2">
        <f t="shared" si="204"/>
        <v>13</v>
      </c>
      <c r="M1624" s="3">
        <f t="shared" si="205"/>
        <v>186.800003</v>
      </c>
      <c r="N1624" s="1">
        <f t="shared" ca="1" si="206"/>
        <v>186.800003</v>
      </c>
      <c r="O1624" s="5">
        <f t="shared" si="207"/>
        <v>-5.0856369632927834E-3</v>
      </c>
    </row>
    <row r="1625" spans="1:15" s="2" customFormat="1" x14ac:dyDescent="0.5">
      <c r="A1625" s="6">
        <v>42711</v>
      </c>
      <c r="B1625" s="1">
        <v>186.14999399999999</v>
      </c>
      <c r="C1625" s="1">
        <v>193.39999399999999</v>
      </c>
      <c r="D1625" s="1">
        <v>185</v>
      </c>
      <c r="E1625" s="1">
        <v>193.14999399999999</v>
      </c>
      <c r="F1625" s="1">
        <v>193.14999399999999</v>
      </c>
      <c r="G1625" s="2">
        <v>5461900</v>
      </c>
      <c r="H1625" s="2">
        <f t="shared" si="200"/>
        <v>2016</v>
      </c>
      <c r="I1625" s="2">
        <f t="shared" si="201"/>
        <v>12</v>
      </c>
      <c r="J1625" s="2">
        <f t="shared" si="202"/>
        <v>7</v>
      </c>
      <c r="K1625" s="2">
        <f t="shared" si="203"/>
        <v>4</v>
      </c>
      <c r="L1625" s="2">
        <f t="shared" si="204"/>
        <v>13</v>
      </c>
      <c r="M1625" s="3">
        <f t="shared" si="205"/>
        <v>185.85000600000001</v>
      </c>
      <c r="N1625" s="1">
        <f t="shared" ca="1" si="206"/>
        <v>185.85000600000001</v>
      </c>
      <c r="O1625" s="5">
        <f t="shared" si="207"/>
        <v>3.9278922595245902E-2</v>
      </c>
    </row>
    <row r="1626" spans="1:15" s="2" customFormat="1" x14ac:dyDescent="0.5">
      <c r="A1626" s="6">
        <v>42712</v>
      </c>
      <c r="B1626" s="1">
        <v>192.050003</v>
      </c>
      <c r="C1626" s="1">
        <v>192.5</v>
      </c>
      <c r="D1626" s="1">
        <v>189.53999300000001</v>
      </c>
      <c r="E1626" s="1">
        <v>192.28999300000001</v>
      </c>
      <c r="F1626" s="1">
        <v>192.28999300000001</v>
      </c>
      <c r="G1626" s="2">
        <v>3194100</v>
      </c>
      <c r="H1626" s="2">
        <f t="shared" si="200"/>
        <v>2016</v>
      </c>
      <c r="I1626" s="2">
        <f t="shared" si="201"/>
        <v>12</v>
      </c>
      <c r="J1626" s="2">
        <f t="shared" si="202"/>
        <v>8</v>
      </c>
      <c r="K1626" s="2">
        <f t="shared" si="203"/>
        <v>5</v>
      </c>
      <c r="L1626" s="2">
        <f t="shared" si="204"/>
        <v>13</v>
      </c>
      <c r="M1626" s="3">
        <f t="shared" si="205"/>
        <v>193.14999399999999</v>
      </c>
      <c r="N1626" s="1">
        <f t="shared" ca="1" si="206"/>
        <v>193.14999399999999</v>
      </c>
      <c r="O1626" s="5">
        <f t="shared" si="207"/>
        <v>-4.4525033741392717E-3</v>
      </c>
    </row>
    <row r="1627" spans="1:15" s="2" customFormat="1" x14ac:dyDescent="0.5">
      <c r="A1627" s="6">
        <v>42713</v>
      </c>
      <c r="B1627" s="1">
        <v>190.86999499999999</v>
      </c>
      <c r="C1627" s="1">
        <v>193.83999600000001</v>
      </c>
      <c r="D1627" s="1">
        <v>190.80999800000001</v>
      </c>
      <c r="E1627" s="1">
        <v>192.179993</v>
      </c>
      <c r="F1627" s="1">
        <v>192.179993</v>
      </c>
      <c r="G1627" s="2">
        <v>2722500</v>
      </c>
      <c r="H1627" s="2">
        <f t="shared" si="200"/>
        <v>2016</v>
      </c>
      <c r="I1627" s="2">
        <f t="shared" si="201"/>
        <v>12</v>
      </c>
      <c r="J1627" s="2">
        <f t="shared" si="202"/>
        <v>9</v>
      </c>
      <c r="K1627" s="2">
        <f t="shared" si="203"/>
        <v>6</v>
      </c>
      <c r="L1627" s="2">
        <f t="shared" si="204"/>
        <v>13</v>
      </c>
      <c r="M1627" s="3">
        <f t="shared" si="205"/>
        <v>192.28999300000001</v>
      </c>
      <c r="N1627" s="1">
        <f t="shared" ca="1" si="206"/>
        <v>192.28999300000001</v>
      </c>
      <c r="O1627" s="5">
        <f t="shared" si="207"/>
        <v>-5.7205264966653235E-4</v>
      </c>
    </row>
    <row r="1628" spans="1:15" s="2" customFormat="1" x14ac:dyDescent="0.5">
      <c r="A1628" s="6">
        <v>42716</v>
      </c>
      <c r="B1628" s="1">
        <v>192.800003</v>
      </c>
      <c r="C1628" s="1">
        <v>194.41999799999999</v>
      </c>
      <c r="D1628" s="1">
        <v>191.179993</v>
      </c>
      <c r="E1628" s="1">
        <v>192.429993</v>
      </c>
      <c r="F1628" s="1">
        <v>192.429993</v>
      </c>
      <c r="G1628" s="2">
        <v>2438900</v>
      </c>
      <c r="H1628" s="2">
        <f t="shared" si="200"/>
        <v>2016</v>
      </c>
      <c r="I1628" s="2">
        <f t="shared" si="201"/>
        <v>12</v>
      </c>
      <c r="J1628" s="2">
        <f t="shared" si="202"/>
        <v>12</v>
      </c>
      <c r="K1628" s="2">
        <f t="shared" si="203"/>
        <v>2</v>
      </c>
      <c r="L1628" s="2">
        <f t="shared" si="204"/>
        <v>13</v>
      </c>
      <c r="M1628" s="3">
        <f t="shared" si="205"/>
        <v>192.179993</v>
      </c>
      <c r="N1628" s="1">
        <f t="shared" ca="1" si="206"/>
        <v>192.179993</v>
      </c>
      <c r="O1628" s="5">
        <f t="shared" si="207"/>
        <v>1.3008638209286438E-3</v>
      </c>
    </row>
    <row r="1629" spans="1:15" s="2" customFormat="1" x14ac:dyDescent="0.5">
      <c r="A1629" s="6">
        <v>42717</v>
      </c>
      <c r="B1629" s="1">
        <v>193.179993</v>
      </c>
      <c r="C1629" s="1">
        <v>201.279999</v>
      </c>
      <c r="D1629" s="1">
        <v>193</v>
      </c>
      <c r="E1629" s="1">
        <v>198.14999399999999</v>
      </c>
      <c r="F1629" s="1">
        <v>198.14999399999999</v>
      </c>
      <c r="G1629" s="2">
        <v>6823900</v>
      </c>
      <c r="H1629" s="2">
        <f t="shared" si="200"/>
        <v>2016</v>
      </c>
      <c r="I1629" s="2">
        <f t="shared" si="201"/>
        <v>12</v>
      </c>
      <c r="J1629" s="2">
        <f t="shared" si="202"/>
        <v>13</v>
      </c>
      <c r="K1629" s="2">
        <f t="shared" si="203"/>
        <v>3</v>
      </c>
      <c r="L1629" s="2">
        <f t="shared" si="204"/>
        <v>13</v>
      </c>
      <c r="M1629" s="3">
        <f t="shared" si="205"/>
        <v>192.429993</v>
      </c>
      <c r="N1629" s="1">
        <f t="shared" ca="1" si="206"/>
        <v>192.429993</v>
      </c>
      <c r="O1629" s="5">
        <f t="shared" si="207"/>
        <v>2.9725101117682895E-2</v>
      </c>
    </row>
    <row r="1630" spans="1:15" s="2" customFormat="1" x14ac:dyDescent="0.5">
      <c r="A1630" s="6">
        <v>42718</v>
      </c>
      <c r="B1630" s="1">
        <v>198.740005</v>
      </c>
      <c r="C1630" s="1">
        <v>203</v>
      </c>
      <c r="D1630" s="1">
        <v>196.759995</v>
      </c>
      <c r="E1630" s="1">
        <v>198.69000199999999</v>
      </c>
      <c r="F1630" s="1">
        <v>198.69000199999999</v>
      </c>
      <c r="G1630" s="2">
        <v>4150900</v>
      </c>
      <c r="H1630" s="2">
        <f t="shared" si="200"/>
        <v>2016</v>
      </c>
      <c r="I1630" s="2">
        <f t="shared" si="201"/>
        <v>12</v>
      </c>
      <c r="J1630" s="2">
        <f t="shared" si="202"/>
        <v>14</v>
      </c>
      <c r="K1630" s="2">
        <f t="shared" si="203"/>
        <v>4</v>
      </c>
      <c r="L1630" s="2">
        <f t="shared" si="204"/>
        <v>13</v>
      </c>
      <c r="M1630" s="3">
        <f t="shared" si="205"/>
        <v>198.14999399999999</v>
      </c>
      <c r="N1630" s="1">
        <f t="shared" ca="1" si="206"/>
        <v>198.14999399999999</v>
      </c>
      <c r="O1630" s="5">
        <f t="shared" si="207"/>
        <v>2.7252486315998414E-3</v>
      </c>
    </row>
    <row r="1631" spans="1:15" s="2" customFormat="1" x14ac:dyDescent="0.5">
      <c r="A1631" s="6">
        <v>42719</v>
      </c>
      <c r="B1631" s="1">
        <v>198.41000399999999</v>
      </c>
      <c r="C1631" s="1">
        <v>200.740005</v>
      </c>
      <c r="D1631" s="1">
        <v>197.38999899999999</v>
      </c>
      <c r="E1631" s="1">
        <v>197.58000200000001</v>
      </c>
      <c r="F1631" s="1">
        <v>197.58000200000001</v>
      </c>
      <c r="G1631" s="2">
        <v>3219600</v>
      </c>
      <c r="H1631" s="2">
        <f t="shared" si="200"/>
        <v>2016</v>
      </c>
      <c r="I1631" s="2">
        <f t="shared" si="201"/>
        <v>12</v>
      </c>
      <c r="J1631" s="2">
        <f t="shared" si="202"/>
        <v>15</v>
      </c>
      <c r="K1631" s="2">
        <f t="shared" si="203"/>
        <v>5</v>
      </c>
      <c r="L1631" s="2">
        <f t="shared" si="204"/>
        <v>13</v>
      </c>
      <c r="M1631" s="3">
        <f t="shared" si="205"/>
        <v>198.69000199999999</v>
      </c>
      <c r="N1631" s="1">
        <f t="shared" ca="1" si="206"/>
        <v>198.69000199999999</v>
      </c>
      <c r="O1631" s="5">
        <f t="shared" si="207"/>
        <v>-5.5865921225366488E-3</v>
      </c>
    </row>
    <row r="1632" spans="1:15" s="2" customFormat="1" x14ac:dyDescent="0.5">
      <c r="A1632" s="6">
        <v>42720</v>
      </c>
      <c r="B1632" s="1">
        <v>198.08000200000001</v>
      </c>
      <c r="C1632" s="1">
        <v>202.58999600000001</v>
      </c>
      <c r="D1632" s="1">
        <v>197.60000600000001</v>
      </c>
      <c r="E1632" s="1">
        <v>202.490005</v>
      </c>
      <c r="F1632" s="1">
        <v>202.490005</v>
      </c>
      <c r="G1632" s="2">
        <v>3779800</v>
      </c>
      <c r="H1632" s="2">
        <f t="shared" si="200"/>
        <v>2016</v>
      </c>
      <c r="I1632" s="2">
        <f t="shared" si="201"/>
        <v>12</v>
      </c>
      <c r="J1632" s="2">
        <f t="shared" si="202"/>
        <v>16</v>
      </c>
      <c r="K1632" s="2">
        <f t="shared" si="203"/>
        <v>6</v>
      </c>
      <c r="L1632" s="2">
        <f t="shared" si="204"/>
        <v>13</v>
      </c>
      <c r="M1632" s="3">
        <f t="shared" si="205"/>
        <v>197.58000200000001</v>
      </c>
      <c r="N1632" s="1">
        <f t="shared" ca="1" si="206"/>
        <v>197.58000200000001</v>
      </c>
      <c r="O1632" s="5">
        <f t="shared" si="207"/>
        <v>2.4850708322191384E-2</v>
      </c>
    </row>
    <row r="1633" spans="1:15" s="2" customFormat="1" x14ac:dyDescent="0.5">
      <c r="A1633" s="6">
        <v>42723</v>
      </c>
      <c r="B1633" s="1">
        <v>202.490005</v>
      </c>
      <c r="C1633" s="1">
        <v>204.449997</v>
      </c>
      <c r="D1633" s="1">
        <v>199.83999600000001</v>
      </c>
      <c r="E1633" s="1">
        <v>202.729996</v>
      </c>
      <c r="F1633" s="1">
        <v>202.729996</v>
      </c>
      <c r="G1633" s="2">
        <v>3488100</v>
      </c>
      <c r="H1633" s="2">
        <f t="shared" si="200"/>
        <v>2016</v>
      </c>
      <c r="I1633" s="2">
        <f t="shared" si="201"/>
        <v>12</v>
      </c>
      <c r="J1633" s="2">
        <f t="shared" si="202"/>
        <v>19</v>
      </c>
      <c r="K1633" s="2">
        <f t="shared" si="203"/>
        <v>2</v>
      </c>
      <c r="L1633" s="2">
        <f t="shared" si="204"/>
        <v>13</v>
      </c>
      <c r="M1633" s="3">
        <f t="shared" si="205"/>
        <v>202.490005</v>
      </c>
      <c r="N1633" s="1">
        <f t="shared" ca="1" si="206"/>
        <v>202.490005</v>
      </c>
      <c r="O1633" s="5">
        <f t="shared" si="207"/>
        <v>1.1851992398341782E-3</v>
      </c>
    </row>
    <row r="1634" spans="1:15" s="2" customFormat="1" x14ac:dyDescent="0.5">
      <c r="A1634" s="6">
        <v>42724</v>
      </c>
      <c r="B1634" s="1">
        <v>203.050003</v>
      </c>
      <c r="C1634" s="1">
        <v>209</v>
      </c>
      <c r="D1634" s="1">
        <v>202.5</v>
      </c>
      <c r="E1634" s="1">
        <v>208.78999300000001</v>
      </c>
      <c r="F1634" s="1">
        <v>208.78999300000001</v>
      </c>
      <c r="G1634" s="2">
        <v>4689100</v>
      </c>
      <c r="H1634" s="2">
        <f t="shared" si="200"/>
        <v>2016</v>
      </c>
      <c r="I1634" s="2">
        <f t="shared" si="201"/>
        <v>12</v>
      </c>
      <c r="J1634" s="2">
        <f t="shared" si="202"/>
        <v>20</v>
      </c>
      <c r="K1634" s="2">
        <f t="shared" si="203"/>
        <v>3</v>
      </c>
      <c r="L1634" s="2">
        <f t="shared" si="204"/>
        <v>13</v>
      </c>
      <c r="M1634" s="3">
        <f t="shared" si="205"/>
        <v>202.729996</v>
      </c>
      <c r="N1634" s="1">
        <f t="shared" ca="1" si="206"/>
        <v>202.729996</v>
      </c>
      <c r="O1634" s="5">
        <f t="shared" si="207"/>
        <v>2.9891960339209156E-2</v>
      </c>
    </row>
    <row r="1635" spans="1:15" s="2" customFormat="1" x14ac:dyDescent="0.5">
      <c r="A1635" s="6">
        <v>42725</v>
      </c>
      <c r="B1635" s="1">
        <v>208.449997</v>
      </c>
      <c r="C1635" s="1">
        <v>212.229996</v>
      </c>
      <c r="D1635" s="1">
        <v>207.41000399999999</v>
      </c>
      <c r="E1635" s="1">
        <v>207.699997</v>
      </c>
      <c r="F1635" s="1">
        <v>207.699997</v>
      </c>
      <c r="G1635" s="2">
        <v>5207600</v>
      </c>
      <c r="H1635" s="2">
        <f t="shared" si="200"/>
        <v>2016</v>
      </c>
      <c r="I1635" s="2">
        <f t="shared" si="201"/>
        <v>12</v>
      </c>
      <c r="J1635" s="2">
        <f t="shared" si="202"/>
        <v>21</v>
      </c>
      <c r="K1635" s="2">
        <f t="shared" si="203"/>
        <v>4</v>
      </c>
      <c r="L1635" s="2">
        <f t="shared" si="204"/>
        <v>13</v>
      </c>
      <c r="M1635" s="3">
        <f t="shared" si="205"/>
        <v>208.78999300000001</v>
      </c>
      <c r="N1635" s="1">
        <f t="shared" ca="1" si="206"/>
        <v>208.78999300000001</v>
      </c>
      <c r="O1635" s="5">
        <f t="shared" si="207"/>
        <v>-5.2205375570849588E-3</v>
      </c>
    </row>
    <row r="1636" spans="1:15" s="2" customFormat="1" x14ac:dyDescent="0.5">
      <c r="A1636" s="6">
        <v>42726</v>
      </c>
      <c r="B1636" s="1">
        <v>208.220001</v>
      </c>
      <c r="C1636" s="1">
        <v>209.990005</v>
      </c>
      <c r="D1636" s="1">
        <v>206.5</v>
      </c>
      <c r="E1636" s="1">
        <v>208.449997</v>
      </c>
      <c r="F1636" s="1">
        <v>208.449997</v>
      </c>
      <c r="G1636" s="2">
        <v>3111100</v>
      </c>
      <c r="H1636" s="2">
        <f t="shared" si="200"/>
        <v>2016</v>
      </c>
      <c r="I1636" s="2">
        <f t="shared" si="201"/>
        <v>12</v>
      </c>
      <c r="J1636" s="2">
        <f t="shared" si="202"/>
        <v>22</v>
      </c>
      <c r="K1636" s="2">
        <f t="shared" si="203"/>
        <v>5</v>
      </c>
      <c r="L1636" s="2">
        <f t="shared" si="204"/>
        <v>13</v>
      </c>
      <c r="M1636" s="3">
        <f t="shared" si="205"/>
        <v>207.699997</v>
      </c>
      <c r="N1636" s="1">
        <f t="shared" ca="1" si="206"/>
        <v>207.699997</v>
      </c>
      <c r="O1636" s="5">
        <f t="shared" si="207"/>
        <v>3.6109774233650249E-3</v>
      </c>
    </row>
    <row r="1637" spans="1:15" s="2" customFormat="1" x14ac:dyDescent="0.5">
      <c r="A1637" s="6">
        <v>42727</v>
      </c>
      <c r="B1637" s="1">
        <v>208</v>
      </c>
      <c r="C1637" s="1">
        <v>213.449997</v>
      </c>
      <c r="D1637" s="1">
        <v>207.71000699999999</v>
      </c>
      <c r="E1637" s="1">
        <v>213.33999600000001</v>
      </c>
      <c r="F1637" s="1">
        <v>213.33999600000001</v>
      </c>
      <c r="G1637" s="2">
        <v>4662900</v>
      </c>
      <c r="H1637" s="2">
        <f t="shared" si="200"/>
        <v>2016</v>
      </c>
      <c r="I1637" s="2">
        <f t="shared" si="201"/>
        <v>12</v>
      </c>
      <c r="J1637" s="2">
        <f t="shared" si="202"/>
        <v>23</v>
      </c>
      <c r="K1637" s="2">
        <f t="shared" si="203"/>
        <v>6</v>
      </c>
      <c r="L1637" s="2">
        <f t="shared" si="204"/>
        <v>13</v>
      </c>
      <c r="M1637" s="3">
        <f t="shared" si="205"/>
        <v>208.449997</v>
      </c>
      <c r="N1637" s="1">
        <f t="shared" ca="1" si="206"/>
        <v>208.449997</v>
      </c>
      <c r="O1637" s="5">
        <f t="shared" si="207"/>
        <v>2.3458858577004582E-2</v>
      </c>
    </row>
    <row r="1638" spans="1:15" s="2" customFormat="1" x14ac:dyDescent="0.5">
      <c r="A1638" s="6">
        <v>42731</v>
      </c>
      <c r="B1638" s="1">
        <v>214.88000500000001</v>
      </c>
      <c r="C1638" s="1">
        <v>222.25</v>
      </c>
      <c r="D1638" s="1">
        <v>214.41999799999999</v>
      </c>
      <c r="E1638" s="1">
        <v>219.529999</v>
      </c>
      <c r="F1638" s="1">
        <v>219.529999</v>
      </c>
      <c r="G1638" s="2">
        <v>5915700</v>
      </c>
      <c r="H1638" s="2">
        <f t="shared" si="200"/>
        <v>2016</v>
      </c>
      <c r="I1638" s="2">
        <f t="shared" si="201"/>
        <v>12</v>
      </c>
      <c r="J1638" s="2">
        <f t="shared" si="202"/>
        <v>27</v>
      </c>
      <c r="K1638" s="2">
        <f t="shared" si="203"/>
        <v>3</v>
      </c>
      <c r="L1638" s="2">
        <f t="shared" si="204"/>
        <v>13</v>
      </c>
      <c r="M1638" s="3">
        <f t="shared" si="205"/>
        <v>213.33999600000001</v>
      </c>
      <c r="N1638" s="1">
        <f t="shared" ca="1" si="206"/>
        <v>213.33999600000001</v>
      </c>
      <c r="O1638" s="5">
        <f t="shared" si="207"/>
        <v>2.9014732896123219E-2</v>
      </c>
    </row>
    <row r="1639" spans="1:15" s="2" customFormat="1" x14ac:dyDescent="0.5">
      <c r="A1639" s="6">
        <v>42732</v>
      </c>
      <c r="B1639" s="1">
        <v>221.529999</v>
      </c>
      <c r="C1639" s="1">
        <v>223.800003</v>
      </c>
      <c r="D1639" s="1">
        <v>217.199997</v>
      </c>
      <c r="E1639" s="1">
        <v>219.740005</v>
      </c>
      <c r="F1639" s="1">
        <v>219.740005</v>
      </c>
      <c r="G1639" s="2">
        <v>3782500</v>
      </c>
      <c r="H1639" s="2">
        <f t="shared" si="200"/>
        <v>2016</v>
      </c>
      <c r="I1639" s="2">
        <f t="shared" si="201"/>
        <v>12</v>
      </c>
      <c r="J1639" s="2">
        <f t="shared" si="202"/>
        <v>28</v>
      </c>
      <c r="K1639" s="2">
        <f t="shared" si="203"/>
        <v>4</v>
      </c>
      <c r="L1639" s="2">
        <f t="shared" si="204"/>
        <v>13</v>
      </c>
      <c r="M1639" s="3">
        <f t="shared" si="205"/>
        <v>219.529999</v>
      </c>
      <c r="N1639" s="1">
        <f t="shared" ca="1" si="206"/>
        <v>219.529999</v>
      </c>
      <c r="O1639" s="5">
        <f t="shared" si="207"/>
        <v>9.5661641213773407E-4</v>
      </c>
    </row>
    <row r="1640" spans="1:15" s="2" customFormat="1" x14ac:dyDescent="0.5">
      <c r="A1640" s="6">
        <v>42733</v>
      </c>
      <c r="B1640" s="1">
        <v>218.55999800000001</v>
      </c>
      <c r="C1640" s="1">
        <v>219.199997</v>
      </c>
      <c r="D1640" s="1">
        <v>214.11999499999999</v>
      </c>
      <c r="E1640" s="1">
        <v>214.679993</v>
      </c>
      <c r="F1640" s="1">
        <v>214.679993</v>
      </c>
      <c r="G1640" s="2">
        <v>4035900</v>
      </c>
      <c r="H1640" s="2">
        <f t="shared" si="200"/>
        <v>2016</v>
      </c>
      <c r="I1640" s="2">
        <f t="shared" si="201"/>
        <v>12</v>
      </c>
      <c r="J1640" s="2">
        <f t="shared" si="202"/>
        <v>29</v>
      </c>
      <c r="K1640" s="2">
        <f t="shared" si="203"/>
        <v>5</v>
      </c>
      <c r="L1640" s="2">
        <f t="shared" si="204"/>
        <v>13</v>
      </c>
      <c r="M1640" s="3">
        <f t="shared" si="205"/>
        <v>219.740005</v>
      </c>
      <c r="N1640" s="1">
        <f t="shared" ca="1" si="206"/>
        <v>219.740005</v>
      </c>
      <c r="O1640" s="5">
        <f t="shared" si="207"/>
        <v>-2.3027268066185713E-2</v>
      </c>
    </row>
    <row r="1641" spans="1:15" s="2" customFormat="1" x14ac:dyDescent="0.5">
      <c r="A1641" s="6">
        <v>42734</v>
      </c>
      <c r="B1641" s="1">
        <v>216.300003</v>
      </c>
      <c r="C1641" s="1">
        <v>217.5</v>
      </c>
      <c r="D1641" s="1">
        <v>211.679993</v>
      </c>
      <c r="E1641" s="1">
        <v>213.69000199999999</v>
      </c>
      <c r="F1641" s="1">
        <v>213.69000199999999</v>
      </c>
      <c r="G1641" s="2">
        <v>4642600</v>
      </c>
      <c r="H1641" s="2">
        <f t="shared" si="200"/>
        <v>2016</v>
      </c>
      <c r="I1641" s="2">
        <f t="shared" si="201"/>
        <v>12</v>
      </c>
      <c r="J1641" s="2">
        <f t="shared" si="202"/>
        <v>30</v>
      </c>
      <c r="K1641" s="2">
        <f t="shared" si="203"/>
        <v>6</v>
      </c>
      <c r="L1641" s="2">
        <f t="shared" si="204"/>
        <v>13</v>
      </c>
      <c r="M1641" s="3">
        <f t="shared" si="205"/>
        <v>214.679993</v>
      </c>
      <c r="N1641" s="1">
        <f t="shared" ca="1" si="206"/>
        <v>214.679993</v>
      </c>
      <c r="O1641" s="5">
        <f t="shared" si="207"/>
        <v>-4.6114730402474491E-3</v>
      </c>
    </row>
    <row r="1642" spans="1:15" s="2" customFormat="1" x14ac:dyDescent="0.5">
      <c r="A1642" s="6">
        <v>42738</v>
      </c>
      <c r="B1642" s="1">
        <v>214.86000100000001</v>
      </c>
      <c r="C1642" s="1">
        <v>220.33000200000001</v>
      </c>
      <c r="D1642" s="1">
        <v>210.96000699999999</v>
      </c>
      <c r="E1642" s="1">
        <v>216.990005</v>
      </c>
      <c r="F1642" s="1">
        <v>216.990005</v>
      </c>
      <c r="G1642" s="2">
        <v>5923300</v>
      </c>
      <c r="H1642" s="2">
        <f t="shared" si="200"/>
        <v>2017</v>
      </c>
      <c r="I1642" s="2">
        <f t="shared" si="201"/>
        <v>1</v>
      </c>
      <c r="J1642" s="2">
        <f t="shared" si="202"/>
        <v>3</v>
      </c>
      <c r="K1642" s="2">
        <f t="shared" si="203"/>
        <v>3</v>
      </c>
      <c r="L1642" s="2">
        <f t="shared" si="204"/>
        <v>2</v>
      </c>
      <c r="M1642" s="3">
        <f t="shared" si="205"/>
        <v>213.69000199999999</v>
      </c>
      <c r="N1642" s="1">
        <f t="shared" ca="1" si="206"/>
        <v>213.69000199999999</v>
      </c>
      <c r="O1642" s="5">
        <f t="shared" si="207"/>
        <v>1.5442945243643091E-2</v>
      </c>
    </row>
    <row r="1643" spans="1:15" s="2" customFormat="1" x14ac:dyDescent="0.5">
      <c r="A1643" s="6">
        <v>42739</v>
      </c>
      <c r="B1643" s="1">
        <v>214.75</v>
      </c>
      <c r="C1643" s="1">
        <v>228</v>
      </c>
      <c r="D1643" s="1">
        <v>214.30999800000001</v>
      </c>
      <c r="E1643" s="1">
        <v>226.990005</v>
      </c>
      <c r="F1643" s="1">
        <v>226.990005</v>
      </c>
      <c r="G1643" s="2">
        <v>11213500</v>
      </c>
      <c r="H1643" s="2">
        <f t="shared" si="200"/>
        <v>2017</v>
      </c>
      <c r="I1643" s="2">
        <f t="shared" si="201"/>
        <v>1</v>
      </c>
      <c r="J1643" s="2">
        <f t="shared" si="202"/>
        <v>4</v>
      </c>
      <c r="K1643" s="2">
        <f t="shared" si="203"/>
        <v>4</v>
      </c>
      <c r="L1643" s="2">
        <f t="shared" si="204"/>
        <v>2</v>
      </c>
      <c r="M1643" s="3">
        <f t="shared" si="205"/>
        <v>216.990005</v>
      </c>
      <c r="N1643" s="1">
        <f t="shared" ca="1" si="206"/>
        <v>216.990005</v>
      </c>
      <c r="O1643" s="5">
        <f t="shared" si="207"/>
        <v>4.6085071982923775E-2</v>
      </c>
    </row>
    <row r="1644" spans="1:15" s="2" customFormat="1" x14ac:dyDescent="0.5">
      <c r="A1644" s="6">
        <v>42740</v>
      </c>
      <c r="B1644" s="1">
        <v>226.41999799999999</v>
      </c>
      <c r="C1644" s="1">
        <v>227.479996</v>
      </c>
      <c r="D1644" s="1">
        <v>221.949997</v>
      </c>
      <c r="E1644" s="1">
        <v>226.75</v>
      </c>
      <c r="F1644" s="1">
        <v>226.75</v>
      </c>
      <c r="G1644" s="2">
        <v>5911700</v>
      </c>
      <c r="H1644" s="2">
        <f t="shared" si="200"/>
        <v>2017</v>
      </c>
      <c r="I1644" s="2">
        <f t="shared" si="201"/>
        <v>1</v>
      </c>
      <c r="J1644" s="2">
        <f t="shared" si="202"/>
        <v>5</v>
      </c>
      <c r="K1644" s="2">
        <f t="shared" si="203"/>
        <v>5</v>
      </c>
      <c r="L1644" s="2">
        <f t="shared" si="204"/>
        <v>2</v>
      </c>
      <c r="M1644" s="3">
        <f t="shared" si="205"/>
        <v>226.990005</v>
      </c>
      <c r="N1644" s="1">
        <f t="shared" ca="1" si="206"/>
        <v>226.990005</v>
      </c>
      <c r="O1644" s="5">
        <f t="shared" si="207"/>
        <v>-1.0573373043452072E-3</v>
      </c>
    </row>
    <row r="1645" spans="1:15" s="2" customFormat="1" x14ac:dyDescent="0.5">
      <c r="A1645" s="6">
        <v>42741</v>
      </c>
      <c r="B1645" s="1">
        <v>226.929993</v>
      </c>
      <c r="C1645" s="1">
        <v>230.30999800000001</v>
      </c>
      <c r="D1645" s="1">
        <v>225.449997</v>
      </c>
      <c r="E1645" s="1">
        <v>229.009995</v>
      </c>
      <c r="F1645" s="1">
        <v>229.009995</v>
      </c>
      <c r="G1645" s="2">
        <v>5527900</v>
      </c>
      <c r="H1645" s="2">
        <f t="shared" si="200"/>
        <v>2017</v>
      </c>
      <c r="I1645" s="2">
        <f t="shared" si="201"/>
        <v>1</v>
      </c>
      <c r="J1645" s="2">
        <f t="shared" si="202"/>
        <v>6</v>
      </c>
      <c r="K1645" s="2">
        <f t="shared" si="203"/>
        <v>6</v>
      </c>
      <c r="L1645" s="2">
        <f t="shared" si="204"/>
        <v>2</v>
      </c>
      <c r="M1645" s="3">
        <f t="shared" si="205"/>
        <v>226.75</v>
      </c>
      <c r="N1645" s="1">
        <f t="shared" ca="1" si="206"/>
        <v>226.75</v>
      </c>
      <c r="O1645" s="5">
        <f t="shared" si="207"/>
        <v>9.9669018743109294E-3</v>
      </c>
    </row>
    <row r="1646" spans="1:15" s="2" customFormat="1" x14ac:dyDescent="0.5">
      <c r="A1646" s="6">
        <v>42744</v>
      </c>
      <c r="B1646" s="1">
        <v>228.970001</v>
      </c>
      <c r="C1646" s="1">
        <v>231.91999799999999</v>
      </c>
      <c r="D1646" s="1">
        <v>228</v>
      </c>
      <c r="E1646" s="1">
        <v>231.279999</v>
      </c>
      <c r="F1646" s="1">
        <v>231.279999</v>
      </c>
      <c r="G1646" s="2">
        <v>3957000</v>
      </c>
      <c r="H1646" s="2">
        <f t="shared" si="200"/>
        <v>2017</v>
      </c>
      <c r="I1646" s="2">
        <f t="shared" si="201"/>
        <v>1</v>
      </c>
      <c r="J1646" s="2">
        <f t="shared" si="202"/>
        <v>9</v>
      </c>
      <c r="K1646" s="2">
        <f t="shared" si="203"/>
        <v>2</v>
      </c>
      <c r="L1646" s="2">
        <f t="shared" si="204"/>
        <v>2</v>
      </c>
      <c r="M1646" s="3">
        <f t="shared" si="205"/>
        <v>229.009995</v>
      </c>
      <c r="N1646" s="1">
        <f t="shared" ca="1" si="206"/>
        <v>229.009995</v>
      </c>
      <c r="O1646" s="5">
        <f t="shared" si="207"/>
        <v>9.9122485898486268E-3</v>
      </c>
    </row>
    <row r="1647" spans="1:15" s="2" customFormat="1" x14ac:dyDescent="0.5">
      <c r="A1647" s="6">
        <v>42745</v>
      </c>
      <c r="B1647" s="1">
        <v>232</v>
      </c>
      <c r="C1647" s="1">
        <v>232</v>
      </c>
      <c r="D1647" s="1">
        <v>226.88999899999999</v>
      </c>
      <c r="E1647" s="1">
        <v>229.86999499999999</v>
      </c>
      <c r="F1647" s="1">
        <v>229.86999499999999</v>
      </c>
      <c r="G1647" s="2">
        <v>3660000</v>
      </c>
      <c r="H1647" s="2">
        <f t="shared" si="200"/>
        <v>2017</v>
      </c>
      <c r="I1647" s="2">
        <f t="shared" si="201"/>
        <v>1</v>
      </c>
      <c r="J1647" s="2">
        <f t="shared" si="202"/>
        <v>10</v>
      </c>
      <c r="K1647" s="2">
        <f t="shared" si="203"/>
        <v>3</v>
      </c>
      <c r="L1647" s="2">
        <f t="shared" si="204"/>
        <v>2</v>
      </c>
      <c r="M1647" s="3">
        <f t="shared" si="205"/>
        <v>231.279999</v>
      </c>
      <c r="N1647" s="1">
        <f t="shared" ca="1" si="206"/>
        <v>231.279999</v>
      </c>
      <c r="O1647" s="5">
        <f t="shared" si="207"/>
        <v>-6.0965237205834466E-3</v>
      </c>
    </row>
    <row r="1648" spans="1:15" s="2" customFormat="1" x14ac:dyDescent="0.5">
      <c r="A1648" s="6">
        <v>42746</v>
      </c>
      <c r="B1648" s="1">
        <v>229.070007</v>
      </c>
      <c r="C1648" s="1">
        <v>229.979996</v>
      </c>
      <c r="D1648" s="1">
        <v>226.679993</v>
      </c>
      <c r="E1648" s="1">
        <v>229.729996</v>
      </c>
      <c r="F1648" s="1">
        <v>229.729996</v>
      </c>
      <c r="G1648" s="2">
        <v>3650800</v>
      </c>
      <c r="H1648" s="2">
        <f t="shared" si="200"/>
        <v>2017</v>
      </c>
      <c r="I1648" s="2">
        <f t="shared" si="201"/>
        <v>1</v>
      </c>
      <c r="J1648" s="2">
        <f t="shared" si="202"/>
        <v>11</v>
      </c>
      <c r="K1648" s="2">
        <f t="shared" si="203"/>
        <v>4</v>
      </c>
      <c r="L1648" s="2">
        <f t="shared" si="204"/>
        <v>2</v>
      </c>
      <c r="M1648" s="3">
        <f t="shared" si="205"/>
        <v>229.86999499999999</v>
      </c>
      <c r="N1648" s="1">
        <f t="shared" ca="1" si="206"/>
        <v>229.86999499999999</v>
      </c>
      <c r="O1648" s="5">
        <f t="shared" si="207"/>
        <v>-6.0903555507529905E-4</v>
      </c>
    </row>
    <row r="1649" spans="1:15" s="2" customFormat="1" x14ac:dyDescent="0.5">
      <c r="A1649" s="6">
        <v>42747</v>
      </c>
      <c r="B1649" s="1">
        <v>229.05999800000001</v>
      </c>
      <c r="C1649" s="1">
        <v>230.699997</v>
      </c>
      <c r="D1649" s="1">
        <v>225.58000200000001</v>
      </c>
      <c r="E1649" s="1">
        <v>229.58999600000001</v>
      </c>
      <c r="F1649" s="1">
        <v>229.58999600000001</v>
      </c>
      <c r="G1649" s="2">
        <v>3790200</v>
      </c>
      <c r="H1649" s="2">
        <f t="shared" si="200"/>
        <v>2017</v>
      </c>
      <c r="I1649" s="2">
        <f t="shared" si="201"/>
        <v>1</v>
      </c>
      <c r="J1649" s="2">
        <f t="shared" si="202"/>
        <v>12</v>
      </c>
      <c r="K1649" s="2">
        <f t="shared" si="203"/>
        <v>5</v>
      </c>
      <c r="L1649" s="2">
        <f t="shared" si="204"/>
        <v>2</v>
      </c>
      <c r="M1649" s="3">
        <f t="shared" si="205"/>
        <v>229.729996</v>
      </c>
      <c r="N1649" s="1">
        <f t="shared" ca="1" si="206"/>
        <v>229.729996</v>
      </c>
      <c r="O1649" s="5">
        <f t="shared" si="207"/>
        <v>-6.0941105836254117E-4</v>
      </c>
    </row>
    <row r="1650" spans="1:15" s="2" customFormat="1" x14ac:dyDescent="0.5">
      <c r="A1650" s="6">
        <v>42748</v>
      </c>
      <c r="B1650" s="1">
        <v>230</v>
      </c>
      <c r="C1650" s="1">
        <v>237.85000600000001</v>
      </c>
      <c r="D1650" s="1">
        <v>229.58999600000001</v>
      </c>
      <c r="E1650" s="1">
        <v>237.75</v>
      </c>
      <c r="F1650" s="1">
        <v>237.75</v>
      </c>
      <c r="G1650" s="2">
        <v>6093000</v>
      </c>
      <c r="H1650" s="2">
        <f t="shared" si="200"/>
        <v>2017</v>
      </c>
      <c r="I1650" s="2">
        <f t="shared" si="201"/>
        <v>1</v>
      </c>
      <c r="J1650" s="2">
        <f t="shared" si="202"/>
        <v>13</v>
      </c>
      <c r="K1650" s="2">
        <f t="shared" si="203"/>
        <v>6</v>
      </c>
      <c r="L1650" s="2">
        <f t="shared" si="204"/>
        <v>2</v>
      </c>
      <c r="M1650" s="3">
        <f t="shared" si="205"/>
        <v>229.58999600000001</v>
      </c>
      <c r="N1650" s="1">
        <f t="shared" ca="1" si="206"/>
        <v>229.58999600000001</v>
      </c>
      <c r="O1650" s="5">
        <f t="shared" si="207"/>
        <v>3.5541635707855512E-2</v>
      </c>
    </row>
    <row r="1651" spans="1:15" s="2" customFormat="1" x14ac:dyDescent="0.5">
      <c r="A1651" s="6">
        <v>42752</v>
      </c>
      <c r="B1651" s="1">
        <v>236.699997</v>
      </c>
      <c r="C1651" s="1">
        <v>239.96000699999999</v>
      </c>
      <c r="D1651" s="1">
        <v>234.36999499999999</v>
      </c>
      <c r="E1651" s="1">
        <v>235.58000200000001</v>
      </c>
      <c r="F1651" s="1">
        <v>235.58000200000001</v>
      </c>
      <c r="G1651" s="2">
        <v>4611900</v>
      </c>
      <c r="H1651" s="2">
        <f t="shared" si="200"/>
        <v>2017</v>
      </c>
      <c r="I1651" s="2">
        <f t="shared" si="201"/>
        <v>1</v>
      </c>
      <c r="J1651" s="2">
        <f t="shared" si="202"/>
        <v>17</v>
      </c>
      <c r="K1651" s="2">
        <f t="shared" si="203"/>
        <v>3</v>
      </c>
      <c r="L1651" s="2">
        <f t="shared" si="204"/>
        <v>2</v>
      </c>
      <c r="M1651" s="3">
        <f t="shared" si="205"/>
        <v>237.75</v>
      </c>
      <c r="N1651" s="1">
        <f t="shared" ca="1" si="206"/>
        <v>237.75</v>
      </c>
      <c r="O1651" s="5">
        <f t="shared" si="207"/>
        <v>-9.1272260778128E-3</v>
      </c>
    </row>
    <row r="1652" spans="1:15" s="2" customFormat="1" x14ac:dyDescent="0.5">
      <c r="A1652" s="6">
        <v>42753</v>
      </c>
      <c r="B1652" s="1">
        <v>236.64999399999999</v>
      </c>
      <c r="C1652" s="1">
        <v>239.71000699999999</v>
      </c>
      <c r="D1652" s="1">
        <v>235.58000200000001</v>
      </c>
      <c r="E1652" s="1">
        <v>238.36000100000001</v>
      </c>
      <c r="F1652" s="1">
        <v>238.36000100000001</v>
      </c>
      <c r="G1652" s="2">
        <v>3769000</v>
      </c>
      <c r="H1652" s="2">
        <f t="shared" si="200"/>
        <v>2017</v>
      </c>
      <c r="I1652" s="2">
        <f t="shared" si="201"/>
        <v>1</v>
      </c>
      <c r="J1652" s="2">
        <f t="shared" si="202"/>
        <v>18</v>
      </c>
      <c r="K1652" s="2">
        <f t="shared" si="203"/>
        <v>4</v>
      </c>
      <c r="L1652" s="2">
        <f t="shared" si="204"/>
        <v>2</v>
      </c>
      <c r="M1652" s="3">
        <f t="shared" si="205"/>
        <v>235.58000200000001</v>
      </c>
      <c r="N1652" s="1">
        <f t="shared" ca="1" si="206"/>
        <v>235.58000200000001</v>
      </c>
      <c r="O1652" s="5">
        <f t="shared" si="207"/>
        <v>1.1800657850406182E-2</v>
      </c>
    </row>
    <row r="1653" spans="1:15" s="2" customFormat="1" x14ac:dyDescent="0.5">
      <c r="A1653" s="6">
        <v>42754</v>
      </c>
      <c r="B1653" s="1">
        <v>247.25</v>
      </c>
      <c r="C1653" s="1">
        <v>248.679993</v>
      </c>
      <c r="D1653" s="1">
        <v>240.75</v>
      </c>
      <c r="E1653" s="1">
        <v>243.759995</v>
      </c>
      <c r="F1653" s="1">
        <v>243.759995</v>
      </c>
      <c r="G1653" s="2">
        <v>7732300</v>
      </c>
      <c r="H1653" s="2">
        <f t="shared" si="200"/>
        <v>2017</v>
      </c>
      <c r="I1653" s="2">
        <f t="shared" si="201"/>
        <v>1</v>
      </c>
      <c r="J1653" s="2">
        <f t="shared" si="202"/>
        <v>19</v>
      </c>
      <c r="K1653" s="2">
        <f t="shared" si="203"/>
        <v>5</v>
      </c>
      <c r="L1653" s="2">
        <f t="shared" si="204"/>
        <v>2</v>
      </c>
      <c r="M1653" s="3">
        <f t="shared" si="205"/>
        <v>238.36000100000001</v>
      </c>
      <c r="N1653" s="1">
        <f t="shared" ca="1" si="206"/>
        <v>238.36000100000001</v>
      </c>
      <c r="O1653" s="5">
        <f t="shared" si="207"/>
        <v>2.2654782586613464E-2</v>
      </c>
    </row>
    <row r="1654" spans="1:15" s="2" customFormat="1" x14ac:dyDescent="0.5">
      <c r="A1654" s="6">
        <v>42755</v>
      </c>
      <c r="B1654" s="1">
        <v>245.46000699999999</v>
      </c>
      <c r="C1654" s="1">
        <v>246</v>
      </c>
      <c r="D1654" s="1">
        <v>243.009995</v>
      </c>
      <c r="E1654" s="1">
        <v>244.729996</v>
      </c>
      <c r="F1654" s="1">
        <v>244.729996</v>
      </c>
      <c r="G1654" s="2">
        <v>4204300</v>
      </c>
      <c r="H1654" s="2">
        <f t="shared" si="200"/>
        <v>2017</v>
      </c>
      <c r="I1654" s="2">
        <f t="shared" si="201"/>
        <v>1</v>
      </c>
      <c r="J1654" s="2">
        <f t="shared" si="202"/>
        <v>20</v>
      </c>
      <c r="K1654" s="2">
        <f t="shared" si="203"/>
        <v>6</v>
      </c>
      <c r="L1654" s="2">
        <f t="shared" si="204"/>
        <v>2</v>
      </c>
      <c r="M1654" s="3">
        <f t="shared" si="205"/>
        <v>243.759995</v>
      </c>
      <c r="N1654" s="1">
        <f t="shared" ca="1" si="206"/>
        <v>243.759995</v>
      </c>
      <c r="O1654" s="5">
        <f t="shared" si="207"/>
        <v>3.979328109191993E-3</v>
      </c>
    </row>
    <row r="1655" spans="1:15" s="2" customFormat="1" x14ac:dyDescent="0.5">
      <c r="A1655" s="6">
        <v>42758</v>
      </c>
      <c r="B1655" s="1">
        <v>245.85000600000001</v>
      </c>
      <c r="C1655" s="1">
        <v>250.88999899999999</v>
      </c>
      <c r="D1655" s="1">
        <v>245.5</v>
      </c>
      <c r="E1655" s="1">
        <v>248.91999799999999</v>
      </c>
      <c r="F1655" s="1">
        <v>248.91999799999999</v>
      </c>
      <c r="G1655" s="2">
        <v>6262900</v>
      </c>
      <c r="H1655" s="2">
        <f t="shared" si="200"/>
        <v>2017</v>
      </c>
      <c r="I1655" s="2">
        <f t="shared" si="201"/>
        <v>1</v>
      </c>
      <c r="J1655" s="2">
        <f t="shared" si="202"/>
        <v>23</v>
      </c>
      <c r="K1655" s="2">
        <f t="shared" si="203"/>
        <v>2</v>
      </c>
      <c r="L1655" s="2">
        <f t="shared" si="204"/>
        <v>2</v>
      </c>
      <c r="M1655" s="3">
        <f t="shared" si="205"/>
        <v>244.729996</v>
      </c>
      <c r="N1655" s="1">
        <f t="shared" ca="1" si="206"/>
        <v>244.729996</v>
      </c>
      <c r="O1655" s="5">
        <f t="shared" si="207"/>
        <v>1.7120917208693909E-2</v>
      </c>
    </row>
    <row r="1656" spans="1:15" s="2" customFormat="1" x14ac:dyDescent="0.5">
      <c r="A1656" s="6">
        <v>42759</v>
      </c>
      <c r="B1656" s="1">
        <v>250</v>
      </c>
      <c r="C1656" s="1">
        <v>254.800003</v>
      </c>
      <c r="D1656" s="1">
        <v>249.64999399999999</v>
      </c>
      <c r="E1656" s="1">
        <v>254.61000100000001</v>
      </c>
      <c r="F1656" s="1">
        <v>254.61000100000001</v>
      </c>
      <c r="G1656" s="2">
        <v>4965500</v>
      </c>
      <c r="H1656" s="2">
        <f t="shared" si="200"/>
        <v>2017</v>
      </c>
      <c r="I1656" s="2">
        <f t="shared" si="201"/>
        <v>1</v>
      </c>
      <c r="J1656" s="2">
        <f t="shared" si="202"/>
        <v>24</v>
      </c>
      <c r="K1656" s="2">
        <f t="shared" si="203"/>
        <v>3</v>
      </c>
      <c r="L1656" s="2">
        <f t="shared" si="204"/>
        <v>2</v>
      </c>
      <c r="M1656" s="3">
        <f t="shared" si="205"/>
        <v>248.91999799999999</v>
      </c>
      <c r="N1656" s="1">
        <f t="shared" ca="1" si="206"/>
        <v>248.91999799999999</v>
      </c>
      <c r="O1656" s="5">
        <f t="shared" si="207"/>
        <v>2.2858762034860813E-2</v>
      </c>
    </row>
    <row r="1657" spans="1:15" s="2" customFormat="1" x14ac:dyDescent="0.5">
      <c r="A1657" s="6">
        <v>42760</v>
      </c>
      <c r="B1657" s="1">
        <v>257.30999800000001</v>
      </c>
      <c r="C1657" s="1">
        <v>258.459991</v>
      </c>
      <c r="D1657" s="1">
        <v>251.800003</v>
      </c>
      <c r="E1657" s="1">
        <v>254.470001</v>
      </c>
      <c r="F1657" s="1">
        <v>254.470001</v>
      </c>
      <c r="G1657" s="2">
        <v>5142600</v>
      </c>
      <c r="H1657" s="2">
        <f t="shared" si="200"/>
        <v>2017</v>
      </c>
      <c r="I1657" s="2">
        <f t="shared" si="201"/>
        <v>1</v>
      </c>
      <c r="J1657" s="2">
        <f t="shared" si="202"/>
        <v>25</v>
      </c>
      <c r="K1657" s="2">
        <f t="shared" si="203"/>
        <v>4</v>
      </c>
      <c r="L1657" s="2">
        <f t="shared" si="204"/>
        <v>2</v>
      </c>
      <c r="M1657" s="3">
        <f t="shared" si="205"/>
        <v>254.61000100000001</v>
      </c>
      <c r="N1657" s="1">
        <f t="shared" ca="1" si="206"/>
        <v>254.61000100000001</v>
      </c>
      <c r="O1657" s="5">
        <f t="shared" si="207"/>
        <v>-5.4986056890993229E-4</v>
      </c>
    </row>
    <row r="1658" spans="1:15" s="2" customFormat="1" x14ac:dyDescent="0.5">
      <c r="A1658" s="6">
        <v>42761</v>
      </c>
      <c r="B1658" s="1">
        <v>254.28999300000001</v>
      </c>
      <c r="C1658" s="1">
        <v>255.740005</v>
      </c>
      <c r="D1658" s="1">
        <v>250.75</v>
      </c>
      <c r="E1658" s="1">
        <v>252.509995</v>
      </c>
      <c r="F1658" s="1">
        <v>252.509995</v>
      </c>
      <c r="G1658" s="2">
        <v>3152100</v>
      </c>
      <c r="H1658" s="2">
        <f t="shared" si="200"/>
        <v>2017</v>
      </c>
      <c r="I1658" s="2">
        <f t="shared" si="201"/>
        <v>1</v>
      </c>
      <c r="J1658" s="2">
        <f t="shared" si="202"/>
        <v>26</v>
      </c>
      <c r="K1658" s="2">
        <f t="shared" si="203"/>
        <v>5</v>
      </c>
      <c r="L1658" s="2">
        <f t="shared" si="204"/>
        <v>2</v>
      </c>
      <c r="M1658" s="3">
        <f t="shared" si="205"/>
        <v>254.470001</v>
      </c>
      <c r="N1658" s="1">
        <f t="shared" ca="1" si="206"/>
        <v>254.470001</v>
      </c>
      <c r="O1658" s="5">
        <f t="shared" si="207"/>
        <v>-7.7023067249486488E-3</v>
      </c>
    </row>
    <row r="1659" spans="1:15" s="2" customFormat="1" x14ac:dyDescent="0.5">
      <c r="A1659" s="6">
        <v>42762</v>
      </c>
      <c r="B1659" s="1">
        <v>251.38000500000001</v>
      </c>
      <c r="C1659" s="1">
        <v>253</v>
      </c>
      <c r="D1659" s="1">
        <v>248.520004</v>
      </c>
      <c r="E1659" s="1">
        <v>252.949997</v>
      </c>
      <c r="F1659" s="1">
        <v>252.949997</v>
      </c>
      <c r="G1659" s="2">
        <v>3166300</v>
      </c>
      <c r="H1659" s="2">
        <f t="shared" si="200"/>
        <v>2017</v>
      </c>
      <c r="I1659" s="2">
        <f t="shared" si="201"/>
        <v>1</v>
      </c>
      <c r="J1659" s="2">
        <f t="shared" si="202"/>
        <v>27</v>
      </c>
      <c r="K1659" s="2">
        <f t="shared" si="203"/>
        <v>6</v>
      </c>
      <c r="L1659" s="2">
        <f t="shared" si="204"/>
        <v>2</v>
      </c>
      <c r="M1659" s="3">
        <f t="shared" si="205"/>
        <v>252.509995</v>
      </c>
      <c r="N1659" s="1">
        <f t="shared" ca="1" si="206"/>
        <v>252.509995</v>
      </c>
      <c r="O1659" s="5">
        <f t="shared" si="207"/>
        <v>1.742513202299234E-3</v>
      </c>
    </row>
    <row r="1660" spans="1:15" s="2" customFormat="1" x14ac:dyDescent="0.5">
      <c r="A1660" s="6">
        <v>42765</v>
      </c>
      <c r="B1660" s="1">
        <v>252.529999</v>
      </c>
      <c r="C1660" s="1">
        <v>255.28999300000001</v>
      </c>
      <c r="D1660" s="1">
        <v>247.10000600000001</v>
      </c>
      <c r="E1660" s="1">
        <v>250.63000500000001</v>
      </c>
      <c r="F1660" s="1">
        <v>250.63000500000001</v>
      </c>
      <c r="G1660" s="2">
        <v>3801100</v>
      </c>
      <c r="H1660" s="2">
        <f t="shared" si="200"/>
        <v>2017</v>
      </c>
      <c r="I1660" s="2">
        <f t="shared" si="201"/>
        <v>1</v>
      </c>
      <c r="J1660" s="2">
        <f t="shared" si="202"/>
        <v>30</v>
      </c>
      <c r="K1660" s="2">
        <f t="shared" si="203"/>
        <v>2</v>
      </c>
      <c r="L1660" s="2">
        <f t="shared" si="204"/>
        <v>2</v>
      </c>
      <c r="M1660" s="3">
        <f t="shared" si="205"/>
        <v>252.949997</v>
      </c>
      <c r="N1660" s="1">
        <f t="shared" ca="1" si="206"/>
        <v>252.949997</v>
      </c>
      <c r="O1660" s="5">
        <f t="shared" si="207"/>
        <v>-9.1717415596568319E-3</v>
      </c>
    </row>
    <row r="1661" spans="1:15" s="2" customFormat="1" x14ac:dyDescent="0.5">
      <c r="A1661" s="6">
        <v>42766</v>
      </c>
      <c r="B1661" s="1">
        <v>249.240005</v>
      </c>
      <c r="C1661" s="1">
        <v>255.88999899999999</v>
      </c>
      <c r="D1661" s="1">
        <v>247.699997</v>
      </c>
      <c r="E1661" s="1">
        <v>251.929993</v>
      </c>
      <c r="F1661" s="1">
        <v>251.929993</v>
      </c>
      <c r="G1661" s="2">
        <v>4116100</v>
      </c>
      <c r="H1661" s="2">
        <f t="shared" si="200"/>
        <v>2017</v>
      </c>
      <c r="I1661" s="2">
        <f t="shared" si="201"/>
        <v>1</v>
      </c>
      <c r="J1661" s="2">
        <f t="shared" si="202"/>
        <v>31</v>
      </c>
      <c r="K1661" s="2">
        <f t="shared" si="203"/>
        <v>3</v>
      </c>
      <c r="L1661" s="2">
        <f t="shared" si="204"/>
        <v>2</v>
      </c>
      <c r="M1661" s="3">
        <f t="shared" si="205"/>
        <v>250.63000500000001</v>
      </c>
      <c r="N1661" s="1">
        <f t="shared" ca="1" si="206"/>
        <v>250.63000500000001</v>
      </c>
      <c r="O1661" s="5">
        <f t="shared" si="207"/>
        <v>5.1868809562525264E-3</v>
      </c>
    </row>
    <row r="1662" spans="1:15" s="2" customFormat="1" x14ac:dyDescent="0.5">
      <c r="A1662" s="6">
        <v>42767</v>
      </c>
      <c r="B1662" s="1">
        <v>253.050003</v>
      </c>
      <c r="C1662" s="1">
        <v>253.199997</v>
      </c>
      <c r="D1662" s="1">
        <v>249.050003</v>
      </c>
      <c r="E1662" s="1">
        <v>249.240005</v>
      </c>
      <c r="F1662" s="1">
        <v>249.240005</v>
      </c>
      <c r="G1662" s="2">
        <v>3958800</v>
      </c>
      <c r="H1662" s="2">
        <f t="shared" si="200"/>
        <v>2017</v>
      </c>
      <c r="I1662" s="2">
        <f t="shared" si="201"/>
        <v>2</v>
      </c>
      <c r="J1662" s="2">
        <f t="shared" si="202"/>
        <v>1</v>
      </c>
      <c r="K1662" s="2">
        <f t="shared" si="203"/>
        <v>4</v>
      </c>
      <c r="L1662" s="2">
        <f t="shared" si="204"/>
        <v>3</v>
      </c>
      <c r="M1662" s="3">
        <f t="shared" si="205"/>
        <v>251.929993</v>
      </c>
      <c r="N1662" s="1">
        <f t="shared" ca="1" si="206"/>
        <v>251.929993</v>
      </c>
      <c r="O1662" s="5">
        <f t="shared" si="207"/>
        <v>-1.0677521830439574E-2</v>
      </c>
    </row>
    <row r="1663" spans="1:15" s="2" customFormat="1" x14ac:dyDescent="0.5">
      <c r="A1663" s="6">
        <v>42768</v>
      </c>
      <c r="B1663" s="1">
        <v>248.33999600000001</v>
      </c>
      <c r="C1663" s="1">
        <v>252.41999799999999</v>
      </c>
      <c r="D1663" s="1">
        <v>247.71000699999999</v>
      </c>
      <c r="E1663" s="1">
        <v>251.550003</v>
      </c>
      <c r="F1663" s="1">
        <v>251.550003</v>
      </c>
      <c r="G1663" s="2">
        <v>2499800</v>
      </c>
      <c r="H1663" s="2">
        <f t="shared" si="200"/>
        <v>2017</v>
      </c>
      <c r="I1663" s="2">
        <f t="shared" si="201"/>
        <v>2</v>
      </c>
      <c r="J1663" s="2">
        <f t="shared" si="202"/>
        <v>2</v>
      </c>
      <c r="K1663" s="2">
        <f t="shared" si="203"/>
        <v>5</v>
      </c>
      <c r="L1663" s="2">
        <f t="shared" si="204"/>
        <v>3</v>
      </c>
      <c r="M1663" s="3">
        <f t="shared" si="205"/>
        <v>249.240005</v>
      </c>
      <c r="N1663" s="1">
        <f t="shared" ca="1" si="206"/>
        <v>249.240005</v>
      </c>
      <c r="O1663" s="5">
        <f t="shared" si="207"/>
        <v>9.2681670424457074E-3</v>
      </c>
    </row>
    <row r="1664" spans="1:15" s="2" customFormat="1" x14ac:dyDescent="0.5">
      <c r="A1664" s="6">
        <v>42769</v>
      </c>
      <c r="B1664" s="1">
        <v>251.91000399999999</v>
      </c>
      <c r="C1664" s="1">
        <v>252.179993</v>
      </c>
      <c r="D1664" s="1">
        <v>249.679993</v>
      </c>
      <c r="E1664" s="1">
        <v>251.33000200000001</v>
      </c>
      <c r="F1664" s="1">
        <v>251.33000200000001</v>
      </c>
      <c r="G1664" s="2">
        <v>2186700</v>
      </c>
      <c r="H1664" s="2">
        <f t="shared" si="200"/>
        <v>2017</v>
      </c>
      <c r="I1664" s="2">
        <f t="shared" si="201"/>
        <v>2</v>
      </c>
      <c r="J1664" s="2">
        <f t="shared" si="202"/>
        <v>3</v>
      </c>
      <c r="K1664" s="2">
        <f t="shared" si="203"/>
        <v>6</v>
      </c>
      <c r="L1664" s="2">
        <f t="shared" si="204"/>
        <v>3</v>
      </c>
      <c r="M1664" s="3">
        <f t="shared" si="205"/>
        <v>251.550003</v>
      </c>
      <c r="N1664" s="1">
        <f t="shared" ca="1" si="206"/>
        <v>251.550003</v>
      </c>
      <c r="O1664" s="5">
        <f t="shared" si="207"/>
        <v>-8.7458158368614036E-4</v>
      </c>
    </row>
    <row r="1665" spans="1:15" s="2" customFormat="1" x14ac:dyDescent="0.5">
      <c r="A1665" s="6">
        <v>42772</v>
      </c>
      <c r="B1665" s="1">
        <v>251</v>
      </c>
      <c r="C1665" s="1">
        <v>257.82000699999998</v>
      </c>
      <c r="D1665" s="1">
        <v>250.63000500000001</v>
      </c>
      <c r="E1665" s="1">
        <v>257.76998900000001</v>
      </c>
      <c r="F1665" s="1">
        <v>257.76998900000001</v>
      </c>
      <c r="G1665" s="2">
        <v>3562500</v>
      </c>
      <c r="H1665" s="2">
        <f t="shared" si="200"/>
        <v>2017</v>
      </c>
      <c r="I1665" s="2">
        <f t="shared" si="201"/>
        <v>2</v>
      </c>
      <c r="J1665" s="2">
        <f t="shared" si="202"/>
        <v>6</v>
      </c>
      <c r="K1665" s="2">
        <f t="shared" si="203"/>
        <v>2</v>
      </c>
      <c r="L1665" s="2">
        <f t="shared" si="204"/>
        <v>3</v>
      </c>
      <c r="M1665" s="3">
        <f t="shared" si="205"/>
        <v>251.33000200000001</v>
      </c>
      <c r="N1665" s="1">
        <f t="shared" ca="1" si="206"/>
        <v>251.33000200000001</v>
      </c>
      <c r="O1665" s="5">
        <f t="shared" si="207"/>
        <v>2.5623630082969528E-2</v>
      </c>
    </row>
    <row r="1666" spans="1:15" s="2" customFormat="1" x14ac:dyDescent="0.5">
      <c r="A1666" s="6">
        <v>42773</v>
      </c>
      <c r="B1666" s="1">
        <v>258.19000199999999</v>
      </c>
      <c r="C1666" s="1">
        <v>260</v>
      </c>
      <c r="D1666" s="1">
        <v>256.42001299999998</v>
      </c>
      <c r="E1666" s="1">
        <v>257.48001099999999</v>
      </c>
      <c r="F1666" s="1">
        <v>257.48001099999999</v>
      </c>
      <c r="G1666" s="2">
        <v>4244800</v>
      </c>
      <c r="H1666" s="2">
        <f t="shared" ref="H1666:H1729" si="208">YEAR(A1666)</f>
        <v>2017</v>
      </c>
      <c r="I1666" s="2">
        <f t="shared" ref="I1666:I1729" si="209">MONTH(A1666)</f>
        <v>2</v>
      </c>
      <c r="J1666" s="2">
        <f t="shared" ref="J1666:J1729" si="210">DAY(A1666)</f>
        <v>7</v>
      </c>
      <c r="K1666" s="2">
        <f t="shared" ref="K1666:K1729" si="211">WEEKDAY(A1666)</f>
        <v>3</v>
      </c>
      <c r="L1666" s="2">
        <f t="shared" si="204"/>
        <v>3</v>
      </c>
      <c r="M1666" s="3">
        <f t="shared" si="205"/>
        <v>257.76998900000001</v>
      </c>
      <c r="N1666" s="1">
        <f t="shared" ca="1" si="206"/>
        <v>257.76998900000001</v>
      </c>
      <c r="O1666" s="5">
        <f t="shared" si="207"/>
        <v>-1.1249486455927604E-3</v>
      </c>
    </row>
    <row r="1667" spans="1:15" s="2" customFormat="1" x14ac:dyDescent="0.5">
      <c r="A1667" s="6">
        <v>42774</v>
      </c>
      <c r="B1667" s="1">
        <v>257.35000600000001</v>
      </c>
      <c r="C1667" s="1">
        <v>263.35998499999999</v>
      </c>
      <c r="D1667" s="1">
        <v>256.20001200000002</v>
      </c>
      <c r="E1667" s="1">
        <v>262.07998700000002</v>
      </c>
      <c r="F1667" s="1">
        <v>262.07998700000002</v>
      </c>
      <c r="G1667" s="2">
        <v>3933000</v>
      </c>
      <c r="H1667" s="2">
        <f t="shared" si="208"/>
        <v>2017</v>
      </c>
      <c r="I1667" s="2">
        <f t="shared" si="209"/>
        <v>2</v>
      </c>
      <c r="J1667" s="2">
        <f t="shared" si="210"/>
        <v>8</v>
      </c>
      <c r="K1667" s="2">
        <f t="shared" si="211"/>
        <v>4</v>
      </c>
      <c r="L1667" s="2">
        <f t="shared" ref="L1667:L1730" si="212">I1667+1</f>
        <v>3</v>
      </c>
      <c r="M1667" s="3">
        <f t="shared" ref="M1667:M1730" si="213">F1666</f>
        <v>257.48001099999999</v>
      </c>
      <c r="N1667" s="1">
        <f t="shared" ref="N1667:N1730" ca="1" si="214">OFFSET(F1667, -1, 0)</f>
        <v>257.48001099999999</v>
      </c>
      <c r="O1667" s="5">
        <f t="shared" ref="O1667:O1730" si="215">(F1667/M1667)-1</f>
        <v>1.7865371304493394E-2</v>
      </c>
    </row>
    <row r="1668" spans="1:15" s="2" customFormat="1" x14ac:dyDescent="0.5">
      <c r="A1668" s="6">
        <v>42775</v>
      </c>
      <c r="B1668" s="1">
        <v>266.25</v>
      </c>
      <c r="C1668" s="1">
        <v>271.17999300000002</v>
      </c>
      <c r="D1668" s="1">
        <v>266.14999399999999</v>
      </c>
      <c r="E1668" s="1">
        <v>269.20001200000002</v>
      </c>
      <c r="F1668" s="1">
        <v>269.20001200000002</v>
      </c>
      <c r="G1668" s="2">
        <v>7820200</v>
      </c>
      <c r="H1668" s="2">
        <f t="shared" si="208"/>
        <v>2017</v>
      </c>
      <c r="I1668" s="2">
        <f t="shared" si="209"/>
        <v>2</v>
      </c>
      <c r="J1668" s="2">
        <f t="shared" si="210"/>
        <v>9</v>
      </c>
      <c r="K1668" s="2">
        <f t="shared" si="211"/>
        <v>5</v>
      </c>
      <c r="L1668" s="2">
        <f t="shared" si="212"/>
        <v>3</v>
      </c>
      <c r="M1668" s="3">
        <f t="shared" si="213"/>
        <v>262.07998700000002</v>
      </c>
      <c r="N1668" s="1">
        <f t="shared" ca="1" si="214"/>
        <v>262.07998700000002</v>
      </c>
      <c r="O1668" s="5">
        <f t="shared" si="215"/>
        <v>2.7167373905585546E-2</v>
      </c>
    </row>
    <row r="1669" spans="1:15" s="2" customFormat="1" x14ac:dyDescent="0.5">
      <c r="A1669" s="6">
        <v>42776</v>
      </c>
      <c r="B1669" s="1">
        <v>269.790009</v>
      </c>
      <c r="C1669" s="1">
        <v>270.95001200000002</v>
      </c>
      <c r="D1669" s="1">
        <v>266.10998499999999</v>
      </c>
      <c r="E1669" s="1">
        <v>269.23001099999999</v>
      </c>
      <c r="F1669" s="1">
        <v>269.23001099999999</v>
      </c>
      <c r="G1669" s="2">
        <v>3619700</v>
      </c>
      <c r="H1669" s="2">
        <f t="shared" si="208"/>
        <v>2017</v>
      </c>
      <c r="I1669" s="2">
        <f t="shared" si="209"/>
        <v>2</v>
      </c>
      <c r="J1669" s="2">
        <f t="shared" si="210"/>
        <v>10</v>
      </c>
      <c r="K1669" s="2">
        <f t="shared" si="211"/>
        <v>6</v>
      </c>
      <c r="L1669" s="2">
        <f t="shared" si="212"/>
        <v>3</v>
      </c>
      <c r="M1669" s="3">
        <f t="shared" si="213"/>
        <v>269.20001200000002</v>
      </c>
      <c r="N1669" s="1">
        <f t="shared" ca="1" si="214"/>
        <v>269.20001200000002</v>
      </c>
      <c r="O1669" s="5">
        <f t="shared" si="215"/>
        <v>1.1143758790010949E-4</v>
      </c>
    </row>
    <row r="1670" spans="1:15" s="2" customFormat="1" x14ac:dyDescent="0.5">
      <c r="A1670" s="6">
        <v>42779</v>
      </c>
      <c r="B1670" s="1">
        <v>270.73998999999998</v>
      </c>
      <c r="C1670" s="1">
        <v>280.790009</v>
      </c>
      <c r="D1670" s="1">
        <v>270.51001000000002</v>
      </c>
      <c r="E1670" s="1">
        <v>280.60000600000001</v>
      </c>
      <c r="F1670" s="1">
        <v>280.60000600000001</v>
      </c>
      <c r="G1670" s="2">
        <v>7029600</v>
      </c>
      <c r="H1670" s="2">
        <f t="shared" si="208"/>
        <v>2017</v>
      </c>
      <c r="I1670" s="2">
        <f t="shared" si="209"/>
        <v>2</v>
      </c>
      <c r="J1670" s="2">
        <f t="shared" si="210"/>
        <v>13</v>
      </c>
      <c r="K1670" s="2">
        <f t="shared" si="211"/>
        <v>2</v>
      </c>
      <c r="L1670" s="2">
        <f t="shared" si="212"/>
        <v>3</v>
      </c>
      <c r="M1670" s="3">
        <f t="shared" si="213"/>
        <v>269.23001099999999</v>
      </c>
      <c r="N1670" s="1">
        <f t="shared" ca="1" si="214"/>
        <v>269.23001099999999</v>
      </c>
      <c r="O1670" s="5">
        <f t="shared" si="215"/>
        <v>4.2231528936051754E-2</v>
      </c>
    </row>
    <row r="1671" spans="1:15" s="2" customFormat="1" x14ac:dyDescent="0.5">
      <c r="A1671" s="6">
        <v>42780</v>
      </c>
      <c r="B1671" s="1">
        <v>279.02999899999998</v>
      </c>
      <c r="C1671" s="1">
        <v>287.39001500000001</v>
      </c>
      <c r="D1671" s="1">
        <v>278.60998499999999</v>
      </c>
      <c r="E1671" s="1">
        <v>280.98001099999999</v>
      </c>
      <c r="F1671" s="1">
        <v>280.98001099999999</v>
      </c>
      <c r="G1671" s="2">
        <v>7329400</v>
      </c>
      <c r="H1671" s="2">
        <f t="shared" si="208"/>
        <v>2017</v>
      </c>
      <c r="I1671" s="2">
        <f t="shared" si="209"/>
        <v>2</v>
      </c>
      <c r="J1671" s="2">
        <f t="shared" si="210"/>
        <v>14</v>
      </c>
      <c r="K1671" s="2">
        <f t="shared" si="211"/>
        <v>3</v>
      </c>
      <c r="L1671" s="2">
        <f t="shared" si="212"/>
        <v>3</v>
      </c>
      <c r="M1671" s="3">
        <f t="shared" si="213"/>
        <v>280.60000600000001</v>
      </c>
      <c r="N1671" s="1">
        <f t="shared" ca="1" si="214"/>
        <v>280.60000600000001</v>
      </c>
      <c r="O1671" s="5">
        <f t="shared" si="215"/>
        <v>1.3542587023323005E-3</v>
      </c>
    </row>
    <row r="1672" spans="1:15" s="2" customFormat="1" x14ac:dyDescent="0.5">
      <c r="A1672" s="6">
        <v>42781</v>
      </c>
      <c r="B1672" s="1">
        <v>280</v>
      </c>
      <c r="C1672" s="1">
        <v>282.23998999999998</v>
      </c>
      <c r="D1672" s="1">
        <v>276.44000199999999</v>
      </c>
      <c r="E1672" s="1">
        <v>279.76001000000002</v>
      </c>
      <c r="F1672" s="1">
        <v>279.76001000000002</v>
      </c>
      <c r="G1672" s="2">
        <v>4947900</v>
      </c>
      <c r="H1672" s="2">
        <f t="shared" si="208"/>
        <v>2017</v>
      </c>
      <c r="I1672" s="2">
        <f t="shared" si="209"/>
        <v>2</v>
      </c>
      <c r="J1672" s="2">
        <f t="shared" si="210"/>
        <v>15</v>
      </c>
      <c r="K1672" s="2">
        <f t="shared" si="211"/>
        <v>4</v>
      </c>
      <c r="L1672" s="2">
        <f t="shared" si="212"/>
        <v>3</v>
      </c>
      <c r="M1672" s="3">
        <f t="shared" si="213"/>
        <v>280.98001099999999</v>
      </c>
      <c r="N1672" s="1">
        <f t="shared" ca="1" si="214"/>
        <v>280.98001099999999</v>
      </c>
      <c r="O1672" s="5">
        <f t="shared" si="215"/>
        <v>-4.3419494349723475E-3</v>
      </c>
    </row>
    <row r="1673" spans="1:15" s="2" customFormat="1" x14ac:dyDescent="0.5">
      <c r="A1673" s="6">
        <v>42782</v>
      </c>
      <c r="B1673" s="1">
        <v>277.60000600000001</v>
      </c>
      <c r="C1673" s="1">
        <v>280</v>
      </c>
      <c r="D1673" s="1">
        <v>268.5</v>
      </c>
      <c r="E1673" s="1">
        <v>268.95001200000002</v>
      </c>
      <c r="F1673" s="1">
        <v>268.95001200000002</v>
      </c>
      <c r="G1673" s="2">
        <v>7077300</v>
      </c>
      <c r="H1673" s="2">
        <f t="shared" si="208"/>
        <v>2017</v>
      </c>
      <c r="I1673" s="2">
        <f t="shared" si="209"/>
        <v>2</v>
      </c>
      <c r="J1673" s="2">
        <f t="shared" si="210"/>
        <v>16</v>
      </c>
      <c r="K1673" s="2">
        <f t="shared" si="211"/>
        <v>5</v>
      </c>
      <c r="L1673" s="2">
        <f t="shared" si="212"/>
        <v>3</v>
      </c>
      <c r="M1673" s="3">
        <f t="shared" si="213"/>
        <v>279.76001000000002</v>
      </c>
      <c r="N1673" s="1">
        <f t="shared" ca="1" si="214"/>
        <v>279.76001000000002</v>
      </c>
      <c r="O1673" s="5">
        <f t="shared" si="215"/>
        <v>-3.8640254552464448E-2</v>
      </c>
    </row>
    <row r="1674" spans="1:15" s="2" customFormat="1" x14ac:dyDescent="0.5">
      <c r="A1674" s="6">
        <v>42783</v>
      </c>
      <c r="B1674" s="1">
        <v>265.79998799999998</v>
      </c>
      <c r="C1674" s="1">
        <v>272.89001500000001</v>
      </c>
      <c r="D1674" s="1">
        <v>264.14999399999999</v>
      </c>
      <c r="E1674" s="1">
        <v>272.23001099999999</v>
      </c>
      <c r="F1674" s="1">
        <v>272.23001099999999</v>
      </c>
      <c r="G1674" s="2">
        <v>6257100</v>
      </c>
      <c r="H1674" s="2">
        <f t="shared" si="208"/>
        <v>2017</v>
      </c>
      <c r="I1674" s="2">
        <f t="shared" si="209"/>
        <v>2</v>
      </c>
      <c r="J1674" s="2">
        <f t="shared" si="210"/>
        <v>17</v>
      </c>
      <c r="K1674" s="2">
        <f t="shared" si="211"/>
        <v>6</v>
      </c>
      <c r="L1674" s="2">
        <f t="shared" si="212"/>
        <v>3</v>
      </c>
      <c r="M1674" s="3">
        <f t="shared" si="213"/>
        <v>268.95001200000002</v>
      </c>
      <c r="N1674" s="1">
        <f t="shared" ca="1" si="214"/>
        <v>268.95001200000002</v>
      </c>
      <c r="O1674" s="5">
        <f t="shared" si="215"/>
        <v>1.2195571123454707E-2</v>
      </c>
    </row>
    <row r="1675" spans="1:15" s="2" customFormat="1" x14ac:dyDescent="0.5">
      <c r="A1675" s="6">
        <v>42787</v>
      </c>
      <c r="B1675" s="1">
        <v>275.45001200000002</v>
      </c>
      <c r="C1675" s="1">
        <v>281.39999399999999</v>
      </c>
      <c r="D1675" s="1">
        <v>274.01001000000002</v>
      </c>
      <c r="E1675" s="1">
        <v>277.39001500000001</v>
      </c>
      <c r="F1675" s="1">
        <v>277.39001500000001</v>
      </c>
      <c r="G1675" s="2">
        <v>5676700</v>
      </c>
      <c r="H1675" s="2">
        <f t="shared" si="208"/>
        <v>2017</v>
      </c>
      <c r="I1675" s="2">
        <f t="shared" si="209"/>
        <v>2</v>
      </c>
      <c r="J1675" s="2">
        <f t="shared" si="210"/>
        <v>21</v>
      </c>
      <c r="K1675" s="2">
        <f t="shared" si="211"/>
        <v>3</v>
      </c>
      <c r="L1675" s="2">
        <f t="shared" si="212"/>
        <v>3</v>
      </c>
      <c r="M1675" s="3">
        <f t="shared" si="213"/>
        <v>272.23001099999999</v>
      </c>
      <c r="N1675" s="1">
        <f t="shared" ca="1" si="214"/>
        <v>272.23001099999999</v>
      </c>
      <c r="O1675" s="5">
        <f t="shared" si="215"/>
        <v>1.8954574409505653E-2</v>
      </c>
    </row>
    <row r="1676" spans="1:15" s="2" customFormat="1" x14ac:dyDescent="0.5">
      <c r="A1676" s="6">
        <v>42788</v>
      </c>
      <c r="B1676" s="1">
        <v>280.30999800000001</v>
      </c>
      <c r="C1676" s="1">
        <v>283.45001200000002</v>
      </c>
      <c r="D1676" s="1">
        <v>272.60000600000001</v>
      </c>
      <c r="E1676" s="1">
        <v>273.51001000000002</v>
      </c>
      <c r="F1676" s="1">
        <v>273.51001000000002</v>
      </c>
      <c r="G1676" s="2">
        <v>8755000</v>
      </c>
      <c r="H1676" s="2">
        <f t="shared" si="208"/>
        <v>2017</v>
      </c>
      <c r="I1676" s="2">
        <f t="shared" si="209"/>
        <v>2</v>
      </c>
      <c r="J1676" s="2">
        <f t="shared" si="210"/>
        <v>22</v>
      </c>
      <c r="K1676" s="2">
        <f t="shared" si="211"/>
        <v>4</v>
      </c>
      <c r="L1676" s="2">
        <f t="shared" si="212"/>
        <v>3</v>
      </c>
      <c r="M1676" s="3">
        <f t="shared" si="213"/>
        <v>277.39001500000001</v>
      </c>
      <c r="N1676" s="1">
        <f t="shared" ca="1" si="214"/>
        <v>277.39001500000001</v>
      </c>
      <c r="O1676" s="5">
        <f t="shared" si="215"/>
        <v>-1.3987543855895401E-2</v>
      </c>
    </row>
    <row r="1677" spans="1:15" s="2" customFormat="1" x14ac:dyDescent="0.5">
      <c r="A1677" s="6">
        <v>42789</v>
      </c>
      <c r="B1677" s="1">
        <v>264</v>
      </c>
      <c r="C1677" s="1">
        <v>264.66000400000001</v>
      </c>
      <c r="D1677" s="1">
        <v>255.55999800000001</v>
      </c>
      <c r="E1677" s="1">
        <v>255.990005</v>
      </c>
      <c r="F1677" s="1">
        <v>255.990005</v>
      </c>
      <c r="G1677" s="2">
        <v>14915200</v>
      </c>
      <c r="H1677" s="2">
        <f t="shared" si="208"/>
        <v>2017</v>
      </c>
      <c r="I1677" s="2">
        <f t="shared" si="209"/>
        <v>2</v>
      </c>
      <c r="J1677" s="2">
        <f t="shared" si="210"/>
        <v>23</v>
      </c>
      <c r="K1677" s="2">
        <f t="shared" si="211"/>
        <v>5</v>
      </c>
      <c r="L1677" s="2">
        <f t="shared" si="212"/>
        <v>3</v>
      </c>
      <c r="M1677" s="3">
        <f t="shared" si="213"/>
        <v>273.51001000000002</v>
      </c>
      <c r="N1677" s="1">
        <f t="shared" ca="1" si="214"/>
        <v>273.51001000000002</v>
      </c>
      <c r="O1677" s="5">
        <f t="shared" si="215"/>
        <v>-6.4056174763037044E-2</v>
      </c>
    </row>
    <row r="1678" spans="1:15" s="2" customFormat="1" x14ac:dyDescent="0.5">
      <c r="A1678" s="6">
        <v>42790</v>
      </c>
      <c r="B1678" s="1">
        <v>252.66000399999999</v>
      </c>
      <c r="C1678" s="1">
        <v>258.25</v>
      </c>
      <c r="D1678" s="1">
        <v>250.199997</v>
      </c>
      <c r="E1678" s="1">
        <v>257</v>
      </c>
      <c r="F1678" s="1">
        <v>257</v>
      </c>
      <c r="G1678" s="2">
        <v>8171600</v>
      </c>
      <c r="H1678" s="2">
        <f t="shared" si="208"/>
        <v>2017</v>
      </c>
      <c r="I1678" s="2">
        <f t="shared" si="209"/>
        <v>2</v>
      </c>
      <c r="J1678" s="2">
        <f t="shared" si="210"/>
        <v>24</v>
      </c>
      <c r="K1678" s="2">
        <f t="shared" si="211"/>
        <v>6</v>
      </c>
      <c r="L1678" s="2">
        <f t="shared" si="212"/>
        <v>3</v>
      </c>
      <c r="M1678" s="3">
        <f t="shared" si="213"/>
        <v>255.990005</v>
      </c>
      <c r="N1678" s="1">
        <f t="shared" ca="1" si="214"/>
        <v>255.990005</v>
      </c>
      <c r="O1678" s="5">
        <f t="shared" si="215"/>
        <v>3.9454470107143091E-3</v>
      </c>
    </row>
    <row r="1679" spans="1:15" s="2" customFormat="1" x14ac:dyDescent="0.5">
      <c r="A1679" s="6">
        <v>42793</v>
      </c>
      <c r="B1679" s="1">
        <v>248.16999799999999</v>
      </c>
      <c r="C1679" s="1">
        <v>248.36000100000001</v>
      </c>
      <c r="D1679" s="1">
        <v>242.009995</v>
      </c>
      <c r="E1679" s="1">
        <v>246.229996</v>
      </c>
      <c r="F1679" s="1">
        <v>246.229996</v>
      </c>
      <c r="G1679" s="2">
        <v>11460800</v>
      </c>
      <c r="H1679" s="2">
        <f t="shared" si="208"/>
        <v>2017</v>
      </c>
      <c r="I1679" s="2">
        <f t="shared" si="209"/>
        <v>2</v>
      </c>
      <c r="J1679" s="2">
        <f t="shared" si="210"/>
        <v>27</v>
      </c>
      <c r="K1679" s="2">
        <f t="shared" si="211"/>
        <v>2</v>
      </c>
      <c r="L1679" s="2">
        <f t="shared" si="212"/>
        <v>3</v>
      </c>
      <c r="M1679" s="3">
        <f t="shared" si="213"/>
        <v>257</v>
      </c>
      <c r="N1679" s="1">
        <f t="shared" ca="1" si="214"/>
        <v>257</v>
      </c>
      <c r="O1679" s="5">
        <f t="shared" si="215"/>
        <v>-4.1906630350194596E-2</v>
      </c>
    </row>
    <row r="1680" spans="1:15" s="2" customFormat="1" x14ac:dyDescent="0.5">
      <c r="A1680" s="6">
        <v>42794</v>
      </c>
      <c r="B1680" s="1">
        <v>244.19000199999999</v>
      </c>
      <c r="C1680" s="1">
        <v>251</v>
      </c>
      <c r="D1680" s="1">
        <v>243.89999399999999</v>
      </c>
      <c r="E1680" s="1">
        <v>249.990005</v>
      </c>
      <c r="F1680" s="1">
        <v>249.990005</v>
      </c>
      <c r="G1680" s="2">
        <v>6078100</v>
      </c>
      <c r="H1680" s="2">
        <f t="shared" si="208"/>
        <v>2017</v>
      </c>
      <c r="I1680" s="2">
        <f t="shared" si="209"/>
        <v>2</v>
      </c>
      <c r="J1680" s="2">
        <f t="shared" si="210"/>
        <v>28</v>
      </c>
      <c r="K1680" s="2">
        <f t="shared" si="211"/>
        <v>3</v>
      </c>
      <c r="L1680" s="2">
        <f t="shared" si="212"/>
        <v>3</v>
      </c>
      <c r="M1680" s="3">
        <f t="shared" si="213"/>
        <v>246.229996</v>
      </c>
      <c r="N1680" s="1">
        <f t="shared" ca="1" si="214"/>
        <v>246.229996</v>
      </c>
      <c r="O1680" s="5">
        <f t="shared" si="215"/>
        <v>1.5270312557694954E-2</v>
      </c>
    </row>
    <row r="1681" spans="1:15" s="2" customFormat="1" x14ac:dyDescent="0.5">
      <c r="A1681" s="6">
        <v>42795</v>
      </c>
      <c r="B1681" s="1">
        <v>254.179993</v>
      </c>
      <c r="C1681" s="1">
        <v>254.85000600000001</v>
      </c>
      <c r="D1681" s="1">
        <v>249.11000100000001</v>
      </c>
      <c r="E1681" s="1">
        <v>250.020004</v>
      </c>
      <c r="F1681" s="1">
        <v>250.020004</v>
      </c>
      <c r="G1681" s="2">
        <v>4809500</v>
      </c>
      <c r="H1681" s="2">
        <f t="shared" si="208"/>
        <v>2017</v>
      </c>
      <c r="I1681" s="2">
        <f t="shared" si="209"/>
        <v>3</v>
      </c>
      <c r="J1681" s="2">
        <f t="shared" si="210"/>
        <v>1</v>
      </c>
      <c r="K1681" s="2">
        <f t="shared" si="211"/>
        <v>4</v>
      </c>
      <c r="L1681" s="2">
        <f t="shared" si="212"/>
        <v>4</v>
      </c>
      <c r="M1681" s="3">
        <f t="shared" si="213"/>
        <v>249.990005</v>
      </c>
      <c r="N1681" s="1">
        <f t="shared" ca="1" si="214"/>
        <v>249.990005</v>
      </c>
      <c r="O1681" s="5">
        <f t="shared" si="215"/>
        <v>1.2000079763185845E-4</v>
      </c>
    </row>
    <row r="1682" spans="1:15" s="2" customFormat="1" x14ac:dyDescent="0.5">
      <c r="A1682" s="6">
        <v>42796</v>
      </c>
      <c r="B1682" s="1">
        <v>249.71000699999999</v>
      </c>
      <c r="C1682" s="1">
        <v>253.279999</v>
      </c>
      <c r="D1682" s="1">
        <v>248.270004</v>
      </c>
      <c r="E1682" s="1">
        <v>250.479996</v>
      </c>
      <c r="F1682" s="1">
        <v>250.479996</v>
      </c>
      <c r="G1682" s="2">
        <v>3351800</v>
      </c>
      <c r="H1682" s="2">
        <f t="shared" si="208"/>
        <v>2017</v>
      </c>
      <c r="I1682" s="2">
        <f t="shared" si="209"/>
        <v>3</v>
      </c>
      <c r="J1682" s="2">
        <f t="shared" si="210"/>
        <v>2</v>
      </c>
      <c r="K1682" s="2">
        <f t="shared" si="211"/>
        <v>5</v>
      </c>
      <c r="L1682" s="2">
        <f t="shared" si="212"/>
        <v>4</v>
      </c>
      <c r="M1682" s="3">
        <f t="shared" si="213"/>
        <v>250.020004</v>
      </c>
      <c r="N1682" s="1">
        <f t="shared" ca="1" si="214"/>
        <v>250.020004</v>
      </c>
      <c r="O1682" s="5">
        <f t="shared" si="215"/>
        <v>1.8398207848999704E-3</v>
      </c>
    </row>
    <row r="1683" spans="1:15" s="2" customFormat="1" x14ac:dyDescent="0.5">
      <c r="A1683" s="6">
        <v>42797</v>
      </c>
      <c r="B1683" s="1">
        <v>250.740005</v>
      </c>
      <c r="C1683" s="1">
        <v>251.89999399999999</v>
      </c>
      <c r="D1683" s="1">
        <v>249</v>
      </c>
      <c r="E1683" s="1">
        <v>251.570007</v>
      </c>
      <c r="F1683" s="1">
        <v>251.570007</v>
      </c>
      <c r="G1683" s="2">
        <v>2919400</v>
      </c>
      <c r="H1683" s="2">
        <f t="shared" si="208"/>
        <v>2017</v>
      </c>
      <c r="I1683" s="2">
        <f t="shared" si="209"/>
        <v>3</v>
      </c>
      <c r="J1683" s="2">
        <f t="shared" si="210"/>
        <v>3</v>
      </c>
      <c r="K1683" s="2">
        <f t="shared" si="211"/>
        <v>6</v>
      </c>
      <c r="L1683" s="2">
        <f t="shared" si="212"/>
        <v>4</v>
      </c>
      <c r="M1683" s="3">
        <f t="shared" si="213"/>
        <v>250.479996</v>
      </c>
      <c r="N1683" s="1">
        <f t="shared" ca="1" si="214"/>
        <v>250.479996</v>
      </c>
      <c r="O1683" s="5">
        <f t="shared" si="215"/>
        <v>4.3516888270791476E-3</v>
      </c>
    </row>
    <row r="1684" spans="1:15" s="2" customFormat="1" x14ac:dyDescent="0.5">
      <c r="A1684" s="6">
        <v>42800</v>
      </c>
      <c r="B1684" s="1">
        <v>247.91000399999999</v>
      </c>
      <c r="C1684" s="1">
        <v>251.699997</v>
      </c>
      <c r="D1684" s="1">
        <v>247.509995</v>
      </c>
      <c r="E1684" s="1">
        <v>251.21000699999999</v>
      </c>
      <c r="F1684" s="1">
        <v>251.21000699999999</v>
      </c>
      <c r="G1684" s="2">
        <v>3355500</v>
      </c>
      <c r="H1684" s="2">
        <f t="shared" si="208"/>
        <v>2017</v>
      </c>
      <c r="I1684" s="2">
        <f t="shared" si="209"/>
        <v>3</v>
      </c>
      <c r="J1684" s="2">
        <f t="shared" si="210"/>
        <v>6</v>
      </c>
      <c r="K1684" s="2">
        <f t="shared" si="211"/>
        <v>2</v>
      </c>
      <c r="L1684" s="2">
        <f t="shared" si="212"/>
        <v>4</v>
      </c>
      <c r="M1684" s="3">
        <f t="shared" si="213"/>
        <v>251.570007</v>
      </c>
      <c r="N1684" s="1">
        <f t="shared" ca="1" si="214"/>
        <v>251.570007</v>
      </c>
      <c r="O1684" s="5">
        <f t="shared" si="215"/>
        <v>-1.4310131970541873E-3</v>
      </c>
    </row>
    <row r="1685" spans="1:15" s="2" customFormat="1" x14ac:dyDescent="0.5">
      <c r="A1685" s="6">
        <v>42801</v>
      </c>
      <c r="B1685" s="1">
        <v>251.91999799999999</v>
      </c>
      <c r="C1685" s="1">
        <v>253.88999899999999</v>
      </c>
      <c r="D1685" s="1">
        <v>248.320007</v>
      </c>
      <c r="E1685" s="1">
        <v>248.58999600000001</v>
      </c>
      <c r="F1685" s="1">
        <v>248.58999600000001</v>
      </c>
      <c r="G1685" s="2">
        <v>3459500</v>
      </c>
      <c r="H1685" s="2">
        <f t="shared" si="208"/>
        <v>2017</v>
      </c>
      <c r="I1685" s="2">
        <f t="shared" si="209"/>
        <v>3</v>
      </c>
      <c r="J1685" s="2">
        <f t="shared" si="210"/>
        <v>7</v>
      </c>
      <c r="K1685" s="2">
        <f t="shared" si="211"/>
        <v>3</v>
      </c>
      <c r="L1685" s="2">
        <f t="shared" si="212"/>
        <v>4</v>
      </c>
      <c r="M1685" s="3">
        <f t="shared" si="213"/>
        <v>251.21000699999999</v>
      </c>
      <c r="N1685" s="1">
        <f t="shared" ca="1" si="214"/>
        <v>251.21000699999999</v>
      </c>
      <c r="O1685" s="5">
        <f t="shared" si="215"/>
        <v>-1.0429564615234366E-2</v>
      </c>
    </row>
    <row r="1686" spans="1:15" s="2" customFormat="1" x14ac:dyDescent="0.5">
      <c r="A1686" s="6">
        <v>42802</v>
      </c>
      <c r="B1686" s="1">
        <v>247</v>
      </c>
      <c r="C1686" s="1">
        <v>250.070007</v>
      </c>
      <c r="D1686" s="1">
        <v>245.320007</v>
      </c>
      <c r="E1686" s="1">
        <v>246.86999499999999</v>
      </c>
      <c r="F1686" s="1">
        <v>246.86999499999999</v>
      </c>
      <c r="G1686" s="2">
        <v>3725200</v>
      </c>
      <c r="H1686" s="2">
        <f t="shared" si="208"/>
        <v>2017</v>
      </c>
      <c r="I1686" s="2">
        <f t="shared" si="209"/>
        <v>3</v>
      </c>
      <c r="J1686" s="2">
        <f t="shared" si="210"/>
        <v>8</v>
      </c>
      <c r="K1686" s="2">
        <f t="shared" si="211"/>
        <v>4</v>
      </c>
      <c r="L1686" s="2">
        <f t="shared" si="212"/>
        <v>4</v>
      </c>
      <c r="M1686" s="3">
        <f t="shared" si="213"/>
        <v>248.58999600000001</v>
      </c>
      <c r="N1686" s="1">
        <f t="shared" ca="1" si="214"/>
        <v>248.58999600000001</v>
      </c>
      <c r="O1686" s="5">
        <f t="shared" si="215"/>
        <v>-6.9190274253837503E-3</v>
      </c>
    </row>
    <row r="1687" spans="1:15" s="2" customFormat="1" x14ac:dyDescent="0.5">
      <c r="A1687" s="6">
        <v>42803</v>
      </c>
      <c r="B1687" s="1">
        <v>247.63000500000001</v>
      </c>
      <c r="C1687" s="1">
        <v>248.66000399999999</v>
      </c>
      <c r="D1687" s="1">
        <v>243</v>
      </c>
      <c r="E1687" s="1">
        <v>244.89999399999999</v>
      </c>
      <c r="F1687" s="1">
        <v>244.89999399999999</v>
      </c>
      <c r="G1687" s="2">
        <v>3879300</v>
      </c>
      <c r="H1687" s="2">
        <f t="shared" si="208"/>
        <v>2017</v>
      </c>
      <c r="I1687" s="2">
        <f t="shared" si="209"/>
        <v>3</v>
      </c>
      <c r="J1687" s="2">
        <f t="shared" si="210"/>
        <v>9</v>
      </c>
      <c r="K1687" s="2">
        <f t="shared" si="211"/>
        <v>5</v>
      </c>
      <c r="L1687" s="2">
        <f t="shared" si="212"/>
        <v>4</v>
      </c>
      <c r="M1687" s="3">
        <f t="shared" si="213"/>
        <v>246.86999499999999</v>
      </c>
      <c r="N1687" s="1">
        <f t="shared" ca="1" si="214"/>
        <v>246.86999499999999</v>
      </c>
      <c r="O1687" s="5">
        <f t="shared" si="215"/>
        <v>-7.9799126661788122E-3</v>
      </c>
    </row>
    <row r="1688" spans="1:15" s="2" customFormat="1" x14ac:dyDescent="0.5">
      <c r="A1688" s="6">
        <v>42804</v>
      </c>
      <c r="B1688" s="1">
        <v>246.21000699999999</v>
      </c>
      <c r="C1688" s="1">
        <v>246.5</v>
      </c>
      <c r="D1688" s="1">
        <v>243</v>
      </c>
      <c r="E1688" s="1">
        <v>243.69000199999999</v>
      </c>
      <c r="F1688" s="1">
        <v>243.69000199999999</v>
      </c>
      <c r="G1688" s="2">
        <v>3066300</v>
      </c>
      <c r="H1688" s="2">
        <f t="shared" si="208"/>
        <v>2017</v>
      </c>
      <c r="I1688" s="2">
        <f t="shared" si="209"/>
        <v>3</v>
      </c>
      <c r="J1688" s="2">
        <f t="shared" si="210"/>
        <v>10</v>
      </c>
      <c r="K1688" s="2">
        <f t="shared" si="211"/>
        <v>6</v>
      </c>
      <c r="L1688" s="2">
        <f t="shared" si="212"/>
        <v>4</v>
      </c>
      <c r="M1688" s="3">
        <f t="shared" si="213"/>
        <v>244.89999399999999</v>
      </c>
      <c r="N1688" s="1">
        <f t="shared" ca="1" si="214"/>
        <v>244.89999399999999</v>
      </c>
      <c r="O1688" s="5">
        <f t="shared" si="215"/>
        <v>-4.9407596147185151E-3</v>
      </c>
    </row>
    <row r="1689" spans="1:15" s="2" customFormat="1" x14ac:dyDescent="0.5">
      <c r="A1689" s="6">
        <v>42807</v>
      </c>
      <c r="B1689" s="1">
        <v>244.820007</v>
      </c>
      <c r="C1689" s="1">
        <v>246.85000600000001</v>
      </c>
      <c r="D1689" s="1">
        <v>242.779999</v>
      </c>
      <c r="E1689" s="1">
        <v>246.16999799999999</v>
      </c>
      <c r="F1689" s="1">
        <v>246.16999799999999</v>
      </c>
      <c r="G1689" s="2">
        <v>3022600</v>
      </c>
      <c r="H1689" s="2">
        <f t="shared" si="208"/>
        <v>2017</v>
      </c>
      <c r="I1689" s="2">
        <f t="shared" si="209"/>
        <v>3</v>
      </c>
      <c r="J1689" s="2">
        <f t="shared" si="210"/>
        <v>13</v>
      </c>
      <c r="K1689" s="2">
        <f t="shared" si="211"/>
        <v>2</v>
      </c>
      <c r="L1689" s="2">
        <f t="shared" si="212"/>
        <v>4</v>
      </c>
      <c r="M1689" s="3">
        <f t="shared" si="213"/>
        <v>243.69000199999999</v>
      </c>
      <c r="N1689" s="1">
        <f t="shared" ca="1" si="214"/>
        <v>243.69000199999999</v>
      </c>
      <c r="O1689" s="5">
        <f t="shared" si="215"/>
        <v>1.0176847550766643E-2</v>
      </c>
    </row>
    <row r="1690" spans="1:15" s="2" customFormat="1" x14ac:dyDescent="0.5">
      <c r="A1690" s="6">
        <v>42808</v>
      </c>
      <c r="B1690" s="1">
        <v>246.11000100000001</v>
      </c>
      <c r="C1690" s="1">
        <v>258.11999500000002</v>
      </c>
      <c r="D1690" s="1">
        <v>246.020004</v>
      </c>
      <c r="E1690" s="1">
        <v>258</v>
      </c>
      <c r="F1690" s="1">
        <v>258</v>
      </c>
      <c r="G1690" s="2">
        <v>7598400</v>
      </c>
      <c r="H1690" s="2">
        <f t="shared" si="208"/>
        <v>2017</v>
      </c>
      <c r="I1690" s="2">
        <f t="shared" si="209"/>
        <v>3</v>
      </c>
      <c r="J1690" s="2">
        <f t="shared" si="210"/>
        <v>14</v>
      </c>
      <c r="K1690" s="2">
        <f t="shared" si="211"/>
        <v>3</v>
      </c>
      <c r="L1690" s="2">
        <f t="shared" si="212"/>
        <v>4</v>
      </c>
      <c r="M1690" s="3">
        <f t="shared" si="213"/>
        <v>246.16999799999999</v>
      </c>
      <c r="N1690" s="1">
        <f t="shared" ca="1" si="214"/>
        <v>246.16999799999999</v>
      </c>
      <c r="O1690" s="5">
        <f t="shared" si="215"/>
        <v>4.8056229825374608E-2</v>
      </c>
    </row>
    <row r="1691" spans="1:15" s="2" customFormat="1" x14ac:dyDescent="0.5">
      <c r="A1691" s="6">
        <v>42809</v>
      </c>
      <c r="B1691" s="1">
        <v>257</v>
      </c>
      <c r="C1691" s="1">
        <v>261</v>
      </c>
      <c r="D1691" s="1">
        <v>254.270004</v>
      </c>
      <c r="E1691" s="1">
        <v>255.729996</v>
      </c>
      <c r="F1691" s="1">
        <v>255.729996</v>
      </c>
      <c r="G1691" s="2">
        <v>5330800</v>
      </c>
      <c r="H1691" s="2">
        <f t="shared" si="208"/>
        <v>2017</v>
      </c>
      <c r="I1691" s="2">
        <f t="shared" si="209"/>
        <v>3</v>
      </c>
      <c r="J1691" s="2">
        <f t="shared" si="210"/>
        <v>15</v>
      </c>
      <c r="K1691" s="2">
        <f t="shared" si="211"/>
        <v>4</v>
      </c>
      <c r="L1691" s="2">
        <f t="shared" si="212"/>
        <v>4</v>
      </c>
      <c r="M1691" s="3">
        <f t="shared" si="213"/>
        <v>258</v>
      </c>
      <c r="N1691" s="1">
        <f t="shared" ca="1" si="214"/>
        <v>258</v>
      </c>
      <c r="O1691" s="5">
        <f t="shared" si="215"/>
        <v>-8.7984651162790195E-3</v>
      </c>
    </row>
    <row r="1692" spans="1:15" s="2" customFormat="1" x14ac:dyDescent="0.5">
      <c r="A1692" s="6">
        <v>42810</v>
      </c>
      <c r="B1692" s="1">
        <v>262.39999399999999</v>
      </c>
      <c r="C1692" s="1">
        <v>265.75</v>
      </c>
      <c r="D1692" s="1">
        <v>259.05999800000001</v>
      </c>
      <c r="E1692" s="1">
        <v>262.04998799999998</v>
      </c>
      <c r="F1692" s="1">
        <v>262.04998799999998</v>
      </c>
      <c r="G1692" s="2">
        <v>7132200</v>
      </c>
      <c r="H1692" s="2">
        <f t="shared" si="208"/>
        <v>2017</v>
      </c>
      <c r="I1692" s="2">
        <f t="shared" si="209"/>
        <v>3</v>
      </c>
      <c r="J1692" s="2">
        <f t="shared" si="210"/>
        <v>16</v>
      </c>
      <c r="K1692" s="2">
        <f t="shared" si="211"/>
        <v>5</v>
      </c>
      <c r="L1692" s="2">
        <f t="shared" si="212"/>
        <v>4</v>
      </c>
      <c r="M1692" s="3">
        <f t="shared" si="213"/>
        <v>255.729996</v>
      </c>
      <c r="N1692" s="1">
        <f t="shared" ca="1" si="214"/>
        <v>255.729996</v>
      </c>
      <c r="O1692" s="5">
        <f t="shared" si="215"/>
        <v>2.4713534191741715E-2</v>
      </c>
    </row>
    <row r="1693" spans="1:15" s="2" customFormat="1" x14ac:dyDescent="0.5">
      <c r="A1693" s="6">
        <v>42811</v>
      </c>
      <c r="B1693" s="1">
        <v>264</v>
      </c>
      <c r="C1693" s="1">
        <v>265.32998700000002</v>
      </c>
      <c r="D1693" s="1">
        <v>261.20001200000002</v>
      </c>
      <c r="E1693" s="1">
        <v>261.5</v>
      </c>
      <c r="F1693" s="1">
        <v>261.5</v>
      </c>
      <c r="G1693" s="2">
        <v>6497500</v>
      </c>
      <c r="H1693" s="2">
        <f t="shared" si="208"/>
        <v>2017</v>
      </c>
      <c r="I1693" s="2">
        <f t="shared" si="209"/>
        <v>3</v>
      </c>
      <c r="J1693" s="2">
        <f t="shared" si="210"/>
        <v>17</v>
      </c>
      <c r="K1693" s="2">
        <f t="shared" si="211"/>
        <v>6</v>
      </c>
      <c r="L1693" s="2">
        <f t="shared" si="212"/>
        <v>4</v>
      </c>
      <c r="M1693" s="3">
        <f t="shared" si="213"/>
        <v>262.04998799999998</v>
      </c>
      <c r="N1693" s="1">
        <f t="shared" ca="1" si="214"/>
        <v>262.04998799999998</v>
      </c>
      <c r="O1693" s="5">
        <f t="shared" si="215"/>
        <v>-2.0987904033027416E-3</v>
      </c>
    </row>
    <row r="1694" spans="1:15" s="2" customFormat="1" x14ac:dyDescent="0.5">
      <c r="A1694" s="6">
        <v>42814</v>
      </c>
      <c r="B1694" s="1">
        <v>260.60000600000001</v>
      </c>
      <c r="C1694" s="1">
        <v>264.54998799999998</v>
      </c>
      <c r="D1694" s="1">
        <v>258.82000699999998</v>
      </c>
      <c r="E1694" s="1">
        <v>261.92001299999998</v>
      </c>
      <c r="F1694" s="1">
        <v>261.92001299999998</v>
      </c>
      <c r="G1694" s="2">
        <v>3614300</v>
      </c>
      <c r="H1694" s="2">
        <f t="shared" si="208"/>
        <v>2017</v>
      </c>
      <c r="I1694" s="2">
        <f t="shared" si="209"/>
        <v>3</v>
      </c>
      <c r="J1694" s="2">
        <f t="shared" si="210"/>
        <v>20</v>
      </c>
      <c r="K1694" s="2">
        <f t="shared" si="211"/>
        <v>2</v>
      </c>
      <c r="L1694" s="2">
        <f t="shared" si="212"/>
        <v>4</v>
      </c>
      <c r="M1694" s="3">
        <f t="shared" si="213"/>
        <v>261.5</v>
      </c>
      <c r="N1694" s="1">
        <f t="shared" ca="1" si="214"/>
        <v>261.5</v>
      </c>
      <c r="O1694" s="5">
        <f t="shared" si="215"/>
        <v>1.6061682600381211E-3</v>
      </c>
    </row>
    <row r="1695" spans="1:15" s="2" customFormat="1" x14ac:dyDescent="0.5">
      <c r="A1695" s="6">
        <v>42815</v>
      </c>
      <c r="B1695" s="1">
        <v>262.82998700000002</v>
      </c>
      <c r="C1695" s="1">
        <v>264.79998799999998</v>
      </c>
      <c r="D1695" s="1">
        <v>250.240005</v>
      </c>
      <c r="E1695" s="1">
        <v>250.679993</v>
      </c>
      <c r="F1695" s="1">
        <v>250.679993</v>
      </c>
      <c r="G1695" s="2">
        <v>6908600</v>
      </c>
      <c r="H1695" s="2">
        <f t="shared" si="208"/>
        <v>2017</v>
      </c>
      <c r="I1695" s="2">
        <f t="shared" si="209"/>
        <v>3</v>
      </c>
      <c r="J1695" s="2">
        <f t="shared" si="210"/>
        <v>21</v>
      </c>
      <c r="K1695" s="2">
        <f t="shared" si="211"/>
        <v>3</v>
      </c>
      <c r="L1695" s="2">
        <f t="shared" si="212"/>
        <v>4</v>
      </c>
      <c r="M1695" s="3">
        <f t="shared" si="213"/>
        <v>261.92001299999998</v>
      </c>
      <c r="N1695" s="1">
        <f t="shared" ca="1" si="214"/>
        <v>261.92001299999998</v>
      </c>
      <c r="O1695" s="5">
        <f t="shared" si="215"/>
        <v>-4.2913941058791871E-2</v>
      </c>
    </row>
    <row r="1696" spans="1:15" s="2" customFormat="1" x14ac:dyDescent="0.5">
      <c r="A1696" s="6">
        <v>42816</v>
      </c>
      <c r="B1696" s="1">
        <v>251.55999800000001</v>
      </c>
      <c r="C1696" s="1">
        <v>255.070007</v>
      </c>
      <c r="D1696" s="1">
        <v>250.509995</v>
      </c>
      <c r="E1696" s="1">
        <v>255.009995</v>
      </c>
      <c r="F1696" s="1">
        <v>255.009995</v>
      </c>
      <c r="G1696" s="2">
        <v>4059300</v>
      </c>
      <c r="H1696" s="2">
        <f t="shared" si="208"/>
        <v>2017</v>
      </c>
      <c r="I1696" s="2">
        <f t="shared" si="209"/>
        <v>3</v>
      </c>
      <c r="J1696" s="2">
        <f t="shared" si="210"/>
        <v>22</v>
      </c>
      <c r="K1696" s="2">
        <f t="shared" si="211"/>
        <v>4</v>
      </c>
      <c r="L1696" s="2">
        <f t="shared" si="212"/>
        <v>4</v>
      </c>
      <c r="M1696" s="3">
        <f t="shared" si="213"/>
        <v>250.679993</v>
      </c>
      <c r="N1696" s="1">
        <f t="shared" ca="1" si="214"/>
        <v>250.679993</v>
      </c>
      <c r="O1696" s="5">
        <f t="shared" si="215"/>
        <v>1.7273025853323798E-2</v>
      </c>
    </row>
    <row r="1697" spans="1:15" s="2" customFormat="1" x14ac:dyDescent="0.5">
      <c r="A1697" s="6">
        <v>42817</v>
      </c>
      <c r="B1697" s="1">
        <v>255.38999899999999</v>
      </c>
      <c r="C1697" s="1">
        <v>257.67001299999998</v>
      </c>
      <c r="D1697" s="1">
        <v>253.300003</v>
      </c>
      <c r="E1697" s="1">
        <v>254.779999</v>
      </c>
      <c r="F1697" s="1">
        <v>254.779999</v>
      </c>
      <c r="G1697" s="2">
        <v>3320200</v>
      </c>
      <c r="H1697" s="2">
        <f t="shared" si="208"/>
        <v>2017</v>
      </c>
      <c r="I1697" s="2">
        <f t="shared" si="209"/>
        <v>3</v>
      </c>
      <c r="J1697" s="2">
        <f t="shared" si="210"/>
        <v>23</v>
      </c>
      <c r="K1697" s="2">
        <f t="shared" si="211"/>
        <v>5</v>
      </c>
      <c r="L1697" s="2">
        <f t="shared" si="212"/>
        <v>4</v>
      </c>
      <c r="M1697" s="3">
        <f t="shared" si="213"/>
        <v>255.009995</v>
      </c>
      <c r="N1697" s="1">
        <f t="shared" ca="1" si="214"/>
        <v>255.009995</v>
      </c>
      <c r="O1697" s="5">
        <f t="shared" si="215"/>
        <v>-9.0190974671400248E-4</v>
      </c>
    </row>
    <row r="1698" spans="1:15" s="2" customFormat="1" x14ac:dyDescent="0.5">
      <c r="A1698" s="6">
        <v>42818</v>
      </c>
      <c r="B1698" s="1">
        <v>255.699997</v>
      </c>
      <c r="C1698" s="1">
        <v>263.89001500000001</v>
      </c>
      <c r="D1698" s="1">
        <v>255.009995</v>
      </c>
      <c r="E1698" s="1">
        <v>263.16000400000001</v>
      </c>
      <c r="F1698" s="1">
        <v>263.16000400000001</v>
      </c>
      <c r="G1698" s="2">
        <v>5647300</v>
      </c>
      <c r="H1698" s="2">
        <f t="shared" si="208"/>
        <v>2017</v>
      </c>
      <c r="I1698" s="2">
        <f t="shared" si="209"/>
        <v>3</v>
      </c>
      <c r="J1698" s="2">
        <f t="shared" si="210"/>
        <v>24</v>
      </c>
      <c r="K1698" s="2">
        <f t="shared" si="211"/>
        <v>6</v>
      </c>
      <c r="L1698" s="2">
        <f t="shared" si="212"/>
        <v>4</v>
      </c>
      <c r="M1698" s="3">
        <f t="shared" si="213"/>
        <v>254.779999</v>
      </c>
      <c r="N1698" s="1">
        <f t="shared" ca="1" si="214"/>
        <v>254.779999</v>
      </c>
      <c r="O1698" s="5">
        <f t="shared" si="215"/>
        <v>3.28911415059705E-2</v>
      </c>
    </row>
    <row r="1699" spans="1:15" s="2" customFormat="1" x14ac:dyDescent="0.5">
      <c r="A1699" s="6">
        <v>42821</v>
      </c>
      <c r="B1699" s="1">
        <v>260.60000600000001</v>
      </c>
      <c r="C1699" s="1">
        <v>270.57000699999998</v>
      </c>
      <c r="D1699" s="1">
        <v>259.75</v>
      </c>
      <c r="E1699" s="1">
        <v>270.22000100000002</v>
      </c>
      <c r="F1699" s="1">
        <v>270.22000100000002</v>
      </c>
      <c r="G1699" s="2">
        <v>6230800</v>
      </c>
      <c r="H1699" s="2">
        <f t="shared" si="208"/>
        <v>2017</v>
      </c>
      <c r="I1699" s="2">
        <f t="shared" si="209"/>
        <v>3</v>
      </c>
      <c r="J1699" s="2">
        <f t="shared" si="210"/>
        <v>27</v>
      </c>
      <c r="K1699" s="2">
        <f t="shared" si="211"/>
        <v>2</v>
      </c>
      <c r="L1699" s="2">
        <f t="shared" si="212"/>
        <v>4</v>
      </c>
      <c r="M1699" s="3">
        <f t="shared" si="213"/>
        <v>263.16000400000001</v>
      </c>
      <c r="N1699" s="1">
        <f t="shared" ca="1" si="214"/>
        <v>263.16000400000001</v>
      </c>
      <c r="O1699" s="5">
        <f t="shared" si="215"/>
        <v>2.6827773570029301E-2</v>
      </c>
    </row>
    <row r="1700" spans="1:15" s="2" customFormat="1" x14ac:dyDescent="0.5">
      <c r="A1700" s="6">
        <v>42822</v>
      </c>
      <c r="B1700" s="1">
        <v>277.01998900000001</v>
      </c>
      <c r="C1700" s="1">
        <v>280.67999300000002</v>
      </c>
      <c r="D1700" s="1">
        <v>275</v>
      </c>
      <c r="E1700" s="1">
        <v>277.45001200000002</v>
      </c>
      <c r="F1700" s="1">
        <v>277.45001200000002</v>
      </c>
      <c r="G1700" s="2">
        <v>7987600</v>
      </c>
      <c r="H1700" s="2">
        <f t="shared" si="208"/>
        <v>2017</v>
      </c>
      <c r="I1700" s="2">
        <f t="shared" si="209"/>
        <v>3</v>
      </c>
      <c r="J1700" s="2">
        <f t="shared" si="210"/>
        <v>28</v>
      </c>
      <c r="K1700" s="2">
        <f t="shared" si="211"/>
        <v>3</v>
      </c>
      <c r="L1700" s="2">
        <f t="shared" si="212"/>
        <v>4</v>
      </c>
      <c r="M1700" s="3">
        <f t="shared" si="213"/>
        <v>270.22000100000002</v>
      </c>
      <c r="N1700" s="1">
        <f t="shared" ca="1" si="214"/>
        <v>270.22000100000002</v>
      </c>
      <c r="O1700" s="5">
        <f t="shared" si="215"/>
        <v>2.6756017220205708E-2</v>
      </c>
    </row>
    <row r="1701" spans="1:15" s="2" customFormat="1" x14ac:dyDescent="0.5">
      <c r="A1701" s="6">
        <v>42823</v>
      </c>
      <c r="B1701" s="1">
        <v>278.33999599999999</v>
      </c>
      <c r="C1701" s="1">
        <v>279.60000600000001</v>
      </c>
      <c r="D1701" s="1">
        <v>275.540009</v>
      </c>
      <c r="E1701" s="1">
        <v>277.38000499999998</v>
      </c>
      <c r="F1701" s="1">
        <v>277.38000499999998</v>
      </c>
      <c r="G1701" s="2">
        <v>3676200</v>
      </c>
      <c r="H1701" s="2">
        <f t="shared" si="208"/>
        <v>2017</v>
      </c>
      <c r="I1701" s="2">
        <f t="shared" si="209"/>
        <v>3</v>
      </c>
      <c r="J1701" s="2">
        <f t="shared" si="210"/>
        <v>29</v>
      </c>
      <c r="K1701" s="2">
        <f t="shared" si="211"/>
        <v>4</v>
      </c>
      <c r="L1701" s="2">
        <f t="shared" si="212"/>
        <v>4</v>
      </c>
      <c r="M1701" s="3">
        <f t="shared" si="213"/>
        <v>277.45001200000002</v>
      </c>
      <c r="N1701" s="1">
        <f t="shared" ca="1" si="214"/>
        <v>277.45001200000002</v>
      </c>
      <c r="O1701" s="5">
        <f t="shared" si="215"/>
        <v>-2.5232293015731155E-4</v>
      </c>
    </row>
    <row r="1702" spans="1:15" s="2" customFormat="1" x14ac:dyDescent="0.5">
      <c r="A1702" s="6">
        <v>42824</v>
      </c>
      <c r="B1702" s="1">
        <v>278.040009</v>
      </c>
      <c r="C1702" s="1">
        <v>282</v>
      </c>
      <c r="D1702" s="1">
        <v>277.209991</v>
      </c>
      <c r="E1702" s="1">
        <v>277.92001299999998</v>
      </c>
      <c r="F1702" s="1">
        <v>277.92001299999998</v>
      </c>
      <c r="G1702" s="2">
        <v>4148400</v>
      </c>
      <c r="H1702" s="2">
        <f t="shared" si="208"/>
        <v>2017</v>
      </c>
      <c r="I1702" s="2">
        <f t="shared" si="209"/>
        <v>3</v>
      </c>
      <c r="J1702" s="2">
        <f t="shared" si="210"/>
        <v>30</v>
      </c>
      <c r="K1702" s="2">
        <f t="shared" si="211"/>
        <v>5</v>
      </c>
      <c r="L1702" s="2">
        <f t="shared" si="212"/>
        <v>4</v>
      </c>
      <c r="M1702" s="3">
        <f t="shared" si="213"/>
        <v>277.38000499999998</v>
      </c>
      <c r="N1702" s="1">
        <f t="shared" ca="1" si="214"/>
        <v>277.38000499999998</v>
      </c>
      <c r="O1702" s="5">
        <f t="shared" si="215"/>
        <v>1.9468166063376646E-3</v>
      </c>
    </row>
    <row r="1703" spans="1:15" s="2" customFormat="1" x14ac:dyDescent="0.5">
      <c r="A1703" s="6">
        <v>42825</v>
      </c>
      <c r="B1703" s="1">
        <v>278.73001099999999</v>
      </c>
      <c r="C1703" s="1">
        <v>279.67999300000002</v>
      </c>
      <c r="D1703" s="1">
        <v>276.32000699999998</v>
      </c>
      <c r="E1703" s="1">
        <v>278.29998799999998</v>
      </c>
      <c r="F1703" s="1">
        <v>278.29998799999998</v>
      </c>
      <c r="G1703" s="2">
        <v>3294600</v>
      </c>
      <c r="H1703" s="2">
        <f t="shared" si="208"/>
        <v>2017</v>
      </c>
      <c r="I1703" s="2">
        <f t="shared" si="209"/>
        <v>3</v>
      </c>
      <c r="J1703" s="2">
        <f t="shared" si="210"/>
        <v>31</v>
      </c>
      <c r="K1703" s="2">
        <f t="shared" si="211"/>
        <v>6</v>
      </c>
      <c r="L1703" s="2">
        <f t="shared" si="212"/>
        <v>4</v>
      </c>
      <c r="M1703" s="3">
        <f t="shared" si="213"/>
        <v>277.92001299999998</v>
      </c>
      <c r="N1703" s="1">
        <f t="shared" ca="1" si="214"/>
        <v>277.92001299999998</v>
      </c>
      <c r="O1703" s="5">
        <f t="shared" si="215"/>
        <v>1.3672099245332081E-3</v>
      </c>
    </row>
    <row r="1704" spans="1:15" s="2" customFormat="1" x14ac:dyDescent="0.5">
      <c r="A1704" s="6">
        <v>42828</v>
      </c>
      <c r="B1704" s="1">
        <v>286.89999399999999</v>
      </c>
      <c r="C1704" s="1">
        <v>299</v>
      </c>
      <c r="D1704" s="1">
        <v>284.57998700000002</v>
      </c>
      <c r="E1704" s="1">
        <v>298.51998900000001</v>
      </c>
      <c r="F1704" s="1">
        <v>298.51998900000001</v>
      </c>
      <c r="G1704" s="2">
        <v>13888600</v>
      </c>
      <c r="H1704" s="2">
        <f t="shared" si="208"/>
        <v>2017</v>
      </c>
      <c r="I1704" s="2">
        <f t="shared" si="209"/>
        <v>4</v>
      </c>
      <c r="J1704" s="2">
        <f t="shared" si="210"/>
        <v>3</v>
      </c>
      <c r="K1704" s="2">
        <f t="shared" si="211"/>
        <v>2</v>
      </c>
      <c r="L1704" s="2">
        <f t="shared" si="212"/>
        <v>5</v>
      </c>
      <c r="M1704" s="3">
        <f t="shared" si="213"/>
        <v>278.29998799999998</v>
      </c>
      <c r="N1704" s="1">
        <f t="shared" ca="1" si="214"/>
        <v>278.29998799999998</v>
      </c>
      <c r="O1704" s="5">
        <f t="shared" si="215"/>
        <v>7.2655414559342546E-2</v>
      </c>
    </row>
    <row r="1705" spans="1:15" s="2" customFormat="1" x14ac:dyDescent="0.5">
      <c r="A1705" s="6">
        <v>42829</v>
      </c>
      <c r="B1705" s="1">
        <v>296.89001500000001</v>
      </c>
      <c r="C1705" s="1">
        <v>304.80999800000001</v>
      </c>
      <c r="D1705" s="1">
        <v>294.52999899999998</v>
      </c>
      <c r="E1705" s="1">
        <v>303.70001200000002</v>
      </c>
      <c r="F1705" s="1">
        <v>303.70001200000002</v>
      </c>
      <c r="G1705" s="2">
        <v>10134600</v>
      </c>
      <c r="H1705" s="2">
        <f t="shared" si="208"/>
        <v>2017</v>
      </c>
      <c r="I1705" s="2">
        <f t="shared" si="209"/>
        <v>4</v>
      </c>
      <c r="J1705" s="2">
        <f t="shared" si="210"/>
        <v>4</v>
      </c>
      <c r="K1705" s="2">
        <f t="shared" si="211"/>
        <v>3</v>
      </c>
      <c r="L1705" s="2">
        <f t="shared" si="212"/>
        <v>5</v>
      </c>
      <c r="M1705" s="3">
        <f t="shared" si="213"/>
        <v>298.51998900000001</v>
      </c>
      <c r="N1705" s="1">
        <f t="shared" ca="1" si="214"/>
        <v>298.51998900000001</v>
      </c>
      <c r="O1705" s="5">
        <f t="shared" si="215"/>
        <v>1.7352348890780744E-2</v>
      </c>
    </row>
    <row r="1706" spans="1:15" s="2" customFormat="1" x14ac:dyDescent="0.5">
      <c r="A1706" s="6">
        <v>42830</v>
      </c>
      <c r="B1706" s="1">
        <v>302.040009</v>
      </c>
      <c r="C1706" s="1">
        <v>304.88000499999998</v>
      </c>
      <c r="D1706" s="1">
        <v>294.20001200000002</v>
      </c>
      <c r="E1706" s="1">
        <v>295</v>
      </c>
      <c r="F1706" s="1">
        <v>295</v>
      </c>
      <c r="G1706" s="2">
        <v>7880900</v>
      </c>
      <c r="H1706" s="2">
        <f t="shared" si="208"/>
        <v>2017</v>
      </c>
      <c r="I1706" s="2">
        <f t="shared" si="209"/>
        <v>4</v>
      </c>
      <c r="J1706" s="2">
        <f t="shared" si="210"/>
        <v>5</v>
      </c>
      <c r="K1706" s="2">
        <f t="shared" si="211"/>
        <v>4</v>
      </c>
      <c r="L1706" s="2">
        <f t="shared" si="212"/>
        <v>5</v>
      </c>
      <c r="M1706" s="3">
        <f t="shared" si="213"/>
        <v>303.70001200000002</v>
      </c>
      <c r="N1706" s="1">
        <f t="shared" ca="1" si="214"/>
        <v>303.70001200000002</v>
      </c>
      <c r="O1706" s="5">
        <f t="shared" si="215"/>
        <v>-2.864672919407063E-2</v>
      </c>
    </row>
    <row r="1707" spans="1:15" s="2" customFormat="1" x14ac:dyDescent="0.5">
      <c r="A1707" s="6">
        <v>42831</v>
      </c>
      <c r="B1707" s="1">
        <v>296.88000499999998</v>
      </c>
      <c r="C1707" s="1">
        <v>301.94000199999999</v>
      </c>
      <c r="D1707" s="1">
        <v>294.10000600000001</v>
      </c>
      <c r="E1707" s="1">
        <v>298.70001200000002</v>
      </c>
      <c r="F1707" s="1">
        <v>298.70001200000002</v>
      </c>
      <c r="G1707" s="2">
        <v>5520600</v>
      </c>
      <c r="H1707" s="2">
        <f t="shared" si="208"/>
        <v>2017</v>
      </c>
      <c r="I1707" s="2">
        <f t="shared" si="209"/>
        <v>4</v>
      </c>
      <c r="J1707" s="2">
        <f t="shared" si="210"/>
        <v>6</v>
      </c>
      <c r="K1707" s="2">
        <f t="shared" si="211"/>
        <v>5</v>
      </c>
      <c r="L1707" s="2">
        <f t="shared" si="212"/>
        <v>5</v>
      </c>
      <c r="M1707" s="3">
        <f t="shared" si="213"/>
        <v>295</v>
      </c>
      <c r="N1707" s="1">
        <f t="shared" ca="1" si="214"/>
        <v>295</v>
      </c>
      <c r="O1707" s="5">
        <f t="shared" si="215"/>
        <v>1.2542413559322174E-2</v>
      </c>
    </row>
    <row r="1708" spans="1:15" s="2" customFormat="1" x14ac:dyDescent="0.5">
      <c r="A1708" s="6">
        <v>42832</v>
      </c>
      <c r="B1708" s="1">
        <v>297.5</v>
      </c>
      <c r="C1708" s="1">
        <v>302.69000199999999</v>
      </c>
      <c r="D1708" s="1">
        <v>297.14999399999999</v>
      </c>
      <c r="E1708" s="1">
        <v>302.540009</v>
      </c>
      <c r="F1708" s="1">
        <v>302.540009</v>
      </c>
      <c r="G1708" s="2">
        <v>4579600</v>
      </c>
      <c r="H1708" s="2">
        <f t="shared" si="208"/>
        <v>2017</v>
      </c>
      <c r="I1708" s="2">
        <f t="shared" si="209"/>
        <v>4</v>
      </c>
      <c r="J1708" s="2">
        <f t="shared" si="210"/>
        <v>7</v>
      </c>
      <c r="K1708" s="2">
        <f t="shared" si="211"/>
        <v>6</v>
      </c>
      <c r="L1708" s="2">
        <f t="shared" si="212"/>
        <v>5</v>
      </c>
      <c r="M1708" s="3">
        <f t="shared" si="213"/>
        <v>298.70001200000002</v>
      </c>
      <c r="N1708" s="1">
        <f t="shared" ca="1" si="214"/>
        <v>298.70001200000002</v>
      </c>
      <c r="O1708" s="5">
        <f t="shared" si="215"/>
        <v>1.2855697508308062E-2</v>
      </c>
    </row>
    <row r="1709" spans="1:15" s="2" customFormat="1" x14ac:dyDescent="0.5">
      <c r="A1709" s="6">
        <v>42835</v>
      </c>
      <c r="B1709" s="1">
        <v>309.14999399999999</v>
      </c>
      <c r="C1709" s="1">
        <v>313.73001099999999</v>
      </c>
      <c r="D1709" s="1">
        <v>308.709991</v>
      </c>
      <c r="E1709" s="1">
        <v>312.39001500000001</v>
      </c>
      <c r="F1709" s="1">
        <v>312.39001500000001</v>
      </c>
      <c r="G1709" s="2">
        <v>7664500</v>
      </c>
      <c r="H1709" s="2">
        <f t="shared" si="208"/>
        <v>2017</v>
      </c>
      <c r="I1709" s="2">
        <f t="shared" si="209"/>
        <v>4</v>
      </c>
      <c r="J1709" s="2">
        <f t="shared" si="210"/>
        <v>10</v>
      </c>
      <c r="K1709" s="2">
        <f t="shared" si="211"/>
        <v>2</v>
      </c>
      <c r="L1709" s="2">
        <f t="shared" si="212"/>
        <v>5</v>
      </c>
      <c r="M1709" s="3">
        <f t="shared" si="213"/>
        <v>302.540009</v>
      </c>
      <c r="N1709" s="1">
        <f t="shared" ca="1" si="214"/>
        <v>302.540009</v>
      </c>
      <c r="O1709" s="5">
        <f t="shared" si="215"/>
        <v>3.2557697187085122E-2</v>
      </c>
    </row>
    <row r="1710" spans="1:15" s="2" customFormat="1" x14ac:dyDescent="0.5">
      <c r="A1710" s="6">
        <v>42836</v>
      </c>
      <c r="B1710" s="1">
        <v>313.38000499999998</v>
      </c>
      <c r="C1710" s="1">
        <v>313.47000100000002</v>
      </c>
      <c r="D1710" s="1">
        <v>305.5</v>
      </c>
      <c r="E1710" s="1">
        <v>308.709991</v>
      </c>
      <c r="F1710" s="1">
        <v>308.709991</v>
      </c>
      <c r="G1710" s="2">
        <v>5724600</v>
      </c>
      <c r="H1710" s="2">
        <f t="shared" si="208"/>
        <v>2017</v>
      </c>
      <c r="I1710" s="2">
        <f t="shared" si="209"/>
        <v>4</v>
      </c>
      <c r="J1710" s="2">
        <f t="shared" si="210"/>
        <v>11</v>
      </c>
      <c r="K1710" s="2">
        <f t="shared" si="211"/>
        <v>3</v>
      </c>
      <c r="L1710" s="2">
        <f t="shared" si="212"/>
        <v>5</v>
      </c>
      <c r="M1710" s="3">
        <f t="shared" si="213"/>
        <v>312.39001500000001</v>
      </c>
      <c r="N1710" s="1">
        <f t="shared" ca="1" si="214"/>
        <v>312.39001500000001</v>
      </c>
      <c r="O1710" s="5">
        <f t="shared" si="215"/>
        <v>-1.1780222873000623E-2</v>
      </c>
    </row>
    <row r="1711" spans="1:15" s="2" customFormat="1" x14ac:dyDescent="0.5">
      <c r="A1711" s="6">
        <v>42837</v>
      </c>
      <c r="B1711" s="1">
        <v>306.33999599999999</v>
      </c>
      <c r="C1711" s="1">
        <v>308.45001200000002</v>
      </c>
      <c r="D1711" s="1">
        <v>296.32000699999998</v>
      </c>
      <c r="E1711" s="1">
        <v>296.83999599999999</v>
      </c>
      <c r="F1711" s="1">
        <v>296.83999599999999</v>
      </c>
      <c r="G1711" s="2">
        <v>6050700</v>
      </c>
      <c r="H1711" s="2">
        <f t="shared" si="208"/>
        <v>2017</v>
      </c>
      <c r="I1711" s="2">
        <f t="shared" si="209"/>
        <v>4</v>
      </c>
      <c r="J1711" s="2">
        <f t="shared" si="210"/>
        <v>12</v>
      </c>
      <c r="K1711" s="2">
        <f t="shared" si="211"/>
        <v>4</v>
      </c>
      <c r="L1711" s="2">
        <f t="shared" si="212"/>
        <v>5</v>
      </c>
      <c r="M1711" s="3">
        <f t="shared" si="213"/>
        <v>308.709991</v>
      </c>
      <c r="N1711" s="1">
        <f t="shared" ca="1" si="214"/>
        <v>308.709991</v>
      </c>
      <c r="O1711" s="5">
        <f t="shared" si="215"/>
        <v>-3.8450310472782911E-2</v>
      </c>
    </row>
    <row r="1712" spans="1:15" s="2" customFormat="1" x14ac:dyDescent="0.5">
      <c r="A1712" s="6">
        <v>42838</v>
      </c>
      <c r="B1712" s="1">
        <v>296.70001200000002</v>
      </c>
      <c r="C1712" s="1">
        <v>307.39001500000001</v>
      </c>
      <c r="D1712" s="1">
        <v>295.29998799999998</v>
      </c>
      <c r="E1712" s="1">
        <v>304</v>
      </c>
      <c r="F1712" s="1">
        <v>304</v>
      </c>
      <c r="G1712" s="2">
        <v>9284600</v>
      </c>
      <c r="H1712" s="2">
        <f t="shared" si="208"/>
        <v>2017</v>
      </c>
      <c r="I1712" s="2">
        <f t="shared" si="209"/>
        <v>4</v>
      </c>
      <c r="J1712" s="2">
        <f t="shared" si="210"/>
        <v>13</v>
      </c>
      <c r="K1712" s="2">
        <f t="shared" si="211"/>
        <v>5</v>
      </c>
      <c r="L1712" s="2">
        <f t="shared" si="212"/>
        <v>5</v>
      </c>
      <c r="M1712" s="3">
        <f t="shared" si="213"/>
        <v>296.83999599999999</v>
      </c>
      <c r="N1712" s="1">
        <f t="shared" ca="1" si="214"/>
        <v>296.83999599999999</v>
      </c>
      <c r="O1712" s="5">
        <f t="shared" si="215"/>
        <v>2.4120752245260224E-2</v>
      </c>
    </row>
    <row r="1713" spans="1:15" s="2" customFormat="1" x14ac:dyDescent="0.5">
      <c r="A1713" s="6">
        <v>42842</v>
      </c>
      <c r="B1713" s="1">
        <v>302.70001200000002</v>
      </c>
      <c r="C1713" s="1">
        <v>304</v>
      </c>
      <c r="D1713" s="1">
        <v>298.67999300000002</v>
      </c>
      <c r="E1713" s="1">
        <v>301.44000199999999</v>
      </c>
      <c r="F1713" s="1">
        <v>301.44000199999999</v>
      </c>
      <c r="G1713" s="2">
        <v>4138700</v>
      </c>
      <c r="H1713" s="2">
        <f t="shared" si="208"/>
        <v>2017</v>
      </c>
      <c r="I1713" s="2">
        <f t="shared" si="209"/>
        <v>4</v>
      </c>
      <c r="J1713" s="2">
        <f t="shared" si="210"/>
        <v>17</v>
      </c>
      <c r="K1713" s="2">
        <f t="shared" si="211"/>
        <v>2</v>
      </c>
      <c r="L1713" s="2">
        <f t="shared" si="212"/>
        <v>5</v>
      </c>
      <c r="M1713" s="3">
        <f t="shared" si="213"/>
        <v>304</v>
      </c>
      <c r="N1713" s="1">
        <f t="shared" ca="1" si="214"/>
        <v>304</v>
      </c>
      <c r="O1713" s="5">
        <f t="shared" si="215"/>
        <v>-8.4210460526316089E-3</v>
      </c>
    </row>
    <row r="1714" spans="1:15" s="2" customFormat="1" x14ac:dyDescent="0.5">
      <c r="A1714" s="6">
        <v>42843</v>
      </c>
      <c r="B1714" s="1">
        <v>299.70001200000002</v>
      </c>
      <c r="C1714" s="1">
        <v>300.83999599999999</v>
      </c>
      <c r="D1714" s="1">
        <v>297.89999399999999</v>
      </c>
      <c r="E1714" s="1">
        <v>300.25</v>
      </c>
      <c r="F1714" s="1">
        <v>300.25</v>
      </c>
      <c r="G1714" s="2">
        <v>3035700</v>
      </c>
      <c r="H1714" s="2">
        <f t="shared" si="208"/>
        <v>2017</v>
      </c>
      <c r="I1714" s="2">
        <f t="shared" si="209"/>
        <v>4</v>
      </c>
      <c r="J1714" s="2">
        <f t="shared" si="210"/>
        <v>18</v>
      </c>
      <c r="K1714" s="2">
        <f t="shared" si="211"/>
        <v>3</v>
      </c>
      <c r="L1714" s="2">
        <f t="shared" si="212"/>
        <v>5</v>
      </c>
      <c r="M1714" s="3">
        <f t="shared" si="213"/>
        <v>301.44000199999999</v>
      </c>
      <c r="N1714" s="1">
        <f t="shared" ca="1" si="214"/>
        <v>301.44000199999999</v>
      </c>
      <c r="O1714" s="5">
        <f t="shared" si="215"/>
        <v>-3.947724230707772E-3</v>
      </c>
    </row>
    <row r="1715" spans="1:15" s="2" customFormat="1" x14ac:dyDescent="0.5">
      <c r="A1715" s="6">
        <v>42844</v>
      </c>
      <c r="B1715" s="1">
        <v>302.459991</v>
      </c>
      <c r="C1715" s="1">
        <v>306.61999500000002</v>
      </c>
      <c r="D1715" s="1">
        <v>302.10998499999999</v>
      </c>
      <c r="E1715" s="1">
        <v>305.51998900000001</v>
      </c>
      <c r="F1715" s="1">
        <v>305.51998900000001</v>
      </c>
      <c r="G1715" s="2">
        <v>3898000</v>
      </c>
      <c r="H1715" s="2">
        <f t="shared" si="208"/>
        <v>2017</v>
      </c>
      <c r="I1715" s="2">
        <f t="shared" si="209"/>
        <v>4</v>
      </c>
      <c r="J1715" s="2">
        <f t="shared" si="210"/>
        <v>19</v>
      </c>
      <c r="K1715" s="2">
        <f t="shared" si="211"/>
        <v>4</v>
      </c>
      <c r="L1715" s="2">
        <f t="shared" si="212"/>
        <v>5</v>
      </c>
      <c r="M1715" s="3">
        <f t="shared" si="213"/>
        <v>300.25</v>
      </c>
      <c r="N1715" s="1">
        <f t="shared" ca="1" si="214"/>
        <v>300.25</v>
      </c>
      <c r="O1715" s="5">
        <f t="shared" si="215"/>
        <v>1.7552003330557842E-2</v>
      </c>
    </row>
    <row r="1716" spans="1:15" s="2" customFormat="1" x14ac:dyDescent="0.5">
      <c r="A1716" s="6">
        <v>42845</v>
      </c>
      <c r="B1716" s="1">
        <v>306.51001000000002</v>
      </c>
      <c r="C1716" s="1">
        <v>309.14999399999999</v>
      </c>
      <c r="D1716" s="1">
        <v>300.23001099999999</v>
      </c>
      <c r="E1716" s="1">
        <v>302.51001000000002</v>
      </c>
      <c r="F1716" s="1">
        <v>302.51001000000002</v>
      </c>
      <c r="G1716" s="2">
        <v>6149400</v>
      </c>
      <c r="H1716" s="2">
        <f t="shared" si="208"/>
        <v>2017</v>
      </c>
      <c r="I1716" s="2">
        <f t="shared" si="209"/>
        <v>4</v>
      </c>
      <c r="J1716" s="2">
        <f t="shared" si="210"/>
        <v>20</v>
      </c>
      <c r="K1716" s="2">
        <f t="shared" si="211"/>
        <v>5</v>
      </c>
      <c r="L1716" s="2">
        <f t="shared" si="212"/>
        <v>5</v>
      </c>
      <c r="M1716" s="3">
        <f t="shared" si="213"/>
        <v>305.51998900000001</v>
      </c>
      <c r="N1716" s="1">
        <f t="shared" ca="1" si="214"/>
        <v>305.51998900000001</v>
      </c>
      <c r="O1716" s="5">
        <f t="shared" si="215"/>
        <v>-9.8519871313558216E-3</v>
      </c>
    </row>
    <row r="1717" spans="1:15" s="2" customFormat="1" x14ac:dyDescent="0.5">
      <c r="A1717" s="6">
        <v>42846</v>
      </c>
      <c r="B1717" s="1">
        <v>302</v>
      </c>
      <c r="C1717" s="1">
        <v>306.39999399999999</v>
      </c>
      <c r="D1717" s="1">
        <v>300.42001299999998</v>
      </c>
      <c r="E1717" s="1">
        <v>305.60000600000001</v>
      </c>
      <c r="F1717" s="1">
        <v>305.60000600000001</v>
      </c>
      <c r="G1717" s="2">
        <v>4509800</v>
      </c>
      <c r="H1717" s="2">
        <f t="shared" si="208"/>
        <v>2017</v>
      </c>
      <c r="I1717" s="2">
        <f t="shared" si="209"/>
        <v>4</v>
      </c>
      <c r="J1717" s="2">
        <f t="shared" si="210"/>
        <v>21</v>
      </c>
      <c r="K1717" s="2">
        <f t="shared" si="211"/>
        <v>6</v>
      </c>
      <c r="L1717" s="2">
        <f t="shared" si="212"/>
        <v>5</v>
      </c>
      <c r="M1717" s="3">
        <f t="shared" si="213"/>
        <v>302.51001000000002</v>
      </c>
      <c r="N1717" s="1">
        <f t="shared" ca="1" si="214"/>
        <v>302.51001000000002</v>
      </c>
      <c r="O1717" s="5">
        <f t="shared" si="215"/>
        <v>1.0214524802005576E-2</v>
      </c>
    </row>
    <row r="1718" spans="1:15" s="2" customFormat="1" x14ac:dyDescent="0.5">
      <c r="A1718" s="6">
        <v>42849</v>
      </c>
      <c r="B1718" s="1">
        <v>309.22000100000002</v>
      </c>
      <c r="C1718" s="1">
        <v>310.54998799999998</v>
      </c>
      <c r="D1718" s="1">
        <v>306.01998900000001</v>
      </c>
      <c r="E1718" s="1">
        <v>308.02999899999998</v>
      </c>
      <c r="F1718" s="1">
        <v>308.02999899999998</v>
      </c>
      <c r="G1718" s="2">
        <v>5083500</v>
      </c>
      <c r="H1718" s="2">
        <f t="shared" si="208"/>
        <v>2017</v>
      </c>
      <c r="I1718" s="2">
        <f t="shared" si="209"/>
        <v>4</v>
      </c>
      <c r="J1718" s="2">
        <f t="shared" si="210"/>
        <v>24</v>
      </c>
      <c r="K1718" s="2">
        <f t="shared" si="211"/>
        <v>2</v>
      </c>
      <c r="L1718" s="2">
        <f t="shared" si="212"/>
        <v>5</v>
      </c>
      <c r="M1718" s="3">
        <f t="shared" si="213"/>
        <v>305.60000600000001</v>
      </c>
      <c r="N1718" s="1">
        <f t="shared" ca="1" si="214"/>
        <v>305.60000600000001</v>
      </c>
      <c r="O1718" s="5">
        <f t="shared" si="215"/>
        <v>7.9515476187521639E-3</v>
      </c>
    </row>
    <row r="1719" spans="1:15" s="2" customFormat="1" x14ac:dyDescent="0.5">
      <c r="A1719" s="6">
        <v>42850</v>
      </c>
      <c r="B1719" s="1">
        <v>308</v>
      </c>
      <c r="C1719" s="1">
        <v>313.98001099999999</v>
      </c>
      <c r="D1719" s="1">
        <v>305.85998499999999</v>
      </c>
      <c r="E1719" s="1">
        <v>313.790009</v>
      </c>
      <c r="F1719" s="1">
        <v>313.790009</v>
      </c>
      <c r="G1719" s="2">
        <v>6737700</v>
      </c>
      <c r="H1719" s="2">
        <f t="shared" si="208"/>
        <v>2017</v>
      </c>
      <c r="I1719" s="2">
        <f t="shared" si="209"/>
        <v>4</v>
      </c>
      <c r="J1719" s="2">
        <f t="shared" si="210"/>
        <v>25</v>
      </c>
      <c r="K1719" s="2">
        <f t="shared" si="211"/>
        <v>3</v>
      </c>
      <c r="L1719" s="2">
        <f t="shared" si="212"/>
        <v>5</v>
      </c>
      <c r="M1719" s="3">
        <f t="shared" si="213"/>
        <v>308.02999899999998</v>
      </c>
      <c r="N1719" s="1">
        <f t="shared" ca="1" si="214"/>
        <v>308.02999899999998</v>
      </c>
      <c r="O1719" s="5">
        <f t="shared" si="215"/>
        <v>1.8699509848714602E-2</v>
      </c>
    </row>
    <row r="1720" spans="1:15" s="2" customFormat="1" x14ac:dyDescent="0.5">
      <c r="A1720" s="6">
        <v>42851</v>
      </c>
      <c r="B1720" s="1">
        <v>312.36999500000002</v>
      </c>
      <c r="C1720" s="1">
        <v>314.5</v>
      </c>
      <c r="D1720" s="1">
        <v>309</v>
      </c>
      <c r="E1720" s="1">
        <v>310.17001299999998</v>
      </c>
      <c r="F1720" s="1">
        <v>310.17001299999998</v>
      </c>
      <c r="G1720" s="2">
        <v>4695000</v>
      </c>
      <c r="H1720" s="2">
        <f t="shared" si="208"/>
        <v>2017</v>
      </c>
      <c r="I1720" s="2">
        <f t="shared" si="209"/>
        <v>4</v>
      </c>
      <c r="J1720" s="2">
        <f t="shared" si="210"/>
        <v>26</v>
      </c>
      <c r="K1720" s="2">
        <f t="shared" si="211"/>
        <v>4</v>
      </c>
      <c r="L1720" s="2">
        <f t="shared" si="212"/>
        <v>5</v>
      </c>
      <c r="M1720" s="3">
        <f t="shared" si="213"/>
        <v>313.790009</v>
      </c>
      <c r="N1720" s="1">
        <f t="shared" ca="1" si="214"/>
        <v>313.790009</v>
      </c>
      <c r="O1720" s="5">
        <f t="shared" si="215"/>
        <v>-1.1536364754048067E-2</v>
      </c>
    </row>
    <row r="1721" spans="1:15" s="2" customFormat="1" x14ac:dyDescent="0.5">
      <c r="A1721" s="6">
        <v>42852</v>
      </c>
      <c r="B1721" s="1">
        <v>311.69000199999999</v>
      </c>
      <c r="C1721" s="1">
        <v>313.08999599999999</v>
      </c>
      <c r="D1721" s="1">
        <v>307.5</v>
      </c>
      <c r="E1721" s="1">
        <v>308.63000499999998</v>
      </c>
      <c r="F1721" s="1">
        <v>308.63000499999998</v>
      </c>
      <c r="G1721" s="2">
        <v>3468600</v>
      </c>
      <c r="H1721" s="2">
        <f t="shared" si="208"/>
        <v>2017</v>
      </c>
      <c r="I1721" s="2">
        <f t="shared" si="209"/>
        <v>4</v>
      </c>
      <c r="J1721" s="2">
        <f t="shared" si="210"/>
        <v>27</v>
      </c>
      <c r="K1721" s="2">
        <f t="shared" si="211"/>
        <v>5</v>
      </c>
      <c r="L1721" s="2">
        <f t="shared" si="212"/>
        <v>5</v>
      </c>
      <c r="M1721" s="3">
        <f t="shared" si="213"/>
        <v>310.17001299999998</v>
      </c>
      <c r="N1721" s="1">
        <f t="shared" ca="1" si="214"/>
        <v>310.17001299999998</v>
      </c>
      <c r="O1721" s="5">
        <f t="shared" si="215"/>
        <v>-4.965044767238691E-3</v>
      </c>
    </row>
    <row r="1722" spans="1:15" s="2" customFormat="1" x14ac:dyDescent="0.5">
      <c r="A1722" s="6">
        <v>42853</v>
      </c>
      <c r="B1722" s="1">
        <v>309.82998700000002</v>
      </c>
      <c r="C1722" s="1">
        <v>314.79998799999998</v>
      </c>
      <c r="D1722" s="1">
        <v>308</v>
      </c>
      <c r="E1722" s="1">
        <v>314.07000699999998</v>
      </c>
      <c r="F1722" s="1">
        <v>314.07000699999998</v>
      </c>
      <c r="G1722" s="2">
        <v>4463400</v>
      </c>
      <c r="H1722" s="2">
        <f t="shared" si="208"/>
        <v>2017</v>
      </c>
      <c r="I1722" s="2">
        <f t="shared" si="209"/>
        <v>4</v>
      </c>
      <c r="J1722" s="2">
        <f t="shared" si="210"/>
        <v>28</v>
      </c>
      <c r="K1722" s="2">
        <f t="shared" si="211"/>
        <v>6</v>
      </c>
      <c r="L1722" s="2">
        <f t="shared" si="212"/>
        <v>5</v>
      </c>
      <c r="M1722" s="3">
        <f t="shared" si="213"/>
        <v>308.63000499999998</v>
      </c>
      <c r="N1722" s="1">
        <f t="shared" ca="1" si="214"/>
        <v>308.63000499999998</v>
      </c>
      <c r="O1722" s="5">
        <f t="shared" si="215"/>
        <v>1.7626290094509667E-2</v>
      </c>
    </row>
    <row r="1723" spans="1:15" s="2" customFormat="1" x14ac:dyDescent="0.5">
      <c r="A1723" s="6">
        <v>42856</v>
      </c>
      <c r="B1723" s="1">
        <v>314.88000499999998</v>
      </c>
      <c r="C1723" s="1">
        <v>327.25</v>
      </c>
      <c r="D1723" s="1">
        <v>314.80999800000001</v>
      </c>
      <c r="E1723" s="1">
        <v>322.82998700000002</v>
      </c>
      <c r="F1723" s="1">
        <v>322.82998700000002</v>
      </c>
      <c r="G1723" s="2">
        <v>8829600</v>
      </c>
      <c r="H1723" s="2">
        <f t="shared" si="208"/>
        <v>2017</v>
      </c>
      <c r="I1723" s="2">
        <f t="shared" si="209"/>
        <v>5</v>
      </c>
      <c r="J1723" s="2">
        <f t="shared" si="210"/>
        <v>1</v>
      </c>
      <c r="K1723" s="2">
        <f t="shared" si="211"/>
        <v>2</v>
      </c>
      <c r="L1723" s="2">
        <f t="shared" si="212"/>
        <v>6</v>
      </c>
      <c r="M1723" s="3">
        <f t="shared" si="213"/>
        <v>314.07000699999998</v>
      </c>
      <c r="N1723" s="1">
        <f t="shared" ca="1" si="214"/>
        <v>314.07000699999998</v>
      </c>
      <c r="O1723" s="5">
        <f t="shared" si="215"/>
        <v>2.7891806937171415E-2</v>
      </c>
    </row>
    <row r="1724" spans="1:15" s="2" customFormat="1" x14ac:dyDescent="0.5">
      <c r="A1724" s="6">
        <v>42857</v>
      </c>
      <c r="B1724" s="1">
        <v>324</v>
      </c>
      <c r="C1724" s="1">
        <v>327.66000400000001</v>
      </c>
      <c r="D1724" s="1">
        <v>316.55999800000001</v>
      </c>
      <c r="E1724" s="1">
        <v>318.89001500000001</v>
      </c>
      <c r="F1724" s="1">
        <v>318.89001500000001</v>
      </c>
      <c r="G1724" s="2">
        <v>5382800</v>
      </c>
      <c r="H1724" s="2">
        <f t="shared" si="208"/>
        <v>2017</v>
      </c>
      <c r="I1724" s="2">
        <f t="shared" si="209"/>
        <v>5</v>
      </c>
      <c r="J1724" s="2">
        <f t="shared" si="210"/>
        <v>2</v>
      </c>
      <c r="K1724" s="2">
        <f t="shared" si="211"/>
        <v>3</v>
      </c>
      <c r="L1724" s="2">
        <f t="shared" si="212"/>
        <v>6</v>
      </c>
      <c r="M1724" s="3">
        <f t="shared" si="213"/>
        <v>322.82998700000002</v>
      </c>
      <c r="N1724" s="1">
        <f t="shared" ca="1" si="214"/>
        <v>322.82998700000002</v>
      </c>
      <c r="O1724" s="5">
        <f t="shared" si="215"/>
        <v>-1.2204479629087328E-2</v>
      </c>
    </row>
    <row r="1725" spans="1:15" s="2" customFormat="1" x14ac:dyDescent="0.5">
      <c r="A1725" s="6">
        <v>42858</v>
      </c>
      <c r="B1725" s="1">
        <v>317.67001299999998</v>
      </c>
      <c r="C1725" s="1">
        <v>321.52999899999998</v>
      </c>
      <c r="D1725" s="1">
        <v>310.45001200000002</v>
      </c>
      <c r="E1725" s="1">
        <v>311.01998900000001</v>
      </c>
      <c r="F1725" s="1">
        <v>311.01998900000001</v>
      </c>
      <c r="G1725" s="2">
        <v>7133400</v>
      </c>
      <c r="H1725" s="2">
        <f t="shared" si="208"/>
        <v>2017</v>
      </c>
      <c r="I1725" s="2">
        <f t="shared" si="209"/>
        <v>5</v>
      </c>
      <c r="J1725" s="2">
        <f t="shared" si="210"/>
        <v>3</v>
      </c>
      <c r="K1725" s="2">
        <f t="shared" si="211"/>
        <v>4</v>
      </c>
      <c r="L1725" s="2">
        <f t="shared" si="212"/>
        <v>6</v>
      </c>
      <c r="M1725" s="3">
        <f t="shared" si="213"/>
        <v>318.89001500000001</v>
      </c>
      <c r="N1725" s="1">
        <f t="shared" ca="1" si="214"/>
        <v>318.89001500000001</v>
      </c>
      <c r="O1725" s="5">
        <f t="shared" si="215"/>
        <v>-2.4679436889863071E-2</v>
      </c>
    </row>
    <row r="1726" spans="1:15" s="2" customFormat="1" x14ac:dyDescent="0.5">
      <c r="A1726" s="6">
        <v>42859</v>
      </c>
      <c r="B1726" s="1">
        <v>307.44000199999999</v>
      </c>
      <c r="C1726" s="1">
        <v>307.76998900000001</v>
      </c>
      <c r="D1726" s="1">
        <v>290.76001000000002</v>
      </c>
      <c r="E1726" s="1">
        <v>295.459991</v>
      </c>
      <c r="F1726" s="1">
        <v>295.459991</v>
      </c>
      <c r="G1726" s="2">
        <v>14152000</v>
      </c>
      <c r="H1726" s="2">
        <f t="shared" si="208"/>
        <v>2017</v>
      </c>
      <c r="I1726" s="2">
        <f t="shared" si="209"/>
        <v>5</v>
      </c>
      <c r="J1726" s="2">
        <f t="shared" si="210"/>
        <v>4</v>
      </c>
      <c r="K1726" s="2">
        <f t="shared" si="211"/>
        <v>5</v>
      </c>
      <c r="L1726" s="2">
        <f t="shared" si="212"/>
        <v>6</v>
      </c>
      <c r="M1726" s="3">
        <f t="shared" si="213"/>
        <v>311.01998900000001</v>
      </c>
      <c r="N1726" s="1">
        <f t="shared" ca="1" si="214"/>
        <v>311.01998900000001</v>
      </c>
      <c r="O1726" s="5">
        <f t="shared" si="215"/>
        <v>-5.0028932384792779E-2</v>
      </c>
    </row>
    <row r="1727" spans="1:15" s="2" customFormat="1" x14ac:dyDescent="0.5">
      <c r="A1727" s="6">
        <v>42860</v>
      </c>
      <c r="B1727" s="1">
        <v>298</v>
      </c>
      <c r="C1727" s="1">
        <v>308.54998799999998</v>
      </c>
      <c r="D1727" s="1">
        <v>296.79998799999998</v>
      </c>
      <c r="E1727" s="1">
        <v>308.35000600000001</v>
      </c>
      <c r="F1727" s="1">
        <v>308.35000600000001</v>
      </c>
      <c r="G1727" s="2">
        <v>8177300</v>
      </c>
      <c r="H1727" s="2">
        <f t="shared" si="208"/>
        <v>2017</v>
      </c>
      <c r="I1727" s="2">
        <f t="shared" si="209"/>
        <v>5</v>
      </c>
      <c r="J1727" s="2">
        <f t="shared" si="210"/>
        <v>5</v>
      </c>
      <c r="K1727" s="2">
        <f t="shared" si="211"/>
        <v>6</v>
      </c>
      <c r="L1727" s="2">
        <f t="shared" si="212"/>
        <v>6</v>
      </c>
      <c r="M1727" s="3">
        <f t="shared" si="213"/>
        <v>295.459991</v>
      </c>
      <c r="N1727" s="1">
        <f t="shared" ca="1" si="214"/>
        <v>295.459991</v>
      </c>
      <c r="O1727" s="5">
        <f t="shared" si="215"/>
        <v>4.3626938985454666E-2</v>
      </c>
    </row>
    <row r="1728" spans="1:15" s="2" customFormat="1" x14ac:dyDescent="0.5">
      <c r="A1728" s="6">
        <v>42863</v>
      </c>
      <c r="B1728" s="1">
        <v>310.89999399999999</v>
      </c>
      <c r="C1728" s="1">
        <v>313.790009</v>
      </c>
      <c r="D1728" s="1">
        <v>305.82000699999998</v>
      </c>
      <c r="E1728" s="1">
        <v>307.19000199999999</v>
      </c>
      <c r="F1728" s="1">
        <v>307.19000199999999</v>
      </c>
      <c r="G1728" s="2">
        <v>7006500</v>
      </c>
      <c r="H1728" s="2">
        <f t="shared" si="208"/>
        <v>2017</v>
      </c>
      <c r="I1728" s="2">
        <f t="shared" si="209"/>
        <v>5</v>
      </c>
      <c r="J1728" s="2">
        <f t="shared" si="210"/>
        <v>8</v>
      </c>
      <c r="K1728" s="2">
        <f t="shared" si="211"/>
        <v>2</v>
      </c>
      <c r="L1728" s="2">
        <f t="shared" si="212"/>
        <v>6</v>
      </c>
      <c r="M1728" s="3">
        <f t="shared" si="213"/>
        <v>308.35000600000001</v>
      </c>
      <c r="N1728" s="1">
        <f t="shared" ca="1" si="214"/>
        <v>308.35000600000001</v>
      </c>
      <c r="O1728" s="5">
        <f t="shared" si="215"/>
        <v>-3.7619717121070151E-3</v>
      </c>
    </row>
    <row r="1729" spans="1:15" s="2" customFormat="1" x14ac:dyDescent="0.5">
      <c r="A1729" s="6">
        <v>42864</v>
      </c>
      <c r="B1729" s="1">
        <v>309.38000499999998</v>
      </c>
      <c r="C1729" s="1">
        <v>321.98998999999998</v>
      </c>
      <c r="D1729" s="1">
        <v>309.10000600000001</v>
      </c>
      <c r="E1729" s="1">
        <v>321.26001000000002</v>
      </c>
      <c r="F1729" s="1">
        <v>321.26001000000002</v>
      </c>
      <c r="G1729" s="2">
        <v>9676500</v>
      </c>
      <c r="H1729" s="2">
        <f t="shared" si="208"/>
        <v>2017</v>
      </c>
      <c r="I1729" s="2">
        <f t="shared" si="209"/>
        <v>5</v>
      </c>
      <c r="J1729" s="2">
        <f t="shared" si="210"/>
        <v>9</v>
      </c>
      <c r="K1729" s="2">
        <f t="shared" si="211"/>
        <v>3</v>
      </c>
      <c r="L1729" s="2">
        <f t="shared" si="212"/>
        <v>6</v>
      </c>
      <c r="M1729" s="3">
        <f t="shared" si="213"/>
        <v>307.19000199999999</v>
      </c>
      <c r="N1729" s="1">
        <f t="shared" ca="1" si="214"/>
        <v>307.19000199999999</v>
      </c>
      <c r="O1729" s="5">
        <f t="shared" si="215"/>
        <v>4.5802297953694504E-2</v>
      </c>
    </row>
    <row r="1730" spans="1:15" s="2" customFormat="1" x14ac:dyDescent="0.5">
      <c r="A1730" s="6">
        <v>42865</v>
      </c>
      <c r="B1730" s="1">
        <v>321.55999800000001</v>
      </c>
      <c r="C1730" s="1">
        <v>325.5</v>
      </c>
      <c r="D1730" s="1">
        <v>318.11999500000002</v>
      </c>
      <c r="E1730" s="1">
        <v>325.22000100000002</v>
      </c>
      <c r="F1730" s="1">
        <v>325.22000100000002</v>
      </c>
      <c r="G1730" s="2">
        <v>5741600</v>
      </c>
      <c r="H1730" s="2">
        <f t="shared" ref="H1730:H1793" si="216">YEAR(A1730)</f>
        <v>2017</v>
      </c>
      <c r="I1730" s="2">
        <f t="shared" ref="I1730:I1793" si="217">MONTH(A1730)</f>
        <v>5</v>
      </c>
      <c r="J1730" s="2">
        <f t="shared" ref="J1730:J1793" si="218">DAY(A1730)</f>
        <v>10</v>
      </c>
      <c r="K1730" s="2">
        <f t="shared" ref="K1730:K1793" si="219">WEEKDAY(A1730)</f>
        <v>4</v>
      </c>
      <c r="L1730" s="2">
        <f t="shared" si="212"/>
        <v>6</v>
      </c>
      <c r="M1730" s="3">
        <f t="shared" si="213"/>
        <v>321.26001000000002</v>
      </c>
      <c r="N1730" s="1">
        <f t="shared" ca="1" si="214"/>
        <v>321.26001000000002</v>
      </c>
      <c r="O1730" s="5">
        <f t="shared" si="215"/>
        <v>1.23264361474682E-2</v>
      </c>
    </row>
    <row r="1731" spans="1:15" s="2" customFormat="1" x14ac:dyDescent="0.5">
      <c r="A1731" s="6">
        <v>42866</v>
      </c>
      <c r="B1731" s="1">
        <v>323.39999399999999</v>
      </c>
      <c r="C1731" s="1">
        <v>326</v>
      </c>
      <c r="D1731" s="1">
        <v>319.60000600000001</v>
      </c>
      <c r="E1731" s="1">
        <v>323.10000600000001</v>
      </c>
      <c r="F1731" s="1">
        <v>323.10000600000001</v>
      </c>
      <c r="G1731" s="2">
        <v>4753800</v>
      </c>
      <c r="H1731" s="2">
        <f t="shared" si="216"/>
        <v>2017</v>
      </c>
      <c r="I1731" s="2">
        <f t="shared" si="217"/>
        <v>5</v>
      </c>
      <c r="J1731" s="2">
        <f t="shared" si="218"/>
        <v>11</v>
      </c>
      <c r="K1731" s="2">
        <f t="shared" si="219"/>
        <v>5</v>
      </c>
      <c r="L1731" s="2">
        <f t="shared" ref="L1731:L1794" si="220">I1731+1</f>
        <v>6</v>
      </c>
      <c r="M1731" s="3">
        <f t="shared" ref="M1731:M1794" si="221">F1730</f>
        <v>325.22000100000002</v>
      </c>
      <c r="N1731" s="1">
        <f t="shared" ref="N1731:N1794" ca="1" si="222">OFFSET(F1731, -1, 0)</f>
        <v>325.22000100000002</v>
      </c>
      <c r="O1731" s="5">
        <f t="shared" ref="O1731:O1794" si="223">(F1731/M1731)-1</f>
        <v>-6.5186488945371268E-3</v>
      </c>
    </row>
    <row r="1732" spans="1:15" s="2" customFormat="1" x14ac:dyDescent="0.5">
      <c r="A1732" s="6">
        <v>42867</v>
      </c>
      <c r="B1732" s="1">
        <v>325.48001099999999</v>
      </c>
      <c r="C1732" s="1">
        <v>327</v>
      </c>
      <c r="D1732" s="1">
        <v>321.52999899999998</v>
      </c>
      <c r="E1732" s="1">
        <v>324.80999800000001</v>
      </c>
      <c r="F1732" s="1">
        <v>324.80999800000001</v>
      </c>
      <c r="G1732" s="2">
        <v>4121600</v>
      </c>
      <c r="H1732" s="2">
        <f t="shared" si="216"/>
        <v>2017</v>
      </c>
      <c r="I1732" s="2">
        <f t="shared" si="217"/>
        <v>5</v>
      </c>
      <c r="J1732" s="2">
        <f t="shared" si="218"/>
        <v>12</v>
      </c>
      <c r="K1732" s="2">
        <f t="shared" si="219"/>
        <v>6</v>
      </c>
      <c r="L1732" s="2">
        <f t="shared" si="220"/>
        <v>6</v>
      </c>
      <c r="M1732" s="3">
        <f t="shared" si="221"/>
        <v>323.10000600000001</v>
      </c>
      <c r="N1732" s="1">
        <f t="shared" ca="1" si="222"/>
        <v>323.10000600000001</v>
      </c>
      <c r="O1732" s="5">
        <f t="shared" si="223"/>
        <v>5.2924542502175154E-3</v>
      </c>
    </row>
    <row r="1733" spans="1:15" s="2" customFormat="1" x14ac:dyDescent="0.5">
      <c r="A1733" s="6">
        <v>42870</v>
      </c>
      <c r="B1733" s="1">
        <v>318.38000499999998</v>
      </c>
      <c r="C1733" s="1">
        <v>320.20001200000002</v>
      </c>
      <c r="D1733" s="1">
        <v>312.52999899999998</v>
      </c>
      <c r="E1733" s="1">
        <v>315.88000499999998</v>
      </c>
      <c r="F1733" s="1">
        <v>315.88000499999998</v>
      </c>
      <c r="G1733" s="2">
        <v>7622000</v>
      </c>
      <c r="H1733" s="2">
        <f t="shared" si="216"/>
        <v>2017</v>
      </c>
      <c r="I1733" s="2">
        <f t="shared" si="217"/>
        <v>5</v>
      </c>
      <c r="J1733" s="2">
        <f t="shared" si="218"/>
        <v>15</v>
      </c>
      <c r="K1733" s="2">
        <f t="shared" si="219"/>
        <v>2</v>
      </c>
      <c r="L1733" s="2">
        <f t="shared" si="220"/>
        <v>6</v>
      </c>
      <c r="M1733" s="3">
        <f t="shared" si="221"/>
        <v>324.80999800000001</v>
      </c>
      <c r="N1733" s="1">
        <f t="shared" ca="1" si="222"/>
        <v>324.80999800000001</v>
      </c>
      <c r="O1733" s="5">
        <f t="shared" si="223"/>
        <v>-2.7492974523524394E-2</v>
      </c>
    </row>
    <row r="1734" spans="1:15" s="2" customFormat="1" x14ac:dyDescent="0.5">
      <c r="A1734" s="6">
        <v>42871</v>
      </c>
      <c r="B1734" s="1">
        <v>317.58999599999999</v>
      </c>
      <c r="C1734" s="1">
        <v>320.05999800000001</v>
      </c>
      <c r="D1734" s="1">
        <v>315.14001500000001</v>
      </c>
      <c r="E1734" s="1">
        <v>317.01001000000002</v>
      </c>
      <c r="F1734" s="1">
        <v>317.01001000000002</v>
      </c>
      <c r="G1734" s="2">
        <v>4152500</v>
      </c>
      <c r="H1734" s="2">
        <f t="shared" si="216"/>
        <v>2017</v>
      </c>
      <c r="I1734" s="2">
        <f t="shared" si="217"/>
        <v>5</v>
      </c>
      <c r="J1734" s="2">
        <f t="shared" si="218"/>
        <v>16</v>
      </c>
      <c r="K1734" s="2">
        <f t="shared" si="219"/>
        <v>3</v>
      </c>
      <c r="L1734" s="2">
        <f t="shared" si="220"/>
        <v>6</v>
      </c>
      <c r="M1734" s="3">
        <f t="shared" si="221"/>
        <v>315.88000499999998</v>
      </c>
      <c r="N1734" s="1">
        <f t="shared" ca="1" si="222"/>
        <v>315.88000499999998</v>
      </c>
      <c r="O1734" s="5">
        <f t="shared" si="223"/>
        <v>3.5773236105907102E-3</v>
      </c>
    </row>
    <row r="1735" spans="1:15" s="2" customFormat="1" x14ac:dyDescent="0.5">
      <c r="A1735" s="6">
        <v>42872</v>
      </c>
      <c r="B1735" s="1">
        <v>314.39001500000001</v>
      </c>
      <c r="C1735" s="1">
        <v>314.63000499999998</v>
      </c>
      <c r="D1735" s="1">
        <v>305.5</v>
      </c>
      <c r="E1735" s="1">
        <v>306.10998499999999</v>
      </c>
      <c r="F1735" s="1">
        <v>306.10998499999999</v>
      </c>
      <c r="G1735" s="2">
        <v>6711900</v>
      </c>
      <c r="H1735" s="2">
        <f t="shared" si="216"/>
        <v>2017</v>
      </c>
      <c r="I1735" s="2">
        <f t="shared" si="217"/>
        <v>5</v>
      </c>
      <c r="J1735" s="2">
        <f t="shared" si="218"/>
        <v>17</v>
      </c>
      <c r="K1735" s="2">
        <f t="shared" si="219"/>
        <v>4</v>
      </c>
      <c r="L1735" s="2">
        <f t="shared" si="220"/>
        <v>6</v>
      </c>
      <c r="M1735" s="3">
        <f t="shared" si="221"/>
        <v>317.01001000000002</v>
      </c>
      <c r="N1735" s="1">
        <f t="shared" ca="1" si="222"/>
        <v>317.01001000000002</v>
      </c>
      <c r="O1735" s="5">
        <f t="shared" si="223"/>
        <v>-3.4383851159778933E-2</v>
      </c>
    </row>
    <row r="1736" spans="1:15" s="2" customFormat="1" x14ac:dyDescent="0.5">
      <c r="A1736" s="6">
        <v>42873</v>
      </c>
      <c r="B1736" s="1">
        <v>307</v>
      </c>
      <c r="C1736" s="1">
        <v>313.94000199999999</v>
      </c>
      <c r="D1736" s="1">
        <v>305.30999800000001</v>
      </c>
      <c r="E1736" s="1">
        <v>313.05999800000001</v>
      </c>
      <c r="F1736" s="1">
        <v>313.05999800000001</v>
      </c>
      <c r="G1736" s="2">
        <v>5653800</v>
      </c>
      <c r="H1736" s="2">
        <f t="shared" si="216"/>
        <v>2017</v>
      </c>
      <c r="I1736" s="2">
        <f t="shared" si="217"/>
        <v>5</v>
      </c>
      <c r="J1736" s="2">
        <f t="shared" si="218"/>
        <v>18</v>
      </c>
      <c r="K1736" s="2">
        <f t="shared" si="219"/>
        <v>5</v>
      </c>
      <c r="L1736" s="2">
        <f t="shared" si="220"/>
        <v>6</v>
      </c>
      <c r="M1736" s="3">
        <f t="shared" si="221"/>
        <v>306.10998499999999</v>
      </c>
      <c r="N1736" s="1">
        <f t="shared" ca="1" si="222"/>
        <v>306.10998499999999</v>
      </c>
      <c r="O1736" s="5">
        <f t="shared" si="223"/>
        <v>2.2704300220719675E-2</v>
      </c>
    </row>
    <row r="1737" spans="1:15" s="2" customFormat="1" x14ac:dyDescent="0.5">
      <c r="A1737" s="6">
        <v>42874</v>
      </c>
      <c r="B1737" s="1">
        <v>315.5</v>
      </c>
      <c r="C1737" s="1">
        <v>316.5</v>
      </c>
      <c r="D1737" s="1">
        <v>310.20001200000002</v>
      </c>
      <c r="E1737" s="1">
        <v>310.82998700000002</v>
      </c>
      <c r="F1737" s="1">
        <v>310.82998700000002</v>
      </c>
      <c r="G1737" s="2">
        <v>4687600</v>
      </c>
      <c r="H1737" s="2">
        <f t="shared" si="216"/>
        <v>2017</v>
      </c>
      <c r="I1737" s="2">
        <f t="shared" si="217"/>
        <v>5</v>
      </c>
      <c r="J1737" s="2">
        <f t="shared" si="218"/>
        <v>19</v>
      </c>
      <c r="K1737" s="2">
        <f t="shared" si="219"/>
        <v>6</v>
      </c>
      <c r="L1737" s="2">
        <f t="shared" si="220"/>
        <v>6</v>
      </c>
      <c r="M1737" s="3">
        <f t="shared" si="221"/>
        <v>313.05999800000001</v>
      </c>
      <c r="N1737" s="1">
        <f t="shared" ca="1" si="222"/>
        <v>313.05999800000001</v>
      </c>
      <c r="O1737" s="5">
        <f t="shared" si="223"/>
        <v>-7.1232703451303836E-3</v>
      </c>
    </row>
    <row r="1738" spans="1:15" s="2" customFormat="1" x14ac:dyDescent="0.5">
      <c r="A1738" s="6">
        <v>42877</v>
      </c>
      <c r="B1738" s="1">
        <v>312.79998799999998</v>
      </c>
      <c r="C1738" s="1">
        <v>314.36999500000002</v>
      </c>
      <c r="D1738" s="1">
        <v>306.79998799999998</v>
      </c>
      <c r="E1738" s="1">
        <v>310.35000600000001</v>
      </c>
      <c r="F1738" s="1">
        <v>310.35000600000001</v>
      </c>
      <c r="G1738" s="2">
        <v>4329200</v>
      </c>
      <c r="H1738" s="2">
        <f t="shared" si="216"/>
        <v>2017</v>
      </c>
      <c r="I1738" s="2">
        <f t="shared" si="217"/>
        <v>5</v>
      </c>
      <c r="J1738" s="2">
        <f t="shared" si="218"/>
        <v>22</v>
      </c>
      <c r="K1738" s="2">
        <f t="shared" si="219"/>
        <v>2</v>
      </c>
      <c r="L1738" s="2">
        <f t="shared" si="220"/>
        <v>6</v>
      </c>
      <c r="M1738" s="3">
        <f t="shared" si="221"/>
        <v>310.82998700000002</v>
      </c>
      <c r="N1738" s="1">
        <f t="shared" ca="1" si="222"/>
        <v>310.82998700000002</v>
      </c>
      <c r="O1738" s="5">
        <f t="shared" si="223"/>
        <v>-1.5441914232039444E-3</v>
      </c>
    </row>
    <row r="1739" spans="1:15" s="2" customFormat="1" x14ac:dyDescent="0.5">
      <c r="A1739" s="6">
        <v>42878</v>
      </c>
      <c r="B1739" s="1">
        <v>310.459991</v>
      </c>
      <c r="C1739" s="1">
        <v>310.73001099999999</v>
      </c>
      <c r="D1739" s="1">
        <v>303.48001099999999</v>
      </c>
      <c r="E1739" s="1">
        <v>303.85998499999999</v>
      </c>
      <c r="F1739" s="1">
        <v>303.85998499999999</v>
      </c>
      <c r="G1739" s="2">
        <v>4318400</v>
      </c>
      <c r="H1739" s="2">
        <f t="shared" si="216"/>
        <v>2017</v>
      </c>
      <c r="I1739" s="2">
        <f t="shared" si="217"/>
        <v>5</v>
      </c>
      <c r="J1739" s="2">
        <f t="shared" si="218"/>
        <v>23</v>
      </c>
      <c r="K1739" s="2">
        <f t="shared" si="219"/>
        <v>3</v>
      </c>
      <c r="L1739" s="2">
        <f t="shared" si="220"/>
        <v>6</v>
      </c>
      <c r="M1739" s="3">
        <f t="shared" si="221"/>
        <v>310.35000600000001</v>
      </c>
      <c r="N1739" s="1">
        <f t="shared" ca="1" si="222"/>
        <v>310.35000600000001</v>
      </c>
      <c r="O1739" s="5">
        <f t="shared" si="223"/>
        <v>-2.0911940952242247E-2</v>
      </c>
    </row>
    <row r="1740" spans="1:15" s="2" customFormat="1" x14ac:dyDescent="0.5">
      <c r="A1740" s="6">
        <v>42879</v>
      </c>
      <c r="B1740" s="1">
        <v>306.51001000000002</v>
      </c>
      <c r="C1740" s="1">
        <v>311</v>
      </c>
      <c r="D1740" s="1">
        <v>305.39999399999999</v>
      </c>
      <c r="E1740" s="1">
        <v>310.22000100000002</v>
      </c>
      <c r="F1740" s="1">
        <v>310.22000100000002</v>
      </c>
      <c r="G1740" s="2">
        <v>5033300</v>
      </c>
      <c r="H1740" s="2">
        <f t="shared" si="216"/>
        <v>2017</v>
      </c>
      <c r="I1740" s="2">
        <f t="shared" si="217"/>
        <v>5</v>
      </c>
      <c r="J1740" s="2">
        <f t="shared" si="218"/>
        <v>24</v>
      </c>
      <c r="K1740" s="2">
        <f t="shared" si="219"/>
        <v>4</v>
      </c>
      <c r="L1740" s="2">
        <f t="shared" si="220"/>
        <v>6</v>
      </c>
      <c r="M1740" s="3">
        <f t="shared" si="221"/>
        <v>303.85998499999999</v>
      </c>
      <c r="N1740" s="1">
        <f t="shared" ca="1" si="222"/>
        <v>303.85998499999999</v>
      </c>
      <c r="O1740" s="5">
        <f t="shared" si="223"/>
        <v>2.0930745455016275E-2</v>
      </c>
    </row>
    <row r="1741" spans="1:15" s="2" customFormat="1" x14ac:dyDescent="0.5">
      <c r="A1741" s="6">
        <v>42880</v>
      </c>
      <c r="B1741" s="1">
        <v>311.01998900000001</v>
      </c>
      <c r="C1741" s="1">
        <v>316.97000100000002</v>
      </c>
      <c r="D1741" s="1">
        <v>307.80999800000001</v>
      </c>
      <c r="E1741" s="1">
        <v>316.82998700000002</v>
      </c>
      <c r="F1741" s="1">
        <v>316.82998700000002</v>
      </c>
      <c r="G1741" s="2">
        <v>5014000</v>
      </c>
      <c r="H1741" s="2">
        <f t="shared" si="216"/>
        <v>2017</v>
      </c>
      <c r="I1741" s="2">
        <f t="shared" si="217"/>
        <v>5</v>
      </c>
      <c r="J1741" s="2">
        <f t="shared" si="218"/>
        <v>25</v>
      </c>
      <c r="K1741" s="2">
        <f t="shared" si="219"/>
        <v>5</v>
      </c>
      <c r="L1741" s="2">
        <f t="shared" si="220"/>
        <v>6</v>
      </c>
      <c r="M1741" s="3">
        <f t="shared" si="221"/>
        <v>310.22000100000002</v>
      </c>
      <c r="N1741" s="1">
        <f t="shared" ca="1" si="222"/>
        <v>310.22000100000002</v>
      </c>
      <c r="O1741" s="5">
        <f t="shared" si="223"/>
        <v>2.1307414024539284E-2</v>
      </c>
    </row>
    <row r="1742" spans="1:15" s="2" customFormat="1" x14ac:dyDescent="0.5">
      <c r="A1742" s="6">
        <v>42881</v>
      </c>
      <c r="B1742" s="1">
        <v>317.27999899999998</v>
      </c>
      <c r="C1742" s="1">
        <v>325.48998999999998</v>
      </c>
      <c r="D1742" s="1">
        <v>316.30999800000001</v>
      </c>
      <c r="E1742" s="1">
        <v>325.14001500000001</v>
      </c>
      <c r="F1742" s="1">
        <v>325.14001500000001</v>
      </c>
      <c r="G1742" s="2">
        <v>7802200</v>
      </c>
      <c r="H1742" s="2">
        <f t="shared" si="216"/>
        <v>2017</v>
      </c>
      <c r="I1742" s="2">
        <f t="shared" si="217"/>
        <v>5</v>
      </c>
      <c r="J1742" s="2">
        <f t="shared" si="218"/>
        <v>26</v>
      </c>
      <c r="K1742" s="2">
        <f t="shared" si="219"/>
        <v>6</v>
      </c>
      <c r="L1742" s="2">
        <f t="shared" si="220"/>
        <v>6</v>
      </c>
      <c r="M1742" s="3">
        <f t="shared" si="221"/>
        <v>316.82998700000002</v>
      </c>
      <c r="N1742" s="1">
        <f t="shared" ca="1" si="222"/>
        <v>316.82998700000002</v>
      </c>
      <c r="O1742" s="5">
        <f t="shared" si="223"/>
        <v>2.6228666290984526E-2</v>
      </c>
    </row>
    <row r="1743" spans="1:15" s="2" customFormat="1" x14ac:dyDescent="0.5">
      <c r="A1743" s="6">
        <v>42885</v>
      </c>
      <c r="B1743" s="1">
        <v>326</v>
      </c>
      <c r="C1743" s="1">
        <v>336.27999899999998</v>
      </c>
      <c r="D1743" s="1">
        <v>325.76001000000002</v>
      </c>
      <c r="E1743" s="1">
        <v>335.10000600000001</v>
      </c>
      <c r="F1743" s="1">
        <v>335.10000600000001</v>
      </c>
      <c r="G1743" s="2">
        <v>7782900</v>
      </c>
      <c r="H1743" s="2">
        <f t="shared" si="216"/>
        <v>2017</v>
      </c>
      <c r="I1743" s="2">
        <f t="shared" si="217"/>
        <v>5</v>
      </c>
      <c r="J1743" s="2">
        <f t="shared" si="218"/>
        <v>30</v>
      </c>
      <c r="K1743" s="2">
        <f t="shared" si="219"/>
        <v>3</v>
      </c>
      <c r="L1743" s="2">
        <f t="shared" si="220"/>
        <v>6</v>
      </c>
      <c r="M1743" s="3">
        <f t="shared" si="221"/>
        <v>325.14001500000001</v>
      </c>
      <c r="N1743" s="1">
        <f t="shared" ca="1" si="222"/>
        <v>325.14001500000001</v>
      </c>
      <c r="O1743" s="5">
        <f t="shared" si="223"/>
        <v>3.0632929016749966E-2</v>
      </c>
    </row>
    <row r="1744" spans="1:15" s="2" customFormat="1" x14ac:dyDescent="0.5">
      <c r="A1744" s="6">
        <v>42886</v>
      </c>
      <c r="B1744" s="1">
        <v>337.69000199999999</v>
      </c>
      <c r="C1744" s="1">
        <v>342.89001500000001</v>
      </c>
      <c r="D1744" s="1">
        <v>335.16000400000001</v>
      </c>
      <c r="E1744" s="1">
        <v>341.01001000000002</v>
      </c>
      <c r="F1744" s="1">
        <v>341.01001000000002</v>
      </c>
      <c r="G1744" s="2">
        <v>9963400</v>
      </c>
      <c r="H1744" s="2">
        <f t="shared" si="216"/>
        <v>2017</v>
      </c>
      <c r="I1744" s="2">
        <f t="shared" si="217"/>
        <v>5</v>
      </c>
      <c r="J1744" s="2">
        <f t="shared" si="218"/>
        <v>31</v>
      </c>
      <c r="K1744" s="2">
        <f t="shared" si="219"/>
        <v>4</v>
      </c>
      <c r="L1744" s="2">
        <f t="shared" si="220"/>
        <v>6</v>
      </c>
      <c r="M1744" s="3">
        <f t="shared" si="221"/>
        <v>335.10000600000001</v>
      </c>
      <c r="N1744" s="1">
        <f t="shared" ca="1" si="222"/>
        <v>335.10000600000001</v>
      </c>
      <c r="O1744" s="5">
        <f t="shared" si="223"/>
        <v>1.7636538030978199E-2</v>
      </c>
    </row>
    <row r="1745" spans="1:15" s="2" customFormat="1" x14ac:dyDescent="0.5">
      <c r="A1745" s="6">
        <v>42887</v>
      </c>
      <c r="B1745" s="1">
        <v>344</v>
      </c>
      <c r="C1745" s="1">
        <v>344.88000499999998</v>
      </c>
      <c r="D1745" s="1">
        <v>337.290009</v>
      </c>
      <c r="E1745" s="1">
        <v>340.36999500000002</v>
      </c>
      <c r="F1745" s="1">
        <v>340.36999500000002</v>
      </c>
      <c r="G1745" s="2">
        <v>7608000</v>
      </c>
      <c r="H1745" s="2">
        <f t="shared" si="216"/>
        <v>2017</v>
      </c>
      <c r="I1745" s="2">
        <f t="shared" si="217"/>
        <v>6</v>
      </c>
      <c r="J1745" s="2">
        <f t="shared" si="218"/>
        <v>1</v>
      </c>
      <c r="K1745" s="2">
        <f t="shared" si="219"/>
        <v>5</v>
      </c>
      <c r="L1745" s="2">
        <f t="shared" si="220"/>
        <v>7</v>
      </c>
      <c r="M1745" s="3">
        <f t="shared" si="221"/>
        <v>341.01001000000002</v>
      </c>
      <c r="N1745" s="1">
        <f t="shared" ca="1" si="222"/>
        <v>341.01001000000002</v>
      </c>
      <c r="O1745" s="5">
        <f t="shared" si="223"/>
        <v>-1.8768217390451314E-3</v>
      </c>
    </row>
    <row r="1746" spans="1:15" s="2" customFormat="1" x14ac:dyDescent="0.5">
      <c r="A1746" s="6">
        <v>42888</v>
      </c>
      <c r="B1746" s="1">
        <v>339.76998900000001</v>
      </c>
      <c r="C1746" s="1">
        <v>342.88000499999998</v>
      </c>
      <c r="D1746" s="1">
        <v>335.92999300000002</v>
      </c>
      <c r="E1746" s="1">
        <v>339.85000600000001</v>
      </c>
      <c r="F1746" s="1">
        <v>339.85000600000001</v>
      </c>
      <c r="G1746" s="2">
        <v>5590200</v>
      </c>
      <c r="H1746" s="2">
        <f t="shared" si="216"/>
        <v>2017</v>
      </c>
      <c r="I1746" s="2">
        <f t="shared" si="217"/>
        <v>6</v>
      </c>
      <c r="J1746" s="2">
        <f t="shared" si="218"/>
        <v>2</v>
      </c>
      <c r="K1746" s="2">
        <f t="shared" si="219"/>
        <v>6</v>
      </c>
      <c r="L1746" s="2">
        <f t="shared" si="220"/>
        <v>7</v>
      </c>
      <c r="M1746" s="3">
        <f t="shared" si="221"/>
        <v>340.36999500000002</v>
      </c>
      <c r="N1746" s="1">
        <f t="shared" ca="1" si="222"/>
        <v>340.36999500000002</v>
      </c>
      <c r="O1746" s="5">
        <f t="shared" si="223"/>
        <v>-1.5277169187607464E-3</v>
      </c>
    </row>
    <row r="1747" spans="1:15" s="2" customFormat="1" x14ac:dyDescent="0.5">
      <c r="A1747" s="6">
        <v>42891</v>
      </c>
      <c r="B1747" s="1">
        <v>338.5</v>
      </c>
      <c r="C1747" s="1">
        <v>348.44000199999999</v>
      </c>
      <c r="D1747" s="1">
        <v>334.209991</v>
      </c>
      <c r="E1747" s="1">
        <v>347.32000699999998</v>
      </c>
      <c r="F1747" s="1">
        <v>347.32000699999998</v>
      </c>
      <c r="G1747" s="2">
        <v>6784400</v>
      </c>
      <c r="H1747" s="2">
        <f t="shared" si="216"/>
        <v>2017</v>
      </c>
      <c r="I1747" s="2">
        <f t="shared" si="217"/>
        <v>6</v>
      </c>
      <c r="J1747" s="2">
        <f t="shared" si="218"/>
        <v>5</v>
      </c>
      <c r="K1747" s="2">
        <f t="shared" si="219"/>
        <v>2</v>
      </c>
      <c r="L1747" s="2">
        <f t="shared" si="220"/>
        <v>7</v>
      </c>
      <c r="M1747" s="3">
        <f t="shared" si="221"/>
        <v>339.85000600000001</v>
      </c>
      <c r="N1747" s="1">
        <f t="shared" ca="1" si="222"/>
        <v>339.85000600000001</v>
      </c>
      <c r="O1747" s="5">
        <f t="shared" si="223"/>
        <v>2.1980287974454171E-2</v>
      </c>
    </row>
    <row r="1748" spans="1:15" s="2" customFormat="1" x14ac:dyDescent="0.5">
      <c r="A1748" s="6">
        <v>42892</v>
      </c>
      <c r="B1748" s="1">
        <v>344.70001200000002</v>
      </c>
      <c r="C1748" s="1">
        <v>359.48998999999998</v>
      </c>
      <c r="D1748" s="1">
        <v>339.97000100000002</v>
      </c>
      <c r="E1748" s="1">
        <v>352.85000600000001</v>
      </c>
      <c r="F1748" s="1">
        <v>352.85000600000001</v>
      </c>
      <c r="G1748" s="2">
        <v>11086800</v>
      </c>
      <c r="H1748" s="2">
        <f t="shared" si="216"/>
        <v>2017</v>
      </c>
      <c r="I1748" s="2">
        <f t="shared" si="217"/>
        <v>6</v>
      </c>
      <c r="J1748" s="2">
        <f t="shared" si="218"/>
        <v>6</v>
      </c>
      <c r="K1748" s="2">
        <f t="shared" si="219"/>
        <v>3</v>
      </c>
      <c r="L1748" s="2">
        <f t="shared" si="220"/>
        <v>7</v>
      </c>
      <c r="M1748" s="3">
        <f t="shared" si="221"/>
        <v>347.32000699999998</v>
      </c>
      <c r="N1748" s="1">
        <f t="shared" ca="1" si="222"/>
        <v>347.32000699999998</v>
      </c>
      <c r="O1748" s="5">
        <f t="shared" si="223"/>
        <v>1.5921913188260417E-2</v>
      </c>
    </row>
    <row r="1749" spans="1:15" s="2" customFormat="1" x14ac:dyDescent="0.5">
      <c r="A1749" s="6">
        <v>42893</v>
      </c>
      <c r="B1749" s="1">
        <v>356.33999599999999</v>
      </c>
      <c r="C1749" s="1">
        <v>360.5</v>
      </c>
      <c r="D1749" s="1">
        <v>355.14001500000001</v>
      </c>
      <c r="E1749" s="1">
        <v>359.64999399999999</v>
      </c>
      <c r="F1749" s="1">
        <v>359.64999399999999</v>
      </c>
      <c r="G1749" s="2">
        <v>9398000</v>
      </c>
      <c r="H1749" s="2">
        <f t="shared" si="216"/>
        <v>2017</v>
      </c>
      <c r="I1749" s="2">
        <f t="shared" si="217"/>
        <v>6</v>
      </c>
      <c r="J1749" s="2">
        <f t="shared" si="218"/>
        <v>7</v>
      </c>
      <c r="K1749" s="2">
        <f t="shared" si="219"/>
        <v>4</v>
      </c>
      <c r="L1749" s="2">
        <f t="shared" si="220"/>
        <v>7</v>
      </c>
      <c r="M1749" s="3">
        <f t="shared" si="221"/>
        <v>352.85000600000001</v>
      </c>
      <c r="N1749" s="1">
        <f t="shared" ca="1" si="222"/>
        <v>352.85000600000001</v>
      </c>
      <c r="O1749" s="5">
        <f t="shared" si="223"/>
        <v>1.9271610838515807E-2</v>
      </c>
    </row>
    <row r="1750" spans="1:15" s="2" customFormat="1" x14ac:dyDescent="0.5">
      <c r="A1750" s="6">
        <v>42894</v>
      </c>
      <c r="B1750" s="1">
        <v>363.75</v>
      </c>
      <c r="C1750" s="1">
        <v>371.89999399999999</v>
      </c>
      <c r="D1750" s="1">
        <v>360.22000100000002</v>
      </c>
      <c r="E1750" s="1">
        <v>370</v>
      </c>
      <c r="F1750" s="1">
        <v>370</v>
      </c>
      <c r="G1750" s="2">
        <v>9009800</v>
      </c>
      <c r="H1750" s="2">
        <f t="shared" si="216"/>
        <v>2017</v>
      </c>
      <c r="I1750" s="2">
        <f t="shared" si="217"/>
        <v>6</v>
      </c>
      <c r="J1750" s="2">
        <f t="shared" si="218"/>
        <v>8</v>
      </c>
      <c r="K1750" s="2">
        <f t="shared" si="219"/>
        <v>5</v>
      </c>
      <c r="L1750" s="2">
        <f t="shared" si="220"/>
        <v>7</v>
      </c>
      <c r="M1750" s="3">
        <f t="shared" si="221"/>
        <v>359.64999399999999</v>
      </c>
      <c r="N1750" s="1">
        <f t="shared" ca="1" si="222"/>
        <v>359.64999399999999</v>
      </c>
      <c r="O1750" s="5">
        <f t="shared" si="223"/>
        <v>2.8777995753282326E-2</v>
      </c>
    </row>
    <row r="1751" spans="1:15" s="2" customFormat="1" x14ac:dyDescent="0.5">
      <c r="A1751" s="6">
        <v>42895</v>
      </c>
      <c r="B1751" s="1">
        <v>374.42001299999998</v>
      </c>
      <c r="C1751" s="1">
        <v>376.86999500000002</v>
      </c>
      <c r="D1751" s="1">
        <v>354.79998799999998</v>
      </c>
      <c r="E1751" s="1">
        <v>357.32000699999998</v>
      </c>
      <c r="F1751" s="1">
        <v>357.32000699999998</v>
      </c>
      <c r="G1751" s="2">
        <v>17261400</v>
      </c>
      <c r="H1751" s="2">
        <f t="shared" si="216"/>
        <v>2017</v>
      </c>
      <c r="I1751" s="2">
        <f t="shared" si="217"/>
        <v>6</v>
      </c>
      <c r="J1751" s="2">
        <f t="shared" si="218"/>
        <v>9</v>
      </c>
      <c r="K1751" s="2">
        <f t="shared" si="219"/>
        <v>6</v>
      </c>
      <c r="L1751" s="2">
        <f t="shared" si="220"/>
        <v>7</v>
      </c>
      <c r="M1751" s="3">
        <f t="shared" si="221"/>
        <v>370</v>
      </c>
      <c r="N1751" s="1">
        <f t="shared" ca="1" si="222"/>
        <v>370</v>
      </c>
      <c r="O1751" s="5">
        <f t="shared" si="223"/>
        <v>-3.4270251351351422E-2</v>
      </c>
    </row>
    <row r="1752" spans="1:15" s="2" customFormat="1" x14ac:dyDescent="0.5">
      <c r="A1752" s="6">
        <v>42898</v>
      </c>
      <c r="B1752" s="1">
        <v>357.98998999999998</v>
      </c>
      <c r="C1752" s="1">
        <v>364.5</v>
      </c>
      <c r="D1752" s="1">
        <v>350.61999500000002</v>
      </c>
      <c r="E1752" s="1">
        <v>359.01001000000002</v>
      </c>
      <c r="F1752" s="1">
        <v>359.01001000000002</v>
      </c>
      <c r="G1752" s="2">
        <v>10517700</v>
      </c>
      <c r="H1752" s="2">
        <f t="shared" si="216"/>
        <v>2017</v>
      </c>
      <c r="I1752" s="2">
        <f t="shared" si="217"/>
        <v>6</v>
      </c>
      <c r="J1752" s="2">
        <f t="shared" si="218"/>
        <v>12</v>
      </c>
      <c r="K1752" s="2">
        <f t="shared" si="219"/>
        <v>2</v>
      </c>
      <c r="L1752" s="2">
        <f t="shared" si="220"/>
        <v>7</v>
      </c>
      <c r="M1752" s="3">
        <f t="shared" si="221"/>
        <v>357.32000699999998</v>
      </c>
      <c r="N1752" s="1">
        <f t="shared" ca="1" si="222"/>
        <v>357.32000699999998</v>
      </c>
      <c r="O1752" s="5">
        <f t="shared" si="223"/>
        <v>4.729662394751033E-3</v>
      </c>
    </row>
    <row r="1753" spans="1:15" s="2" customFormat="1" x14ac:dyDescent="0.5">
      <c r="A1753" s="6">
        <v>42899</v>
      </c>
      <c r="B1753" s="1">
        <v>367.61999500000002</v>
      </c>
      <c r="C1753" s="1">
        <v>376</v>
      </c>
      <c r="D1753" s="1">
        <v>366.60998499999999</v>
      </c>
      <c r="E1753" s="1">
        <v>375.95001200000002</v>
      </c>
      <c r="F1753" s="1">
        <v>375.95001200000002</v>
      </c>
      <c r="G1753" s="2">
        <v>11807900</v>
      </c>
      <c r="H1753" s="2">
        <f t="shared" si="216"/>
        <v>2017</v>
      </c>
      <c r="I1753" s="2">
        <f t="shared" si="217"/>
        <v>6</v>
      </c>
      <c r="J1753" s="2">
        <f t="shared" si="218"/>
        <v>13</v>
      </c>
      <c r="K1753" s="2">
        <f t="shared" si="219"/>
        <v>3</v>
      </c>
      <c r="L1753" s="2">
        <f t="shared" si="220"/>
        <v>7</v>
      </c>
      <c r="M1753" s="3">
        <f t="shared" si="221"/>
        <v>359.01001000000002</v>
      </c>
      <c r="N1753" s="1">
        <f t="shared" ca="1" si="222"/>
        <v>359.01001000000002</v>
      </c>
      <c r="O1753" s="5">
        <f t="shared" si="223"/>
        <v>4.7185319428836969E-2</v>
      </c>
    </row>
    <row r="1754" spans="1:15" s="2" customFormat="1" x14ac:dyDescent="0.5">
      <c r="A1754" s="6">
        <v>42900</v>
      </c>
      <c r="B1754" s="1">
        <v>381.08999599999999</v>
      </c>
      <c r="C1754" s="1">
        <v>384.25</v>
      </c>
      <c r="D1754" s="1">
        <v>376.30999800000001</v>
      </c>
      <c r="E1754" s="1">
        <v>380.66000400000001</v>
      </c>
      <c r="F1754" s="1">
        <v>380.66000400000001</v>
      </c>
      <c r="G1754" s="2">
        <v>12818400</v>
      </c>
      <c r="H1754" s="2">
        <f t="shared" si="216"/>
        <v>2017</v>
      </c>
      <c r="I1754" s="2">
        <f t="shared" si="217"/>
        <v>6</v>
      </c>
      <c r="J1754" s="2">
        <f t="shared" si="218"/>
        <v>14</v>
      </c>
      <c r="K1754" s="2">
        <f t="shared" si="219"/>
        <v>4</v>
      </c>
      <c r="L1754" s="2">
        <f t="shared" si="220"/>
        <v>7</v>
      </c>
      <c r="M1754" s="3">
        <f t="shared" si="221"/>
        <v>375.95001200000002</v>
      </c>
      <c r="N1754" s="1">
        <f t="shared" ca="1" si="222"/>
        <v>375.95001200000002</v>
      </c>
      <c r="O1754" s="5">
        <f t="shared" si="223"/>
        <v>1.2528240057616991E-2</v>
      </c>
    </row>
    <row r="1755" spans="1:15" s="2" customFormat="1" x14ac:dyDescent="0.5">
      <c r="A1755" s="6">
        <v>42901</v>
      </c>
      <c r="B1755" s="1">
        <v>372.5</v>
      </c>
      <c r="C1755" s="1">
        <v>375.459991</v>
      </c>
      <c r="D1755" s="1">
        <v>366.48998999999998</v>
      </c>
      <c r="E1755" s="1">
        <v>375.33999599999999</v>
      </c>
      <c r="F1755" s="1">
        <v>375.33999599999999</v>
      </c>
      <c r="G1755" s="2">
        <v>10426500</v>
      </c>
      <c r="H1755" s="2">
        <f t="shared" si="216"/>
        <v>2017</v>
      </c>
      <c r="I1755" s="2">
        <f t="shared" si="217"/>
        <v>6</v>
      </c>
      <c r="J1755" s="2">
        <f t="shared" si="218"/>
        <v>15</v>
      </c>
      <c r="K1755" s="2">
        <f t="shared" si="219"/>
        <v>5</v>
      </c>
      <c r="L1755" s="2">
        <f t="shared" si="220"/>
        <v>7</v>
      </c>
      <c r="M1755" s="3">
        <f t="shared" si="221"/>
        <v>380.66000400000001</v>
      </c>
      <c r="N1755" s="1">
        <f t="shared" ca="1" si="222"/>
        <v>380.66000400000001</v>
      </c>
      <c r="O1755" s="5">
        <f t="shared" si="223"/>
        <v>-1.3975747239260872E-2</v>
      </c>
    </row>
    <row r="1756" spans="1:15" s="2" customFormat="1" x14ac:dyDescent="0.5">
      <c r="A1756" s="6">
        <v>42902</v>
      </c>
      <c r="B1756" s="1">
        <v>377.98001099999999</v>
      </c>
      <c r="C1756" s="1">
        <v>378.01001000000002</v>
      </c>
      <c r="D1756" s="1">
        <v>370.10000600000001</v>
      </c>
      <c r="E1756" s="1">
        <v>371.39999399999999</v>
      </c>
      <c r="F1756" s="1">
        <v>371.39999399999999</v>
      </c>
      <c r="G1756" s="2">
        <v>6731000</v>
      </c>
      <c r="H1756" s="2">
        <f t="shared" si="216"/>
        <v>2017</v>
      </c>
      <c r="I1756" s="2">
        <f t="shared" si="217"/>
        <v>6</v>
      </c>
      <c r="J1756" s="2">
        <f t="shared" si="218"/>
        <v>16</v>
      </c>
      <c r="K1756" s="2">
        <f t="shared" si="219"/>
        <v>6</v>
      </c>
      <c r="L1756" s="2">
        <f t="shared" si="220"/>
        <v>7</v>
      </c>
      <c r="M1756" s="3">
        <f t="shared" si="221"/>
        <v>375.33999599999999</v>
      </c>
      <c r="N1756" s="1">
        <f t="shared" ca="1" si="222"/>
        <v>375.33999599999999</v>
      </c>
      <c r="O1756" s="5">
        <f t="shared" si="223"/>
        <v>-1.049715469171586E-2</v>
      </c>
    </row>
    <row r="1757" spans="1:15" s="2" customFormat="1" x14ac:dyDescent="0.5">
      <c r="A1757" s="6">
        <v>42905</v>
      </c>
      <c r="B1757" s="1">
        <v>375</v>
      </c>
      <c r="C1757" s="1">
        <v>376.70001200000002</v>
      </c>
      <c r="D1757" s="1">
        <v>367.79998799999998</v>
      </c>
      <c r="E1757" s="1">
        <v>369.79998799999998</v>
      </c>
      <c r="F1757" s="1">
        <v>369.79998799999998</v>
      </c>
      <c r="G1757" s="2">
        <v>6549300</v>
      </c>
      <c r="H1757" s="2">
        <f t="shared" si="216"/>
        <v>2017</v>
      </c>
      <c r="I1757" s="2">
        <f t="shared" si="217"/>
        <v>6</v>
      </c>
      <c r="J1757" s="2">
        <f t="shared" si="218"/>
        <v>19</v>
      </c>
      <c r="K1757" s="2">
        <f t="shared" si="219"/>
        <v>2</v>
      </c>
      <c r="L1757" s="2">
        <f t="shared" si="220"/>
        <v>7</v>
      </c>
      <c r="M1757" s="3">
        <f t="shared" si="221"/>
        <v>371.39999399999999</v>
      </c>
      <c r="N1757" s="1">
        <f t="shared" ca="1" si="222"/>
        <v>371.39999399999999</v>
      </c>
      <c r="O1757" s="5">
        <f t="shared" si="223"/>
        <v>-4.308039918816009E-3</v>
      </c>
    </row>
    <row r="1758" spans="1:15" s="2" customFormat="1" x14ac:dyDescent="0.5">
      <c r="A1758" s="6">
        <v>42906</v>
      </c>
      <c r="B1758" s="1">
        <v>376.67001299999998</v>
      </c>
      <c r="C1758" s="1">
        <v>378.88000499999998</v>
      </c>
      <c r="D1758" s="1">
        <v>369.73001099999999</v>
      </c>
      <c r="E1758" s="1">
        <v>372.23998999999998</v>
      </c>
      <c r="F1758" s="1">
        <v>372.23998999999998</v>
      </c>
      <c r="G1758" s="2">
        <v>7438700</v>
      </c>
      <c r="H1758" s="2">
        <f t="shared" si="216"/>
        <v>2017</v>
      </c>
      <c r="I1758" s="2">
        <f t="shared" si="217"/>
        <v>6</v>
      </c>
      <c r="J1758" s="2">
        <f t="shared" si="218"/>
        <v>20</v>
      </c>
      <c r="K1758" s="2">
        <f t="shared" si="219"/>
        <v>3</v>
      </c>
      <c r="L1758" s="2">
        <f t="shared" si="220"/>
        <v>7</v>
      </c>
      <c r="M1758" s="3">
        <f t="shared" si="221"/>
        <v>369.79998799999998</v>
      </c>
      <c r="N1758" s="1">
        <f t="shared" ca="1" si="222"/>
        <v>369.79998799999998</v>
      </c>
      <c r="O1758" s="5">
        <f t="shared" si="223"/>
        <v>6.5981667906380714E-3</v>
      </c>
    </row>
    <row r="1759" spans="1:15" s="2" customFormat="1" x14ac:dyDescent="0.5">
      <c r="A1759" s="6">
        <v>42907</v>
      </c>
      <c r="B1759" s="1">
        <v>374.35000600000001</v>
      </c>
      <c r="C1759" s="1">
        <v>376.98998999999998</v>
      </c>
      <c r="D1759" s="1">
        <v>368.01998900000001</v>
      </c>
      <c r="E1759" s="1">
        <v>376.39999399999999</v>
      </c>
      <c r="F1759" s="1">
        <v>376.39999399999999</v>
      </c>
      <c r="G1759" s="2">
        <v>4923200</v>
      </c>
      <c r="H1759" s="2">
        <f t="shared" si="216"/>
        <v>2017</v>
      </c>
      <c r="I1759" s="2">
        <f t="shared" si="217"/>
        <v>6</v>
      </c>
      <c r="J1759" s="2">
        <f t="shared" si="218"/>
        <v>21</v>
      </c>
      <c r="K1759" s="2">
        <f t="shared" si="219"/>
        <v>4</v>
      </c>
      <c r="L1759" s="2">
        <f t="shared" si="220"/>
        <v>7</v>
      </c>
      <c r="M1759" s="3">
        <f t="shared" si="221"/>
        <v>372.23998999999998</v>
      </c>
      <c r="N1759" s="1">
        <f t="shared" ca="1" si="222"/>
        <v>372.23998999999998</v>
      </c>
      <c r="O1759" s="5">
        <f t="shared" si="223"/>
        <v>1.1175596689651845E-2</v>
      </c>
    </row>
    <row r="1760" spans="1:15" s="2" customFormat="1" x14ac:dyDescent="0.5">
      <c r="A1760" s="6">
        <v>42908</v>
      </c>
      <c r="B1760" s="1">
        <v>377.98998999999998</v>
      </c>
      <c r="C1760" s="1">
        <v>385</v>
      </c>
      <c r="D1760" s="1">
        <v>373.57000699999998</v>
      </c>
      <c r="E1760" s="1">
        <v>382.60998499999999</v>
      </c>
      <c r="F1760" s="1">
        <v>382.60998499999999</v>
      </c>
      <c r="G1760" s="2">
        <v>7529800</v>
      </c>
      <c r="H1760" s="2">
        <f t="shared" si="216"/>
        <v>2017</v>
      </c>
      <c r="I1760" s="2">
        <f t="shared" si="217"/>
        <v>6</v>
      </c>
      <c r="J1760" s="2">
        <f t="shared" si="218"/>
        <v>22</v>
      </c>
      <c r="K1760" s="2">
        <f t="shared" si="219"/>
        <v>5</v>
      </c>
      <c r="L1760" s="2">
        <f t="shared" si="220"/>
        <v>7</v>
      </c>
      <c r="M1760" s="3">
        <f t="shared" si="221"/>
        <v>376.39999399999999</v>
      </c>
      <c r="N1760" s="1">
        <f t="shared" ca="1" si="222"/>
        <v>376.39999399999999</v>
      </c>
      <c r="O1760" s="5">
        <f t="shared" si="223"/>
        <v>1.6498382303374859E-2</v>
      </c>
    </row>
    <row r="1761" spans="1:15" s="2" customFormat="1" x14ac:dyDescent="0.5">
      <c r="A1761" s="6">
        <v>42909</v>
      </c>
      <c r="B1761" s="1">
        <v>382.45001200000002</v>
      </c>
      <c r="C1761" s="1">
        <v>386.98998999999998</v>
      </c>
      <c r="D1761" s="1">
        <v>379.35000600000001</v>
      </c>
      <c r="E1761" s="1">
        <v>383.45001200000002</v>
      </c>
      <c r="F1761" s="1">
        <v>383.45001200000002</v>
      </c>
      <c r="G1761" s="2">
        <v>6445800</v>
      </c>
      <c r="H1761" s="2">
        <f t="shared" si="216"/>
        <v>2017</v>
      </c>
      <c r="I1761" s="2">
        <f t="shared" si="217"/>
        <v>6</v>
      </c>
      <c r="J1761" s="2">
        <f t="shared" si="218"/>
        <v>23</v>
      </c>
      <c r="K1761" s="2">
        <f t="shared" si="219"/>
        <v>6</v>
      </c>
      <c r="L1761" s="2">
        <f t="shared" si="220"/>
        <v>7</v>
      </c>
      <c r="M1761" s="3">
        <f t="shared" si="221"/>
        <v>382.60998499999999</v>
      </c>
      <c r="N1761" s="1">
        <f t="shared" ca="1" si="222"/>
        <v>382.60998499999999</v>
      </c>
      <c r="O1761" s="5">
        <f t="shared" si="223"/>
        <v>2.1955177149912686E-3</v>
      </c>
    </row>
    <row r="1762" spans="1:15" s="2" customFormat="1" x14ac:dyDescent="0.5">
      <c r="A1762" s="6">
        <v>42912</v>
      </c>
      <c r="B1762" s="1">
        <v>386.69000199999999</v>
      </c>
      <c r="C1762" s="1">
        <v>386.95001200000002</v>
      </c>
      <c r="D1762" s="1">
        <v>373.10000600000001</v>
      </c>
      <c r="E1762" s="1">
        <v>377.48998999999998</v>
      </c>
      <c r="F1762" s="1">
        <v>377.48998999999998</v>
      </c>
      <c r="G1762" s="2">
        <v>6604100</v>
      </c>
      <c r="H1762" s="2">
        <f t="shared" si="216"/>
        <v>2017</v>
      </c>
      <c r="I1762" s="2">
        <f t="shared" si="217"/>
        <v>6</v>
      </c>
      <c r="J1762" s="2">
        <f t="shared" si="218"/>
        <v>26</v>
      </c>
      <c r="K1762" s="2">
        <f t="shared" si="219"/>
        <v>2</v>
      </c>
      <c r="L1762" s="2">
        <f t="shared" si="220"/>
        <v>7</v>
      </c>
      <c r="M1762" s="3">
        <f t="shared" si="221"/>
        <v>383.45001200000002</v>
      </c>
      <c r="N1762" s="1">
        <f t="shared" ca="1" si="222"/>
        <v>383.45001200000002</v>
      </c>
      <c r="O1762" s="5">
        <f t="shared" si="223"/>
        <v>-1.5543152467028865E-2</v>
      </c>
    </row>
    <row r="1763" spans="1:15" s="2" customFormat="1" x14ac:dyDescent="0.5">
      <c r="A1763" s="6">
        <v>42913</v>
      </c>
      <c r="B1763" s="1">
        <v>376.39999399999999</v>
      </c>
      <c r="C1763" s="1">
        <v>376.39999399999999</v>
      </c>
      <c r="D1763" s="1">
        <v>362.01998900000001</v>
      </c>
      <c r="E1763" s="1">
        <v>362.36999500000002</v>
      </c>
      <c r="F1763" s="1">
        <v>362.36999500000002</v>
      </c>
      <c r="G1763" s="2">
        <v>6996400</v>
      </c>
      <c r="H1763" s="2">
        <f t="shared" si="216"/>
        <v>2017</v>
      </c>
      <c r="I1763" s="2">
        <f t="shared" si="217"/>
        <v>6</v>
      </c>
      <c r="J1763" s="2">
        <f t="shared" si="218"/>
        <v>27</v>
      </c>
      <c r="K1763" s="2">
        <f t="shared" si="219"/>
        <v>3</v>
      </c>
      <c r="L1763" s="2">
        <f t="shared" si="220"/>
        <v>7</v>
      </c>
      <c r="M1763" s="3">
        <f t="shared" si="221"/>
        <v>377.48998999999998</v>
      </c>
      <c r="N1763" s="1">
        <f t="shared" ca="1" si="222"/>
        <v>377.48998999999998</v>
      </c>
      <c r="O1763" s="5">
        <f t="shared" si="223"/>
        <v>-4.0054028982331347E-2</v>
      </c>
    </row>
    <row r="1764" spans="1:15" s="2" customFormat="1" x14ac:dyDescent="0.5">
      <c r="A1764" s="6">
        <v>42914</v>
      </c>
      <c r="B1764" s="1">
        <v>366.67999300000002</v>
      </c>
      <c r="C1764" s="1">
        <v>371.73998999999998</v>
      </c>
      <c r="D1764" s="1">
        <v>362.51998900000001</v>
      </c>
      <c r="E1764" s="1">
        <v>371.23998999999998</v>
      </c>
      <c r="F1764" s="1">
        <v>371.23998999999998</v>
      </c>
      <c r="G1764" s="2">
        <v>6302500</v>
      </c>
      <c r="H1764" s="2">
        <f t="shared" si="216"/>
        <v>2017</v>
      </c>
      <c r="I1764" s="2">
        <f t="shared" si="217"/>
        <v>6</v>
      </c>
      <c r="J1764" s="2">
        <f t="shared" si="218"/>
        <v>28</v>
      </c>
      <c r="K1764" s="2">
        <f t="shared" si="219"/>
        <v>4</v>
      </c>
      <c r="L1764" s="2">
        <f t="shared" si="220"/>
        <v>7</v>
      </c>
      <c r="M1764" s="3">
        <f t="shared" si="221"/>
        <v>362.36999500000002</v>
      </c>
      <c r="N1764" s="1">
        <f t="shared" ca="1" si="222"/>
        <v>362.36999500000002</v>
      </c>
      <c r="O1764" s="5">
        <f t="shared" si="223"/>
        <v>2.4477730282276733E-2</v>
      </c>
    </row>
    <row r="1765" spans="1:15" s="2" customFormat="1" x14ac:dyDescent="0.5">
      <c r="A1765" s="6">
        <v>42915</v>
      </c>
      <c r="B1765" s="1">
        <v>370.60998499999999</v>
      </c>
      <c r="C1765" s="1">
        <v>371</v>
      </c>
      <c r="D1765" s="1">
        <v>354.10000600000001</v>
      </c>
      <c r="E1765" s="1">
        <v>360.75</v>
      </c>
      <c r="F1765" s="1">
        <v>360.75</v>
      </c>
      <c r="G1765" s="2">
        <v>8221000</v>
      </c>
      <c r="H1765" s="2">
        <f t="shared" si="216"/>
        <v>2017</v>
      </c>
      <c r="I1765" s="2">
        <f t="shared" si="217"/>
        <v>6</v>
      </c>
      <c r="J1765" s="2">
        <f t="shared" si="218"/>
        <v>29</v>
      </c>
      <c r="K1765" s="2">
        <f t="shared" si="219"/>
        <v>5</v>
      </c>
      <c r="L1765" s="2">
        <f t="shared" si="220"/>
        <v>7</v>
      </c>
      <c r="M1765" s="3">
        <f t="shared" si="221"/>
        <v>371.23998999999998</v>
      </c>
      <c r="N1765" s="1">
        <f t="shared" ca="1" si="222"/>
        <v>371.23998999999998</v>
      </c>
      <c r="O1765" s="5">
        <f t="shared" si="223"/>
        <v>-2.8256627202257967E-2</v>
      </c>
    </row>
    <row r="1766" spans="1:15" s="2" customFormat="1" x14ac:dyDescent="0.5">
      <c r="A1766" s="6">
        <v>42916</v>
      </c>
      <c r="B1766" s="1">
        <v>363.709991</v>
      </c>
      <c r="C1766" s="1">
        <v>366.76998900000001</v>
      </c>
      <c r="D1766" s="1">
        <v>359.61999500000002</v>
      </c>
      <c r="E1766" s="1">
        <v>361.60998499999999</v>
      </c>
      <c r="F1766" s="1">
        <v>361.60998499999999</v>
      </c>
      <c r="G1766" s="2">
        <v>5848500</v>
      </c>
      <c r="H1766" s="2">
        <f t="shared" si="216"/>
        <v>2017</v>
      </c>
      <c r="I1766" s="2">
        <f t="shared" si="217"/>
        <v>6</v>
      </c>
      <c r="J1766" s="2">
        <f t="shared" si="218"/>
        <v>30</v>
      </c>
      <c r="K1766" s="2">
        <f t="shared" si="219"/>
        <v>6</v>
      </c>
      <c r="L1766" s="2">
        <f t="shared" si="220"/>
        <v>7</v>
      </c>
      <c r="M1766" s="3">
        <f t="shared" si="221"/>
        <v>360.75</v>
      </c>
      <c r="N1766" s="1">
        <f t="shared" ca="1" si="222"/>
        <v>360.75</v>
      </c>
      <c r="O1766" s="5">
        <f t="shared" si="223"/>
        <v>2.3838808038807446E-3</v>
      </c>
    </row>
    <row r="1767" spans="1:15" s="2" customFormat="1" x14ac:dyDescent="0.5">
      <c r="A1767" s="6">
        <v>42919</v>
      </c>
      <c r="B1767" s="1">
        <v>370.23998999999998</v>
      </c>
      <c r="C1767" s="1">
        <v>371.35000600000001</v>
      </c>
      <c r="D1767" s="1">
        <v>351.5</v>
      </c>
      <c r="E1767" s="1">
        <v>352.61999500000002</v>
      </c>
      <c r="F1767" s="1">
        <v>352.61999500000002</v>
      </c>
      <c r="G1767" s="2">
        <v>6305400</v>
      </c>
      <c r="H1767" s="2">
        <f t="shared" si="216"/>
        <v>2017</v>
      </c>
      <c r="I1767" s="2">
        <f t="shared" si="217"/>
        <v>7</v>
      </c>
      <c r="J1767" s="2">
        <f t="shared" si="218"/>
        <v>3</v>
      </c>
      <c r="K1767" s="2">
        <f t="shared" si="219"/>
        <v>2</v>
      </c>
      <c r="L1767" s="2">
        <f t="shared" si="220"/>
        <v>8</v>
      </c>
      <c r="M1767" s="3">
        <f t="shared" si="221"/>
        <v>361.60998499999999</v>
      </c>
      <c r="N1767" s="1">
        <f t="shared" ca="1" si="222"/>
        <v>361.60998499999999</v>
      </c>
      <c r="O1767" s="5">
        <f t="shared" si="223"/>
        <v>-2.4861011512168241E-2</v>
      </c>
    </row>
    <row r="1768" spans="1:15" s="2" customFormat="1" x14ac:dyDescent="0.5">
      <c r="A1768" s="6">
        <v>42921</v>
      </c>
      <c r="B1768" s="1">
        <v>347.20001200000002</v>
      </c>
      <c r="C1768" s="1">
        <v>347.23998999999998</v>
      </c>
      <c r="D1768" s="1">
        <v>326.32998700000002</v>
      </c>
      <c r="E1768" s="1">
        <v>327.08999599999999</v>
      </c>
      <c r="F1768" s="1">
        <v>327.08999599999999</v>
      </c>
      <c r="G1768" s="2">
        <v>17046700</v>
      </c>
      <c r="H1768" s="2">
        <f t="shared" si="216"/>
        <v>2017</v>
      </c>
      <c r="I1768" s="2">
        <f t="shared" si="217"/>
        <v>7</v>
      </c>
      <c r="J1768" s="2">
        <f t="shared" si="218"/>
        <v>5</v>
      </c>
      <c r="K1768" s="2">
        <f t="shared" si="219"/>
        <v>4</v>
      </c>
      <c r="L1768" s="2">
        <f t="shared" si="220"/>
        <v>8</v>
      </c>
      <c r="M1768" s="3">
        <f t="shared" si="221"/>
        <v>352.61999500000002</v>
      </c>
      <c r="N1768" s="1">
        <f t="shared" ca="1" si="222"/>
        <v>352.61999500000002</v>
      </c>
      <c r="O1768" s="5">
        <f t="shared" si="223"/>
        <v>-7.2400882995872218E-2</v>
      </c>
    </row>
    <row r="1769" spans="1:15" s="2" customFormat="1" x14ac:dyDescent="0.5">
      <c r="A1769" s="6">
        <v>42922</v>
      </c>
      <c r="B1769" s="1">
        <v>317.26001000000002</v>
      </c>
      <c r="C1769" s="1">
        <v>320.790009</v>
      </c>
      <c r="D1769" s="1">
        <v>306.29998799999998</v>
      </c>
      <c r="E1769" s="1">
        <v>308.82998700000002</v>
      </c>
      <c r="F1769" s="1">
        <v>308.82998700000002</v>
      </c>
      <c r="G1769" s="2">
        <v>19324500</v>
      </c>
      <c r="H1769" s="2">
        <f t="shared" si="216"/>
        <v>2017</v>
      </c>
      <c r="I1769" s="2">
        <f t="shared" si="217"/>
        <v>7</v>
      </c>
      <c r="J1769" s="2">
        <f t="shared" si="218"/>
        <v>6</v>
      </c>
      <c r="K1769" s="2">
        <f t="shared" si="219"/>
        <v>5</v>
      </c>
      <c r="L1769" s="2">
        <f t="shared" si="220"/>
        <v>8</v>
      </c>
      <c r="M1769" s="3">
        <f t="shared" si="221"/>
        <v>327.08999599999999</v>
      </c>
      <c r="N1769" s="1">
        <f t="shared" ca="1" si="222"/>
        <v>327.08999599999999</v>
      </c>
      <c r="O1769" s="5">
        <f t="shared" si="223"/>
        <v>-5.5825641943509585E-2</v>
      </c>
    </row>
    <row r="1770" spans="1:15" s="2" customFormat="1" x14ac:dyDescent="0.5">
      <c r="A1770" s="6">
        <v>42923</v>
      </c>
      <c r="B1770" s="1">
        <v>313.5</v>
      </c>
      <c r="C1770" s="1">
        <v>317</v>
      </c>
      <c r="D1770" s="1">
        <v>307.38000499999998</v>
      </c>
      <c r="E1770" s="1">
        <v>313.22000100000002</v>
      </c>
      <c r="F1770" s="1">
        <v>313.22000100000002</v>
      </c>
      <c r="G1770" s="2">
        <v>14176900</v>
      </c>
      <c r="H1770" s="2">
        <f t="shared" si="216"/>
        <v>2017</v>
      </c>
      <c r="I1770" s="2">
        <f t="shared" si="217"/>
        <v>7</v>
      </c>
      <c r="J1770" s="2">
        <f t="shared" si="218"/>
        <v>7</v>
      </c>
      <c r="K1770" s="2">
        <f t="shared" si="219"/>
        <v>6</v>
      </c>
      <c r="L1770" s="2">
        <f t="shared" si="220"/>
        <v>8</v>
      </c>
      <c r="M1770" s="3">
        <f t="shared" si="221"/>
        <v>308.82998700000002</v>
      </c>
      <c r="N1770" s="1">
        <f t="shared" ca="1" si="222"/>
        <v>308.82998700000002</v>
      </c>
      <c r="O1770" s="5">
        <f t="shared" si="223"/>
        <v>1.4214986189148737E-2</v>
      </c>
    </row>
    <row r="1771" spans="1:15" s="2" customFormat="1" x14ac:dyDescent="0.5">
      <c r="A1771" s="6">
        <v>42926</v>
      </c>
      <c r="B1771" s="1">
        <v>312.89999399999999</v>
      </c>
      <c r="C1771" s="1">
        <v>317.94000199999999</v>
      </c>
      <c r="D1771" s="1">
        <v>303.13000499999998</v>
      </c>
      <c r="E1771" s="1">
        <v>316.04998799999998</v>
      </c>
      <c r="F1771" s="1">
        <v>316.04998799999998</v>
      </c>
      <c r="G1771" s="2">
        <v>13820900</v>
      </c>
      <c r="H1771" s="2">
        <f t="shared" si="216"/>
        <v>2017</v>
      </c>
      <c r="I1771" s="2">
        <f t="shared" si="217"/>
        <v>7</v>
      </c>
      <c r="J1771" s="2">
        <f t="shared" si="218"/>
        <v>10</v>
      </c>
      <c r="K1771" s="2">
        <f t="shared" si="219"/>
        <v>2</v>
      </c>
      <c r="L1771" s="2">
        <f t="shared" si="220"/>
        <v>8</v>
      </c>
      <c r="M1771" s="3">
        <f t="shared" si="221"/>
        <v>313.22000100000002</v>
      </c>
      <c r="N1771" s="1">
        <f t="shared" ca="1" si="222"/>
        <v>313.22000100000002</v>
      </c>
      <c r="O1771" s="5">
        <f t="shared" si="223"/>
        <v>9.035141405289604E-3</v>
      </c>
    </row>
    <row r="1772" spans="1:15" s="2" customFormat="1" x14ac:dyDescent="0.5">
      <c r="A1772" s="6">
        <v>42927</v>
      </c>
      <c r="B1772" s="1">
        <v>316</v>
      </c>
      <c r="C1772" s="1">
        <v>327.27999899999998</v>
      </c>
      <c r="D1772" s="1">
        <v>314.29998799999998</v>
      </c>
      <c r="E1772" s="1">
        <v>327.22000100000002</v>
      </c>
      <c r="F1772" s="1">
        <v>327.22000100000002</v>
      </c>
      <c r="G1772" s="2">
        <v>11559400</v>
      </c>
      <c r="H1772" s="2">
        <f t="shared" si="216"/>
        <v>2017</v>
      </c>
      <c r="I1772" s="2">
        <f t="shared" si="217"/>
        <v>7</v>
      </c>
      <c r="J1772" s="2">
        <f t="shared" si="218"/>
        <v>11</v>
      </c>
      <c r="K1772" s="2">
        <f t="shared" si="219"/>
        <v>3</v>
      </c>
      <c r="L1772" s="2">
        <f t="shared" si="220"/>
        <v>8</v>
      </c>
      <c r="M1772" s="3">
        <f t="shared" si="221"/>
        <v>316.04998799999998</v>
      </c>
      <c r="N1772" s="1">
        <f t="shared" ca="1" si="222"/>
        <v>316.04998799999998</v>
      </c>
      <c r="O1772" s="5">
        <f t="shared" si="223"/>
        <v>3.534255157130417E-2</v>
      </c>
    </row>
    <row r="1773" spans="1:15" s="2" customFormat="1" x14ac:dyDescent="0.5">
      <c r="A1773" s="6">
        <v>42928</v>
      </c>
      <c r="B1773" s="1">
        <v>330.39999399999999</v>
      </c>
      <c r="C1773" s="1">
        <v>333.10000600000001</v>
      </c>
      <c r="D1773" s="1">
        <v>324.5</v>
      </c>
      <c r="E1773" s="1">
        <v>329.51998900000001</v>
      </c>
      <c r="F1773" s="1">
        <v>329.51998900000001</v>
      </c>
      <c r="G1773" s="2">
        <v>10346100</v>
      </c>
      <c r="H1773" s="2">
        <f t="shared" si="216"/>
        <v>2017</v>
      </c>
      <c r="I1773" s="2">
        <f t="shared" si="217"/>
        <v>7</v>
      </c>
      <c r="J1773" s="2">
        <f t="shared" si="218"/>
        <v>12</v>
      </c>
      <c r="K1773" s="2">
        <f t="shared" si="219"/>
        <v>4</v>
      </c>
      <c r="L1773" s="2">
        <f t="shared" si="220"/>
        <v>8</v>
      </c>
      <c r="M1773" s="3">
        <f t="shared" si="221"/>
        <v>327.22000100000002</v>
      </c>
      <c r="N1773" s="1">
        <f t="shared" ca="1" si="222"/>
        <v>327.22000100000002</v>
      </c>
      <c r="O1773" s="5">
        <f t="shared" si="223"/>
        <v>7.0288735192565177E-3</v>
      </c>
    </row>
    <row r="1774" spans="1:15" s="2" customFormat="1" x14ac:dyDescent="0.5">
      <c r="A1774" s="6">
        <v>42929</v>
      </c>
      <c r="B1774" s="1">
        <v>330.10998499999999</v>
      </c>
      <c r="C1774" s="1">
        <v>331.60000600000001</v>
      </c>
      <c r="D1774" s="1">
        <v>319.97000100000002</v>
      </c>
      <c r="E1774" s="1">
        <v>323.41000400000001</v>
      </c>
      <c r="F1774" s="1">
        <v>323.41000400000001</v>
      </c>
      <c r="G1774" s="2">
        <v>8594500</v>
      </c>
      <c r="H1774" s="2">
        <f t="shared" si="216"/>
        <v>2017</v>
      </c>
      <c r="I1774" s="2">
        <f t="shared" si="217"/>
        <v>7</v>
      </c>
      <c r="J1774" s="2">
        <f t="shared" si="218"/>
        <v>13</v>
      </c>
      <c r="K1774" s="2">
        <f t="shared" si="219"/>
        <v>5</v>
      </c>
      <c r="L1774" s="2">
        <f t="shared" si="220"/>
        <v>8</v>
      </c>
      <c r="M1774" s="3">
        <f t="shared" si="221"/>
        <v>329.51998900000001</v>
      </c>
      <c r="N1774" s="1">
        <f t="shared" ca="1" si="222"/>
        <v>329.51998900000001</v>
      </c>
      <c r="O1774" s="5">
        <f t="shared" si="223"/>
        <v>-1.8542076972453359E-2</v>
      </c>
    </row>
    <row r="1775" spans="1:15" s="2" customFormat="1" x14ac:dyDescent="0.5">
      <c r="A1775" s="6">
        <v>42930</v>
      </c>
      <c r="B1775" s="1">
        <v>323.19000199999999</v>
      </c>
      <c r="C1775" s="1">
        <v>328.42001299999998</v>
      </c>
      <c r="D1775" s="1">
        <v>321.22000100000002</v>
      </c>
      <c r="E1775" s="1">
        <v>327.77999899999998</v>
      </c>
      <c r="F1775" s="1">
        <v>327.77999899999998</v>
      </c>
      <c r="G1775" s="2">
        <v>5625200</v>
      </c>
      <c r="H1775" s="2">
        <f t="shared" si="216"/>
        <v>2017</v>
      </c>
      <c r="I1775" s="2">
        <f t="shared" si="217"/>
        <v>7</v>
      </c>
      <c r="J1775" s="2">
        <f t="shared" si="218"/>
        <v>14</v>
      </c>
      <c r="K1775" s="2">
        <f t="shared" si="219"/>
        <v>6</v>
      </c>
      <c r="L1775" s="2">
        <f t="shared" si="220"/>
        <v>8</v>
      </c>
      <c r="M1775" s="3">
        <f t="shared" si="221"/>
        <v>323.41000400000001</v>
      </c>
      <c r="N1775" s="1">
        <f t="shared" ca="1" si="222"/>
        <v>323.41000400000001</v>
      </c>
      <c r="O1775" s="5">
        <f t="shared" si="223"/>
        <v>1.3512244352218428E-2</v>
      </c>
    </row>
    <row r="1776" spans="1:15" s="2" customFormat="1" x14ac:dyDescent="0.5">
      <c r="A1776" s="6">
        <v>42933</v>
      </c>
      <c r="B1776" s="1">
        <v>325.540009</v>
      </c>
      <c r="C1776" s="1">
        <v>327.10000600000001</v>
      </c>
      <c r="D1776" s="1">
        <v>313.45001200000002</v>
      </c>
      <c r="E1776" s="1">
        <v>319.57000699999998</v>
      </c>
      <c r="F1776" s="1">
        <v>319.57000699999998</v>
      </c>
      <c r="G1776" s="2">
        <v>9876900</v>
      </c>
      <c r="H1776" s="2">
        <f t="shared" si="216"/>
        <v>2017</v>
      </c>
      <c r="I1776" s="2">
        <f t="shared" si="217"/>
        <v>7</v>
      </c>
      <c r="J1776" s="2">
        <f t="shared" si="218"/>
        <v>17</v>
      </c>
      <c r="K1776" s="2">
        <f t="shared" si="219"/>
        <v>2</v>
      </c>
      <c r="L1776" s="2">
        <f t="shared" si="220"/>
        <v>8</v>
      </c>
      <c r="M1776" s="3">
        <f t="shared" si="221"/>
        <v>327.77999899999998</v>
      </c>
      <c r="N1776" s="1">
        <f t="shared" ca="1" si="222"/>
        <v>327.77999899999998</v>
      </c>
      <c r="O1776" s="5">
        <f t="shared" si="223"/>
        <v>-2.5047263484798576E-2</v>
      </c>
    </row>
    <row r="1777" spans="1:15" s="2" customFormat="1" x14ac:dyDescent="0.5">
      <c r="A1777" s="6">
        <v>42934</v>
      </c>
      <c r="B1777" s="1">
        <v>317.5</v>
      </c>
      <c r="C1777" s="1">
        <v>329.13000499999998</v>
      </c>
      <c r="D1777" s="1">
        <v>315.66000400000001</v>
      </c>
      <c r="E1777" s="1">
        <v>328.23998999999998</v>
      </c>
      <c r="F1777" s="1">
        <v>328.23998999999998</v>
      </c>
      <c r="G1777" s="2">
        <v>6373700</v>
      </c>
      <c r="H1777" s="2">
        <f t="shared" si="216"/>
        <v>2017</v>
      </c>
      <c r="I1777" s="2">
        <f t="shared" si="217"/>
        <v>7</v>
      </c>
      <c r="J1777" s="2">
        <f t="shared" si="218"/>
        <v>18</v>
      </c>
      <c r="K1777" s="2">
        <f t="shared" si="219"/>
        <v>3</v>
      </c>
      <c r="L1777" s="2">
        <f t="shared" si="220"/>
        <v>8</v>
      </c>
      <c r="M1777" s="3">
        <f t="shared" si="221"/>
        <v>319.57000699999998</v>
      </c>
      <c r="N1777" s="1">
        <f t="shared" ca="1" si="222"/>
        <v>319.57000699999998</v>
      </c>
      <c r="O1777" s="5">
        <f t="shared" si="223"/>
        <v>2.713015242384742E-2</v>
      </c>
    </row>
    <row r="1778" spans="1:15" s="2" customFormat="1" x14ac:dyDescent="0.5">
      <c r="A1778" s="6">
        <v>42935</v>
      </c>
      <c r="B1778" s="1">
        <v>328.23001099999999</v>
      </c>
      <c r="C1778" s="1">
        <v>331.64999399999999</v>
      </c>
      <c r="D1778" s="1">
        <v>323.22000100000002</v>
      </c>
      <c r="E1778" s="1">
        <v>325.26001000000002</v>
      </c>
      <c r="F1778" s="1">
        <v>325.26001000000002</v>
      </c>
      <c r="G1778" s="2">
        <v>6357000</v>
      </c>
      <c r="H1778" s="2">
        <f t="shared" si="216"/>
        <v>2017</v>
      </c>
      <c r="I1778" s="2">
        <f t="shared" si="217"/>
        <v>7</v>
      </c>
      <c r="J1778" s="2">
        <f t="shared" si="218"/>
        <v>19</v>
      </c>
      <c r="K1778" s="2">
        <f t="shared" si="219"/>
        <v>4</v>
      </c>
      <c r="L1778" s="2">
        <f t="shared" si="220"/>
        <v>8</v>
      </c>
      <c r="M1778" s="3">
        <f t="shared" si="221"/>
        <v>328.23998999999998</v>
      </c>
      <c r="N1778" s="1">
        <f t="shared" ca="1" si="222"/>
        <v>328.23998999999998</v>
      </c>
      <c r="O1778" s="5">
        <f t="shared" si="223"/>
        <v>-9.0786622312533094E-3</v>
      </c>
    </row>
    <row r="1779" spans="1:15" s="2" customFormat="1" x14ac:dyDescent="0.5">
      <c r="A1779" s="6">
        <v>42936</v>
      </c>
      <c r="B1779" s="1">
        <v>326.89999399999999</v>
      </c>
      <c r="C1779" s="1">
        <v>330.22000100000002</v>
      </c>
      <c r="D1779" s="1">
        <v>324.20001200000002</v>
      </c>
      <c r="E1779" s="1">
        <v>329.92001299999998</v>
      </c>
      <c r="F1779" s="1">
        <v>329.92001299999998</v>
      </c>
      <c r="G1779" s="2">
        <v>5166200</v>
      </c>
      <c r="H1779" s="2">
        <f t="shared" si="216"/>
        <v>2017</v>
      </c>
      <c r="I1779" s="2">
        <f t="shared" si="217"/>
        <v>7</v>
      </c>
      <c r="J1779" s="2">
        <f t="shared" si="218"/>
        <v>20</v>
      </c>
      <c r="K1779" s="2">
        <f t="shared" si="219"/>
        <v>5</v>
      </c>
      <c r="L1779" s="2">
        <f t="shared" si="220"/>
        <v>8</v>
      </c>
      <c r="M1779" s="3">
        <f t="shared" si="221"/>
        <v>325.26001000000002</v>
      </c>
      <c r="N1779" s="1">
        <f t="shared" ca="1" si="222"/>
        <v>325.26001000000002</v>
      </c>
      <c r="O1779" s="5">
        <f t="shared" si="223"/>
        <v>1.4327008721422452E-2</v>
      </c>
    </row>
    <row r="1780" spans="1:15" s="2" customFormat="1" x14ac:dyDescent="0.5">
      <c r="A1780" s="6">
        <v>42937</v>
      </c>
      <c r="B1780" s="1">
        <v>329.459991</v>
      </c>
      <c r="C1780" s="1">
        <v>331.26001000000002</v>
      </c>
      <c r="D1780" s="1">
        <v>325.79998799999998</v>
      </c>
      <c r="E1780" s="1">
        <v>328.39999399999999</v>
      </c>
      <c r="F1780" s="1">
        <v>328.39999399999999</v>
      </c>
      <c r="G1780" s="2">
        <v>4901600</v>
      </c>
      <c r="H1780" s="2">
        <f t="shared" si="216"/>
        <v>2017</v>
      </c>
      <c r="I1780" s="2">
        <f t="shared" si="217"/>
        <v>7</v>
      </c>
      <c r="J1780" s="2">
        <f t="shared" si="218"/>
        <v>21</v>
      </c>
      <c r="K1780" s="2">
        <f t="shared" si="219"/>
        <v>6</v>
      </c>
      <c r="L1780" s="2">
        <f t="shared" si="220"/>
        <v>8</v>
      </c>
      <c r="M1780" s="3">
        <f t="shared" si="221"/>
        <v>329.92001299999998</v>
      </c>
      <c r="N1780" s="1">
        <f t="shared" ca="1" si="222"/>
        <v>329.92001299999998</v>
      </c>
      <c r="O1780" s="5">
        <f t="shared" si="223"/>
        <v>-4.6072349057527662E-3</v>
      </c>
    </row>
    <row r="1781" spans="1:15" s="2" customFormat="1" x14ac:dyDescent="0.5">
      <c r="A1781" s="6">
        <v>42940</v>
      </c>
      <c r="B1781" s="1">
        <v>330.23998999999998</v>
      </c>
      <c r="C1781" s="1">
        <v>343.39999399999999</v>
      </c>
      <c r="D1781" s="1">
        <v>330.01001000000002</v>
      </c>
      <c r="E1781" s="1">
        <v>342.51998900000001</v>
      </c>
      <c r="F1781" s="1">
        <v>342.51998900000001</v>
      </c>
      <c r="G1781" s="2">
        <v>8637100</v>
      </c>
      <c r="H1781" s="2">
        <f t="shared" si="216"/>
        <v>2017</v>
      </c>
      <c r="I1781" s="2">
        <f t="shared" si="217"/>
        <v>7</v>
      </c>
      <c r="J1781" s="2">
        <f t="shared" si="218"/>
        <v>24</v>
      </c>
      <c r="K1781" s="2">
        <f t="shared" si="219"/>
        <v>2</v>
      </c>
      <c r="L1781" s="2">
        <f t="shared" si="220"/>
        <v>8</v>
      </c>
      <c r="M1781" s="3">
        <f t="shared" si="221"/>
        <v>328.39999399999999</v>
      </c>
      <c r="N1781" s="1">
        <f t="shared" ca="1" si="222"/>
        <v>328.39999399999999</v>
      </c>
      <c r="O1781" s="5">
        <f t="shared" si="223"/>
        <v>4.2996331479835614E-2</v>
      </c>
    </row>
    <row r="1782" spans="1:15" s="2" customFormat="1" x14ac:dyDescent="0.5">
      <c r="A1782" s="6">
        <v>42941</v>
      </c>
      <c r="B1782" s="1">
        <v>345</v>
      </c>
      <c r="C1782" s="1">
        <v>345.60000600000001</v>
      </c>
      <c r="D1782" s="1">
        <v>334.14999399999999</v>
      </c>
      <c r="E1782" s="1">
        <v>339.60000600000001</v>
      </c>
      <c r="F1782" s="1">
        <v>339.60000600000001</v>
      </c>
      <c r="G1782" s="2">
        <v>6989200</v>
      </c>
      <c r="H1782" s="2">
        <f t="shared" si="216"/>
        <v>2017</v>
      </c>
      <c r="I1782" s="2">
        <f t="shared" si="217"/>
        <v>7</v>
      </c>
      <c r="J1782" s="2">
        <f t="shared" si="218"/>
        <v>25</v>
      </c>
      <c r="K1782" s="2">
        <f t="shared" si="219"/>
        <v>3</v>
      </c>
      <c r="L1782" s="2">
        <f t="shared" si="220"/>
        <v>8</v>
      </c>
      <c r="M1782" s="3">
        <f t="shared" si="221"/>
        <v>342.51998900000001</v>
      </c>
      <c r="N1782" s="1">
        <f t="shared" ca="1" si="222"/>
        <v>342.51998900000001</v>
      </c>
      <c r="O1782" s="5">
        <f t="shared" si="223"/>
        <v>-8.5250002737796704E-3</v>
      </c>
    </row>
    <row r="1783" spans="1:15" s="2" customFormat="1" x14ac:dyDescent="0.5">
      <c r="A1783" s="6">
        <v>42942</v>
      </c>
      <c r="B1783" s="1">
        <v>340.35998499999999</v>
      </c>
      <c r="C1783" s="1">
        <v>345.5</v>
      </c>
      <c r="D1783" s="1">
        <v>338.11999500000002</v>
      </c>
      <c r="E1783" s="1">
        <v>343.85000600000001</v>
      </c>
      <c r="F1783" s="1">
        <v>343.85000600000001</v>
      </c>
      <c r="G1783" s="2">
        <v>4820800</v>
      </c>
      <c r="H1783" s="2">
        <f t="shared" si="216"/>
        <v>2017</v>
      </c>
      <c r="I1783" s="2">
        <f t="shared" si="217"/>
        <v>7</v>
      </c>
      <c r="J1783" s="2">
        <f t="shared" si="218"/>
        <v>26</v>
      </c>
      <c r="K1783" s="2">
        <f t="shared" si="219"/>
        <v>4</v>
      </c>
      <c r="L1783" s="2">
        <f t="shared" si="220"/>
        <v>8</v>
      </c>
      <c r="M1783" s="3">
        <f t="shared" si="221"/>
        <v>339.60000600000001</v>
      </c>
      <c r="N1783" s="1">
        <f t="shared" ca="1" si="222"/>
        <v>339.60000600000001</v>
      </c>
      <c r="O1783" s="5">
        <f t="shared" si="223"/>
        <v>1.2514722982660986E-2</v>
      </c>
    </row>
    <row r="1784" spans="1:15" s="2" customFormat="1" x14ac:dyDescent="0.5">
      <c r="A1784" s="6">
        <v>42943</v>
      </c>
      <c r="B1784" s="1">
        <v>346</v>
      </c>
      <c r="C1784" s="1">
        <v>347.5</v>
      </c>
      <c r="D1784" s="1">
        <v>326.290009</v>
      </c>
      <c r="E1784" s="1">
        <v>334.459991</v>
      </c>
      <c r="F1784" s="1">
        <v>334.459991</v>
      </c>
      <c r="G1784" s="2">
        <v>8302400</v>
      </c>
      <c r="H1784" s="2">
        <f t="shared" si="216"/>
        <v>2017</v>
      </c>
      <c r="I1784" s="2">
        <f t="shared" si="217"/>
        <v>7</v>
      </c>
      <c r="J1784" s="2">
        <f t="shared" si="218"/>
        <v>27</v>
      </c>
      <c r="K1784" s="2">
        <f t="shared" si="219"/>
        <v>5</v>
      </c>
      <c r="L1784" s="2">
        <f t="shared" si="220"/>
        <v>8</v>
      </c>
      <c r="M1784" s="3">
        <f t="shared" si="221"/>
        <v>343.85000600000001</v>
      </c>
      <c r="N1784" s="1">
        <f t="shared" ca="1" si="222"/>
        <v>343.85000600000001</v>
      </c>
      <c r="O1784" s="5">
        <f t="shared" si="223"/>
        <v>-2.7308462516065779E-2</v>
      </c>
    </row>
    <row r="1785" spans="1:15" s="2" customFormat="1" x14ac:dyDescent="0.5">
      <c r="A1785" s="6">
        <v>42944</v>
      </c>
      <c r="B1785" s="1">
        <v>336.89001500000001</v>
      </c>
      <c r="C1785" s="1">
        <v>339.60000600000001</v>
      </c>
      <c r="D1785" s="1">
        <v>332.51001000000002</v>
      </c>
      <c r="E1785" s="1">
        <v>335.07000699999998</v>
      </c>
      <c r="F1785" s="1">
        <v>335.07000699999998</v>
      </c>
      <c r="G1785" s="2">
        <v>4880400</v>
      </c>
      <c r="H1785" s="2">
        <f t="shared" si="216"/>
        <v>2017</v>
      </c>
      <c r="I1785" s="2">
        <f t="shared" si="217"/>
        <v>7</v>
      </c>
      <c r="J1785" s="2">
        <f t="shared" si="218"/>
        <v>28</v>
      </c>
      <c r="K1785" s="2">
        <f t="shared" si="219"/>
        <v>6</v>
      </c>
      <c r="L1785" s="2">
        <f t="shared" si="220"/>
        <v>8</v>
      </c>
      <c r="M1785" s="3">
        <f t="shared" si="221"/>
        <v>334.459991</v>
      </c>
      <c r="N1785" s="1">
        <f t="shared" ca="1" si="222"/>
        <v>334.459991</v>
      </c>
      <c r="O1785" s="5">
        <f t="shared" si="223"/>
        <v>1.823883323611053E-3</v>
      </c>
    </row>
    <row r="1786" spans="1:15" s="2" customFormat="1" x14ac:dyDescent="0.5">
      <c r="A1786" s="6">
        <v>42947</v>
      </c>
      <c r="B1786" s="1">
        <v>335.5</v>
      </c>
      <c r="C1786" s="1">
        <v>341.48998999999998</v>
      </c>
      <c r="D1786" s="1">
        <v>321.040009</v>
      </c>
      <c r="E1786" s="1">
        <v>323.47000100000002</v>
      </c>
      <c r="F1786" s="1">
        <v>323.47000100000002</v>
      </c>
      <c r="G1786" s="2">
        <v>8535100</v>
      </c>
      <c r="H1786" s="2">
        <f t="shared" si="216"/>
        <v>2017</v>
      </c>
      <c r="I1786" s="2">
        <f t="shared" si="217"/>
        <v>7</v>
      </c>
      <c r="J1786" s="2">
        <f t="shared" si="218"/>
        <v>31</v>
      </c>
      <c r="K1786" s="2">
        <f t="shared" si="219"/>
        <v>2</v>
      </c>
      <c r="L1786" s="2">
        <f t="shared" si="220"/>
        <v>8</v>
      </c>
      <c r="M1786" s="3">
        <f t="shared" si="221"/>
        <v>335.07000699999998</v>
      </c>
      <c r="N1786" s="1">
        <f t="shared" ca="1" si="222"/>
        <v>335.07000699999998</v>
      </c>
      <c r="O1786" s="5">
        <f t="shared" si="223"/>
        <v>-3.4619648902206701E-2</v>
      </c>
    </row>
    <row r="1787" spans="1:15" s="2" customFormat="1" x14ac:dyDescent="0.5">
      <c r="A1787" s="6">
        <v>42948</v>
      </c>
      <c r="B1787" s="1">
        <v>323</v>
      </c>
      <c r="C1787" s="1">
        <v>324.45001200000002</v>
      </c>
      <c r="D1787" s="1">
        <v>316.13000499999998</v>
      </c>
      <c r="E1787" s="1">
        <v>319.57000699999998</v>
      </c>
      <c r="F1787" s="1">
        <v>319.57000699999998</v>
      </c>
      <c r="G1787" s="2">
        <v>8303100</v>
      </c>
      <c r="H1787" s="2">
        <f t="shared" si="216"/>
        <v>2017</v>
      </c>
      <c r="I1787" s="2">
        <f t="shared" si="217"/>
        <v>8</v>
      </c>
      <c r="J1787" s="2">
        <f t="shared" si="218"/>
        <v>1</v>
      </c>
      <c r="K1787" s="2">
        <f t="shared" si="219"/>
        <v>3</v>
      </c>
      <c r="L1787" s="2">
        <f t="shared" si="220"/>
        <v>9</v>
      </c>
      <c r="M1787" s="3">
        <f t="shared" si="221"/>
        <v>323.47000100000002</v>
      </c>
      <c r="N1787" s="1">
        <f t="shared" ca="1" si="222"/>
        <v>323.47000100000002</v>
      </c>
      <c r="O1787" s="5">
        <f t="shared" si="223"/>
        <v>-1.2056740927886112E-2</v>
      </c>
    </row>
    <row r="1788" spans="1:15" s="2" customFormat="1" x14ac:dyDescent="0.5">
      <c r="A1788" s="6">
        <v>42949</v>
      </c>
      <c r="B1788" s="1">
        <v>318.94000199999999</v>
      </c>
      <c r="C1788" s="1">
        <v>327.11999500000002</v>
      </c>
      <c r="D1788" s="1">
        <v>311.22000100000002</v>
      </c>
      <c r="E1788" s="1">
        <v>325.89001500000001</v>
      </c>
      <c r="F1788" s="1">
        <v>325.89001500000001</v>
      </c>
      <c r="G1788" s="2">
        <v>13091500</v>
      </c>
      <c r="H1788" s="2">
        <f t="shared" si="216"/>
        <v>2017</v>
      </c>
      <c r="I1788" s="2">
        <f t="shared" si="217"/>
        <v>8</v>
      </c>
      <c r="J1788" s="2">
        <f t="shared" si="218"/>
        <v>2</v>
      </c>
      <c r="K1788" s="2">
        <f t="shared" si="219"/>
        <v>4</v>
      </c>
      <c r="L1788" s="2">
        <f t="shared" si="220"/>
        <v>9</v>
      </c>
      <c r="M1788" s="3">
        <f t="shared" si="221"/>
        <v>319.57000699999998</v>
      </c>
      <c r="N1788" s="1">
        <f t="shared" ca="1" si="222"/>
        <v>319.57000699999998</v>
      </c>
      <c r="O1788" s="5">
        <f t="shared" si="223"/>
        <v>1.9776599372794079E-2</v>
      </c>
    </row>
    <row r="1789" spans="1:15" s="2" customFormat="1" x14ac:dyDescent="0.5">
      <c r="A1789" s="6">
        <v>42950</v>
      </c>
      <c r="B1789" s="1">
        <v>345.32998700000002</v>
      </c>
      <c r="C1789" s="1">
        <v>350</v>
      </c>
      <c r="D1789" s="1">
        <v>343.14999399999999</v>
      </c>
      <c r="E1789" s="1">
        <v>347.08999599999999</v>
      </c>
      <c r="F1789" s="1">
        <v>347.08999599999999</v>
      </c>
      <c r="G1789" s="2">
        <v>13535000</v>
      </c>
      <c r="H1789" s="2">
        <f t="shared" si="216"/>
        <v>2017</v>
      </c>
      <c r="I1789" s="2">
        <f t="shared" si="217"/>
        <v>8</v>
      </c>
      <c r="J1789" s="2">
        <f t="shared" si="218"/>
        <v>3</v>
      </c>
      <c r="K1789" s="2">
        <f t="shared" si="219"/>
        <v>5</v>
      </c>
      <c r="L1789" s="2">
        <f t="shared" si="220"/>
        <v>9</v>
      </c>
      <c r="M1789" s="3">
        <f t="shared" si="221"/>
        <v>325.89001500000001</v>
      </c>
      <c r="N1789" s="1">
        <f t="shared" ca="1" si="222"/>
        <v>325.89001500000001</v>
      </c>
      <c r="O1789" s="5">
        <f t="shared" si="223"/>
        <v>6.5052563822797671E-2</v>
      </c>
    </row>
    <row r="1790" spans="1:15" s="2" customFormat="1" x14ac:dyDescent="0.5">
      <c r="A1790" s="6">
        <v>42951</v>
      </c>
      <c r="B1790" s="1">
        <v>347</v>
      </c>
      <c r="C1790" s="1">
        <v>357.26998900000001</v>
      </c>
      <c r="D1790" s="1">
        <v>343.29998799999998</v>
      </c>
      <c r="E1790" s="1">
        <v>356.91000400000001</v>
      </c>
      <c r="F1790" s="1">
        <v>356.91000400000001</v>
      </c>
      <c r="G1790" s="2">
        <v>9268900</v>
      </c>
      <c r="H1790" s="2">
        <f t="shared" si="216"/>
        <v>2017</v>
      </c>
      <c r="I1790" s="2">
        <f t="shared" si="217"/>
        <v>8</v>
      </c>
      <c r="J1790" s="2">
        <f t="shared" si="218"/>
        <v>4</v>
      </c>
      <c r="K1790" s="2">
        <f t="shared" si="219"/>
        <v>6</v>
      </c>
      <c r="L1790" s="2">
        <f t="shared" si="220"/>
        <v>9</v>
      </c>
      <c r="M1790" s="3">
        <f t="shared" si="221"/>
        <v>347.08999599999999</v>
      </c>
      <c r="N1790" s="1">
        <f t="shared" ca="1" si="222"/>
        <v>347.08999599999999</v>
      </c>
      <c r="O1790" s="5">
        <f t="shared" si="223"/>
        <v>2.8292397110748269E-2</v>
      </c>
    </row>
    <row r="1791" spans="1:15" s="2" customFormat="1" x14ac:dyDescent="0.5">
      <c r="A1791" s="6">
        <v>42954</v>
      </c>
      <c r="B1791" s="1">
        <v>357.35000600000001</v>
      </c>
      <c r="C1791" s="1">
        <v>359.48001099999999</v>
      </c>
      <c r="D1791" s="1">
        <v>352.75</v>
      </c>
      <c r="E1791" s="1">
        <v>355.17001299999998</v>
      </c>
      <c r="F1791" s="1">
        <v>355.17001299999998</v>
      </c>
      <c r="G1791" s="2">
        <v>6324500</v>
      </c>
      <c r="H1791" s="2">
        <f t="shared" si="216"/>
        <v>2017</v>
      </c>
      <c r="I1791" s="2">
        <f t="shared" si="217"/>
        <v>8</v>
      </c>
      <c r="J1791" s="2">
        <f t="shared" si="218"/>
        <v>7</v>
      </c>
      <c r="K1791" s="2">
        <f t="shared" si="219"/>
        <v>2</v>
      </c>
      <c r="L1791" s="2">
        <f t="shared" si="220"/>
        <v>9</v>
      </c>
      <c r="M1791" s="3">
        <f t="shared" si="221"/>
        <v>356.91000400000001</v>
      </c>
      <c r="N1791" s="1">
        <f t="shared" ca="1" si="222"/>
        <v>356.91000400000001</v>
      </c>
      <c r="O1791" s="5">
        <f t="shared" si="223"/>
        <v>-4.8751533453795792E-3</v>
      </c>
    </row>
    <row r="1792" spans="1:15" s="2" customFormat="1" x14ac:dyDescent="0.5">
      <c r="A1792" s="6">
        <v>42955</v>
      </c>
      <c r="B1792" s="1">
        <v>357.52999899999998</v>
      </c>
      <c r="C1792" s="1">
        <v>368.57998700000002</v>
      </c>
      <c r="D1792" s="1">
        <v>357.39999399999999</v>
      </c>
      <c r="E1792" s="1">
        <v>365.22000100000002</v>
      </c>
      <c r="F1792" s="1">
        <v>365.22000100000002</v>
      </c>
      <c r="G1792" s="2">
        <v>7449800</v>
      </c>
      <c r="H1792" s="2">
        <f t="shared" si="216"/>
        <v>2017</v>
      </c>
      <c r="I1792" s="2">
        <f t="shared" si="217"/>
        <v>8</v>
      </c>
      <c r="J1792" s="2">
        <f t="shared" si="218"/>
        <v>8</v>
      </c>
      <c r="K1792" s="2">
        <f t="shared" si="219"/>
        <v>3</v>
      </c>
      <c r="L1792" s="2">
        <f t="shared" si="220"/>
        <v>9</v>
      </c>
      <c r="M1792" s="3">
        <f t="shared" si="221"/>
        <v>355.17001299999998</v>
      </c>
      <c r="N1792" s="1">
        <f t="shared" ca="1" si="222"/>
        <v>355.17001299999998</v>
      </c>
      <c r="O1792" s="5">
        <f t="shared" si="223"/>
        <v>2.8296273987522769E-2</v>
      </c>
    </row>
    <row r="1793" spans="1:15" s="2" customFormat="1" x14ac:dyDescent="0.5">
      <c r="A1793" s="6">
        <v>42956</v>
      </c>
      <c r="B1793" s="1">
        <v>361</v>
      </c>
      <c r="C1793" s="1">
        <v>370</v>
      </c>
      <c r="D1793" s="1">
        <v>358.95001200000002</v>
      </c>
      <c r="E1793" s="1">
        <v>363.52999899999998</v>
      </c>
      <c r="F1793" s="1">
        <v>363.52999899999998</v>
      </c>
      <c r="G1793" s="2">
        <v>6892100</v>
      </c>
      <c r="H1793" s="2">
        <f t="shared" si="216"/>
        <v>2017</v>
      </c>
      <c r="I1793" s="2">
        <f t="shared" si="217"/>
        <v>8</v>
      </c>
      <c r="J1793" s="2">
        <f t="shared" si="218"/>
        <v>9</v>
      </c>
      <c r="K1793" s="2">
        <f t="shared" si="219"/>
        <v>4</v>
      </c>
      <c r="L1793" s="2">
        <f t="shared" si="220"/>
        <v>9</v>
      </c>
      <c r="M1793" s="3">
        <f t="shared" si="221"/>
        <v>365.22000100000002</v>
      </c>
      <c r="N1793" s="1">
        <f t="shared" ca="1" si="222"/>
        <v>365.22000100000002</v>
      </c>
      <c r="O1793" s="5">
        <f t="shared" si="223"/>
        <v>-4.6273533633773845E-3</v>
      </c>
    </row>
    <row r="1794" spans="1:15" s="2" customFormat="1" x14ac:dyDescent="0.5">
      <c r="A1794" s="6">
        <v>42957</v>
      </c>
      <c r="B1794" s="1">
        <v>361.60000600000001</v>
      </c>
      <c r="C1794" s="1">
        <v>366.64999399999999</v>
      </c>
      <c r="D1794" s="1">
        <v>354.66000400000001</v>
      </c>
      <c r="E1794" s="1">
        <v>355.39999399999999</v>
      </c>
      <c r="F1794" s="1">
        <v>355.39999399999999</v>
      </c>
      <c r="G1794" s="2">
        <v>7092900</v>
      </c>
      <c r="H1794" s="2">
        <f t="shared" ref="H1794:H1857" si="224">YEAR(A1794)</f>
        <v>2017</v>
      </c>
      <c r="I1794" s="2">
        <f t="shared" ref="I1794:I1857" si="225">MONTH(A1794)</f>
        <v>8</v>
      </c>
      <c r="J1794" s="2">
        <f t="shared" ref="J1794:J1857" si="226">DAY(A1794)</f>
        <v>10</v>
      </c>
      <c r="K1794" s="2">
        <f t="shared" ref="K1794:K1857" si="227">WEEKDAY(A1794)</f>
        <v>5</v>
      </c>
      <c r="L1794" s="2">
        <f t="shared" si="220"/>
        <v>9</v>
      </c>
      <c r="M1794" s="3">
        <f t="shared" si="221"/>
        <v>363.52999899999998</v>
      </c>
      <c r="N1794" s="1">
        <f t="shared" ca="1" si="222"/>
        <v>363.52999899999998</v>
      </c>
      <c r="O1794" s="5">
        <f t="shared" si="223"/>
        <v>-2.2364055297675711E-2</v>
      </c>
    </row>
    <row r="1795" spans="1:15" s="2" customFormat="1" x14ac:dyDescent="0.5">
      <c r="A1795" s="6">
        <v>42958</v>
      </c>
      <c r="B1795" s="1">
        <v>356.97000100000002</v>
      </c>
      <c r="C1795" s="1">
        <v>361.26001000000002</v>
      </c>
      <c r="D1795" s="1">
        <v>353.61999500000002</v>
      </c>
      <c r="E1795" s="1">
        <v>357.86999500000002</v>
      </c>
      <c r="F1795" s="1">
        <v>357.86999500000002</v>
      </c>
      <c r="G1795" s="2">
        <v>4365800</v>
      </c>
      <c r="H1795" s="2">
        <f t="shared" si="224"/>
        <v>2017</v>
      </c>
      <c r="I1795" s="2">
        <f t="shared" si="225"/>
        <v>8</v>
      </c>
      <c r="J1795" s="2">
        <f t="shared" si="226"/>
        <v>11</v>
      </c>
      <c r="K1795" s="2">
        <f t="shared" si="227"/>
        <v>6</v>
      </c>
      <c r="L1795" s="2">
        <f t="shared" ref="L1795:L1858" si="228">I1795+1</f>
        <v>9</v>
      </c>
      <c r="M1795" s="3">
        <f t="shared" ref="M1795:M1858" si="229">F1794</f>
        <v>355.39999399999999</v>
      </c>
      <c r="N1795" s="1">
        <f t="shared" ref="N1795:N1858" ca="1" si="230">OFFSET(F1795, -1, 0)</f>
        <v>355.39999399999999</v>
      </c>
      <c r="O1795" s="5">
        <f t="shared" ref="O1795:O1858" si="231">(F1795/M1795)-1</f>
        <v>6.949918519131959E-3</v>
      </c>
    </row>
    <row r="1796" spans="1:15" s="2" customFormat="1" x14ac:dyDescent="0.5">
      <c r="A1796" s="6">
        <v>42961</v>
      </c>
      <c r="B1796" s="1">
        <v>364.63000499999998</v>
      </c>
      <c r="C1796" s="1">
        <v>367.66000400000001</v>
      </c>
      <c r="D1796" s="1">
        <v>362.60000600000001</v>
      </c>
      <c r="E1796" s="1">
        <v>363.79998799999998</v>
      </c>
      <c r="F1796" s="1">
        <v>363.79998799999998</v>
      </c>
      <c r="G1796" s="2">
        <v>4502700</v>
      </c>
      <c r="H1796" s="2">
        <f t="shared" si="224"/>
        <v>2017</v>
      </c>
      <c r="I1796" s="2">
        <f t="shared" si="225"/>
        <v>8</v>
      </c>
      <c r="J1796" s="2">
        <f t="shared" si="226"/>
        <v>14</v>
      </c>
      <c r="K1796" s="2">
        <f t="shared" si="227"/>
        <v>2</v>
      </c>
      <c r="L1796" s="2">
        <f t="shared" si="228"/>
        <v>9</v>
      </c>
      <c r="M1796" s="3">
        <f t="shared" si="229"/>
        <v>357.86999500000002</v>
      </c>
      <c r="N1796" s="1">
        <f t="shared" ca="1" si="230"/>
        <v>357.86999500000002</v>
      </c>
      <c r="O1796" s="5">
        <f t="shared" si="231"/>
        <v>1.6570243615981139E-2</v>
      </c>
    </row>
    <row r="1797" spans="1:15" s="2" customFormat="1" x14ac:dyDescent="0.5">
      <c r="A1797" s="6">
        <v>42962</v>
      </c>
      <c r="B1797" s="1">
        <v>365.20001200000002</v>
      </c>
      <c r="C1797" s="1">
        <v>365.48998999999998</v>
      </c>
      <c r="D1797" s="1">
        <v>359.36999500000002</v>
      </c>
      <c r="E1797" s="1">
        <v>362.32998700000002</v>
      </c>
      <c r="F1797" s="1">
        <v>362.32998700000002</v>
      </c>
      <c r="G1797" s="2">
        <v>3085100</v>
      </c>
      <c r="H1797" s="2">
        <f t="shared" si="224"/>
        <v>2017</v>
      </c>
      <c r="I1797" s="2">
        <f t="shared" si="225"/>
        <v>8</v>
      </c>
      <c r="J1797" s="2">
        <f t="shared" si="226"/>
        <v>15</v>
      </c>
      <c r="K1797" s="2">
        <f t="shared" si="227"/>
        <v>3</v>
      </c>
      <c r="L1797" s="2">
        <f t="shared" si="228"/>
        <v>9</v>
      </c>
      <c r="M1797" s="3">
        <f t="shared" si="229"/>
        <v>363.79998799999998</v>
      </c>
      <c r="N1797" s="1">
        <f t="shared" ca="1" si="230"/>
        <v>363.79998799999998</v>
      </c>
      <c r="O1797" s="5">
        <f t="shared" si="231"/>
        <v>-4.0406845752836151E-3</v>
      </c>
    </row>
    <row r="1798" spans="1:15" s="2" customFormat="1" x14ac:dyDescent="0.5">
      <c r="A1798" s="6">
        <v>42963</v>
      </c>
      <c r="B1798" s="1">
        <v>363</v>
      </c>
      <c r="C1798" s="1">
        <v>366.5</v>
      </c>
      <c r="D1798" s="1">
        <v>362.51998900000001</v>
      </c>
      <c r="E1798" s="1">
        <v>362.91000400000001</v>
      </c>
      <c r="F1798" s="1">
        <v>362.91000400000001</v>
      </c>
      <c r="G1798" s="2">
        <v>3413800</v>
      </c>
      <c r="H1798" s="2">
        <f t="shared" si="224"/>
        <v>2017</v>
      </c>
      <c r="I1798" s="2">
        <f t="shared" si="225"/>
        <v>8</v>
      </c>
      <c r="J1798" s="2">
        <f t="shared" si="226"/>
        <v>16</v>
      </c>
      <c r="K1798" s="2">
        <f t="shared" si="227"/>
        <v>4</v>
      </c>
      <c r="L1798" s="2">
        <f t="shared" si="228"/>
        <v>9</v>
      </c>
      <c r="M1798" s="3">
        <f t="shared" si="229"/>
        <v>362.32998700000002</v>
      </c>
      <c r="N1798" s="1">
        <f t="shared" ca="1" si="230"/>
        <v>362.32998700000002</v>
      </c>
      <c r="O1798" s="5">
        <f t="shared" si="231"/>
        <v>1.6007976728682483E-3</v>
      </c>
    </row>
    <row r="1799" spans="1:15" s="2" customFormat="1" x14ac:dyDescent="0.5">
      <c r="A1799" s="6">
        <v>42964</v>
      </c>
      <c r="B1799" s="1">
        <v>361.209991</v>
      </c>
      <c r="C1799" s="1">
        <v>363.29998799999998</v>
      </c>
      <c r="D1799" s="1">
        <v>351.58999599999999</v>
      </c>
      <c r="E1799" s="1">
        <v>351.92001299999998</v>
      </c>
      <c r="F1799" s="1">
        <v>351.92001299999998</v>
      </c>
      <c r="G1799" s="2">
        <v>5027700</v>
      </c>
      <c r="H1799" s="2">
        <f t="shared" si="224"/>
        <v>2017</v>
      </c>
      <c r="I1799" s="2">
        <f t="shared" si="225"/>
        <v>8</v>
      </c>
      <c r="J1799" s="2">
        <f t="shared" si="226"/>
        <v>17</v>
      </c>
      <c r="K1799" s="2">
        <f t="shared" si="227"/>
        <v>5</v>
      </c>
      <c r="L1799" s="2">
        <f t="shared" si="228"/>
        <v>9</v>
      </c>
      <c r="M1799" s="3">
        <f t="shared" si="229"/>
        <v>362.91000400000001</v>
      </c>
      <c r="N1799" s="1">
        <f t="shared" ca="1" si="230"/>
        <v>362.91000400000001</v>
      </c>
      <c r="O1799" s="5">
        <f t="shared" si="231"/>
        <v>-3.0282965139754148E-2</v>
      </c>
    </row>
    <row r="1800" spans="1:15" s="2" customFormat="1" x14ac:dyDescent="0.5">
      <c r="A1800" s="6">
        <v>42965</v>
      </c>
      <c r="B1800" s="1">
        <v>352.91000400000001</v>
      </c>
      <c r="C1800" s="1">
        <v>354</v>
      </c>
      <c r="D1800" s="1">
        <v>345.79998799999998</v>
      </c>
      <c r="E1800" s="1">
        <v>347.459991</v>
      </c>
      <c r="F1800" s="1">
        <v>347.459991</v>
      </c>
      <c r="G1800" s="2">
        <v>5408200</v>
      </c>
      <c r="H1800" s="2">
        <f t="shared" si="224"/>
        <v>2017</v>
      </c>
      <c r="I1800" s="2">
        <f t="shared" si="225"/>
        <v>8</v>
      </c>
      <c r="J1800" s="2">
        <f t="shared" si="226"/>
        <v>18</v>
      </c>
      <c r="K1800" s="2">
        <f t="shared" si="227"/>
        <v>6</v>
      </c>
      <c r="L1800" s="2">
        <f t="shared" si="228"/>
        <v>9</v>
      </c>
      <c r="M1800" s="3">
        <f t="shared" si="229"/>
        <v>351.92001299999998</v>
      </c>
      <c r="N1800" s="1">
        <f t="shared" ca="1" si="230"/>
        <v>351.92001299999998</v>
      </c>
      <c r="O1800" s="5">
        <f t="shared" si="231"/>
        <v>-1.2673396894879008E-2</v>
      </c>
    </row>
    <row r="1801" spans="1:15" s="2" customFormat="1" x14ac:dyDescent="0.5">
      <c r="A1801" s="6">
        <v>42968</v>
      </c>
      <c r="B1801" s="1">
        <v>345.82000699999998</v>
      </c>
      <c r="C1801" s="1">
        <v>345.82000699999998</v>
      </c>
      <c r="D1801" s="1">
        <v>331.85000600000001</v>
      </c>
      <c r="E1801" s="1">
        <v>337.85998499999999</v>
      </c>
      <c r="F1801" s="1">
        <v>337.85998499999999</v>
      </c>
      <c r="G1801" s="2">
        <v>6495400</v>
      </c>
      <c r="H1801" s="2">
        <f t="shared" si="224"/>
        <v>2017</v>
      </c>
      <c r="I1801" s="2">
        <f t="shared" si="225"/>
        <v>8</v>
      </c>
      <c r="J1801" s="2">
        <f t="shared" si="226"/>
        <v>21</v>
      </c>
      <c r="K1801" s="2">
        <f t="shared" si="227"/>
        <v>2</v>
      </c>
      <c r="L1801" s="2">
        <f t="shared" si="228"/>
        <v>9</v>
      </c>
      <c r="M1801" s="3">
        <f t="shared" si="229"/>
        <v>347.459991</v>
      </c>
      <c r="N1801" s="1">
        <f t="shared" ca="1" si="230"/>
        <v>347.459991</v>
      </c>
      <c r="O1801" s="5">
        <f t="shared" si="231"/>
        <v>-2.7629097590116558E-2</v>
      </c>
    </row>
    <row r="1802" spans="1:15" s="2" customFormat="1" x14ac:dyDescent="0.5">
      <c r="A1802" s="6">
        <v>42969</v>
      </c>
      <c r="B1802" s="1">
        <v>341.13000499999998</v>
      </c>
      <c r="C1802" s="1">
        <v>342.23998999999998</v>
      </c>
      <c r="D1802" s="1">
        <v>337.36999500000002</v>
      </c>
      <c r="E1802" s="1">
        <v>341.35000600000001</v>
      </c>
      <c r="F1802" s="1">
        <v>341.35000600000001</v>
      </c>
      <c r="G1802" s="2">
        <v>4322000</v>
      </c>
      <c r="H1802" s="2">
        <f t="shared" si="224"/>
        <v>2017</v>
      </c>
      <c r="I1802" s="2">
        <f t="shared" si="225"/>
        <v>8</v>
      </c>
      <c r="J1802" s="2">
        <f t="shared" si="226"/>
        <v>22</v>
      </c>
      <c r="K1802" s="2">
        <f t="shared" si="227"/>
        <v>3</v>
      </c>
      <c r="L1802" s="2">
        <f t="shared" si="228"/>
        <v>9</v>
      </c>
      <c r="M1802" s="3">
        <f t="shared" si="229"/>
        <v>337.85998499999999</v>
      </c>
      <c r="N1802" s="1">
        <f t="shared" ca="1" si="230"/>
        <v>337.85998499999999</v>
      </c>
      <c r="O1802" s="5">
        <f t="shared" si="231"/>
        <v>1.0329784984747459E-2</v>
      </c>
    </row>
    <row r="1803" spans="1:15" s="2" customFormat="1" x14ac:dyDescent="0.5">
      <c r="A1803" s="6">
        <v>42970</v>
      </c>
      <c r="B1803" s="1">
        <v>338.98998999999998</v>
      </c>
      <c r="C1803" s="1">
        <v>353.48998999999998</v>
      </c>
      <c r="D1803" s="1">
        <v>338.29998799999998</v>
      </c>
      <c r="E1803" s="1">
        <v>352.76998900000001</v>
      </c>
      <c r="F1803" s="1">
        <v>352.76998900000001</v>
      </c>
      <c r="G1803" s="2">
        <v>4954500</v>
      </c>
      <c r="H1803" s="2">
        <f t="shared" si="224"/>
        <v>2017</v>
      </c>
      <c r="I1803" s="2">
        <f t="shared" si="225"/>
        <v>8</v>
      </c>
      <c r="J1803" s="2">
        <f t="shared" si="226"/>
        <v>23</v>
      </c>
      <c r="K1803" s="2">
        <f t="shared" si="227"/>
        <v>4</v>
      </c>
      <c r="L1803" s="2">
        <f t="shared" si="228"/>
        <v>9</v>
      </c>
      <c r="M1803" s="3">
        <f t="shared" si="229"/>
        <v>341.35000600000001</v>
      </c>
      <c r="N1803" s="1">
        <f t="shared" ca="1" si="230"/>
        <v>341.35000600000001</v>
      </c>
      <c r="O1803" s="5">
        <f t="shared" si="231"/>
        <v>3.345534729535049E-2</v>
      </c>
    </row>
    <row r="1804" spans="1:15" s="2" customFormat="1" x14ac:dyDescent="0.5">
      <c r="A1804" s="6">
        <v>42971</v>
      </c>
      <c r="B1804" s="1">
        <v>352.51998900000001</v>
      </c>
      <c r="C1804" s="1">
        <v>356.66000400000001</v>
      </c>
      <c r="D1804" s="1">
        <v>349.73998999999998</v>
      </c>
      <c r="E1804" s="1">
        <v>352.92999300000002</v>
      </c>
      <c r="F1804" s="1">
        <v>352.92999300000002</v>
      </c>
      <c r="G1804" s="2">
        <v>4584700</v>
      </c>
      <c r="H1804" s="2">
        <f t="shared" si="224"/>
        <v>2017</v>
      </c>
      <c r="I1804" s="2">
        <f t="shared" si="225"/>
        <v>8</v>
      </c>
      <c r="J1804" s="2">
        <f t="shared" si="226"/>
        <v>24</v>
      </c>
      <c r="K1804" s="2">
        <f t="shared" si="227"/>
        <v>5</v>
      </c>
      <c r="L1804" s="2">
        <f t="shared" si="228"/>
        <v>9</v>
      </c>
      <c r="M1804" s="3">
        <f t="shared" si="229"/>
        <v>352.76998900000001</v>
      </c>
      <c r="N1804" s="1">
        <f t="shared" ca="1" si="230"/>
        <v>352.76998900000001</v>
      </c>
      <c r="O1804" s="5">
        <f t="shared" si="231"/>
        <v>4.5356465966284176E-4</v>
      </c>
    </row>
    <row r="1805" spans="1:15" s="2" customFormat="1" x14ac:dyDescent="0.5">
      <c r="A1805" s="6">
        <v>42972</v>
      </c>
      <c r="B1805" s="1">
        <v>354.23998999999998</v>
      </c>
      <c r="C1805" s="1">
        <v>355.69000199999999</v>
      </c>
      <c r="D1805" s="1">
        <v>347.29998799999998</v>
      </c>
      <c r="E1805" s="1">
        <v>348.04998799999998</v>
      </c>
      <c r="F1805" s="1">
        <v>348.04998799999998</v>
      </c>
      <c r="G1805" s="2">
        <v>3484000</v>
      </c>
      <c r="H1805" s="2">
        <f t="shared" si="224"/>
        <v>2017</v>
      </c>
      <c r="I1805" s="2">
        <f t="shared" si="225"/>
        <v>8</v>
      </c>
      <c r="J1805" s="2">
        <f t="shared" si="226"/>
        <v>25</v>
      </c>
      <c r="K1805" s="2">
        <f t="shared" si="227"/>
        <v>6</v>
      </c>
      <c r="L1805" s="2">
        <f t="shared" si="228"/>
        <v>9</v>
      </c>
      <c r="M1805" s="3">
        <f t="shared" si="229"/>
        <v>352.92999300000002</v>
      </c>
      <c r="N1805" s="1">
        <f t="shared" ca="1" si="230"/>
        <v>352.92999300000002</v>
      </c>
      <c r="O1805" s="5">
        <f t="shared" si="231"/>
        <v>-1.3827118966338592E-2</v>
      </c>
    </row>
    <row r="1806" spans="1:15" s="2" customFormat="1" x14ac:dyDescent="0.5">
      <c r="A1806" s="6">
        <v>42975</v>
      </c>
      <c r="B1806" s="1">
        <v>347.27999899999998</v>
      </c>
      <c r="C1806" s="1">
        <v>347.35000600000001</v>
      </c>
      <c r="D1806" s="1">
        <v>339.72000100000002</v>
      </c>
      <c r="E1806" s="1">
        <v>345.66000400000001</v>
      </c>
      <c r="F1806" s="1">
        <v>345.66000400000001</v>
      </c>
      <c r="G1806" s="2">
        <v>3764000</v>
      </c>
      <c r="H1806" s="2">
        <f t="shared" si="224"/>
        <v>2017</v>
      </c>
      <c r="I1806" s="2">
        <f t="shared" si="225"/>
        <v>8</v>
      </c>
      <c r="J1806" s="2">
        <f t="shared" si="226"/>
        <v>28</v>
      </c>
      <c r="K1806" s="2">
        <f t="shared" si="227"/>
        <v>2</v>
      </c>
      <c r="L1806" s="2">
        <f t="shared" si="228"/>
        <v>9</v>
      </c>
      <c r="M1806" s="3">
        <f t="shared" si="229"/>
        <v>348.04998799999998</v>
      </c>
      <c r="N1806" s="1">
        <f t="shared" ca="1" si="230"/>
        <v>348.04998799999998</v>
      </c>
      <c r="O1806" s="5">
        <f t="shared" si="231"/>
        <v>-6.8667837448681546E-3</v>
      </c>
    </row>
    <row r="1807" spans="1:15" s="2" customFormat="1" x14ac:dyDescent="0.5">
      <c r="A1807" s="6">
        <v>42976</v>
      </c>
      <c r="B1807" s="1">
        <v>339.48001099999999</v>
      </c>
      <c r="C1807" s="1">
        <v>349.04998799999998</v>
      </c>
      <c r="D1807" s="1">
        <v>338.75</v>
      </c>
      <c r="E1807" s="1">
        <v>347.35998499999999</v>
      </c>
      <c r="F1807" s="1">
        <v>347.35998499999999</v>
      </c>
      <c r="G1807" s="2">
        <v>4073700</v>
      </c>
      <c r="H1807" s="2">
        <f t="shared" si="224"/>
        <v>2017</v>
      </c>
      <c r="I1807" s="2">
        <f t="shared" si="225"/>
        <v>8</v>
      </c>
      <c r="J1807" s="2">
        <f t="shared" si="226"/>
        <v>29</v>
      </c>
      <c r="K1807" s="2">
        <f t="shared" si="227"/>
        <v>3</v>
      </c>
      <c r="L1807" s="2">
        <f t="shared" si="228"/>
        <v>9</v>
      </c>
      <c r="M1807" s="3">
        <f t="shared" si="229"/>
        <v>345.66000400000001</v>
      </c>
      <c r="N1807" s="1">
        <f t="shared" ca="1" si="230"/>
        <v>345.66000400000001</v>
      </c>
      <c r="O1807" s="5">
        <f t="shared" si="231"/>
        <v>4.9180726156561327E-3</v>
      </c>
    </row>
    <row r="1808" spans="1:15" s="2" customFormat="1" x14ac:dyDescent="0.5">
      <c r="A1808" s="6">
        <v>42977</v>
      </c>
      <c r="B1808" s="1">
        <v>349.67001299999998</v>
      </c>
      <c r="C1808" s="1">
        <v>353.47000100000002</v>
      </c>
      <c r="D1808" s="1">
        <v>347</v>
      </c>
      <c r="E1808" s="1">
        <v>353.17999300000002</v>
      </c>
      <c r="F1808" s="1">
        <v>353.17999300000002</v>
      </c>
      <c r="G1808" s="2">
        <v>3412900</v>
      </c>
      <c r="H1808" s="2">
        <f t="shared" si="224"/>
        <v>2017</v>
      </c>
      <c r="I1808" s="2">
        <f t="shared" si="225"/>
        <v>8</v>
      </c>
      <c r="J1808" s="2">
        <f t="shared" si="226"/>
        <v>30</v>
      </c>
      <c r="K1808" s="2">
        <f t="shared" si="227"/>
        <v>4</v>
      </c>
      <c r="L1808" s="2">
        <f t="shared" si="228"/>
        <v>9</v>
      </c>
      <c r="M1808" s="3">
        <f t="shared" si="229"/>
        <v>347.35998499999999</v>
      </c>
      <c r="N1808" s="1">
        <f t="shared" ca="1" si="230"/>
        <v>347.35998499999999</v>
      </c>
      <c r="O1808" s="5">
        <f t="shared" si="231"/>
        <v>1.6754975389580373E-2</v>
      </c>
    </row>
    <row r="1809" spans="1:15" s="2" customFormat="1" x14ac:dyDescent="0.5">
      <c r="A1809" s="6">
        <v>42978</v>
      </c>
      <c r="B1809" s="1">
        <v>353.54998799999998</v>
      </c>
      <c r="C1809" s="1">
        <v>358.44000199999999</v>
      </c>
      <c r="D1809" s="1">
        <v>352.82000699999998</v>
      </c>
      <c r="E1809" s="1">
        <v>355.89999399999999</v>
      </c>
      <c r="F1809" s="1">
        <v>355.89999399999999</v>
      </c>
      <c r="G1809" s="2">
        <v>4072800</v>
      </c>
      <c r="H1809" s="2">
        <f t="shared" si="224"/>
        <v>2017</v>
      </c>
      <c r="I1809" s="2">
        <f t="shared" si="225"/>
        <v>8</v>
      </c>
      <c r="J1809" s="2">
        <f t="shared" si="226"/>
        <v>31</v>
      </c>
      <c r="K1809" s="2">
        <f t="shared" si="227"/>
        <v>5</v>
      </c>
      <c r="L1809" s="2">
        <f t="shared" si="228"/>
        <v>9</v>
      </c>
      <c r="M1809" s="3">
        <f t="shared" si="229"/>
        <v>353.17999300000002</v>
      </c>
      <c r="N1809" s="1">
        <f t="shared" ca="1" si="230"/>
        <v>353.17999300000002</v>
      </c>
      <c r="O1809" s="5">
        <f t="shared" si="231"/>
        <v>7.7014583326071584E-3</v>
      </c>
    </row>
    <row r="1810" spans="1:15" s="2" customFormat="1" x14ac:dyDescent="0.5">
      <c r="A1810" s="6">
        <v>42979</v>
      </c>
      <c r="B1810" s="1">
        <v>356.11999500000002</v>
      </c>
      <c r="C1810" s="1">
        <v>357.58999599999999</v>
      </c>
      <c r="D1810" s="1">
        <v>353.69000199999999</v>
      </c>
      <c r="E1810" s="1">
        <v>355.39999399999999</v>
      </c>
      <c r="F1810" s="1">
        <v>355.39999399999999</v>
      </c>
      <c r="G1810" s="2">
        <v>3049500</v>
      </c>
      <c r="H1810" s="2">
        <f t="shared" si="224"/>
        <v>2017</v>
      </c>
      <c r="I1810" s="2">
        <f t="shared" si="225"/>
        <v>9</v>
      </c>
      <c r="J1810" s="2">
        <f t="shared" si="226"/>
        <v>1</v>
      </c>
      <c r="K1810" s="2">
        <f t="shared" si="227"/>
        <v>6</v>
      </c>
      <c r="L1810" s="2">
        <f t="shared" si="228"/>
        <v>10</v>
      </c>
      <c r="M1810" s="3">
        <f t="shared" si="229"/>
        <v>355.89999399999999</v>
      </c>
      <c r="N1810" s="1">
        <f t="shared" ca="1" si="230"/>
        <v>355.89999399999999</v>
      </c>
      <c r="O1810" s="5">
        <f t="shared" si="231"/>
        <v>-1.4048890374525058E-3</v>
      </c>
    </row>
    <row r="1811" spans="1:15" s="2" customFormat="1" x14ac:dyDescent="0.5">
      <c r="A1811" s="6">
        <v>42983</v>
      </c>
      <c r="B1811" s="1">
        <v>353.79998799999998</v>
      </c>
      <c r="C1811" s="1">
        <v>355.48998999999998</v>
      </c>
      <c r="D1811" s="1">
        <v>345.89001500000001</v>
      </c>
      <c r="E1811" s="1">
        <v>349.58999599999999</v>
      </c>
      <c r="F1811" s="1">
        <v>349.58999599999999</v>
      </c>
      <c r="G1811" s="2">
        <v>3835100</v>
      </c>
      <c r="H1811" s="2">
        <f t="shared" si="224"/>
        <v>2017</v>
      </c>
      <c r="I1811" s="2">
        <f t="shared" si="225"/>
        <v>9</v>
      </c>
      <c r="J1811" s="2">
        <f t="shared" si="226"/>
        <v>5</v>
      </c>
      <c r="K1811" s="2">
        <f t="shared" si="227"/>
        <v>3</v>
      </c>
      <c r="L1811" s="2">
        <f t="shared" si="228"/>
        <v>10</v>
      </c>
      <c r="M1811" s="3">
        <f t="shared" si="229"/>
        <v>355.39999399999999</v>
      </c>
      <c r="N1811" s="1">
        <f t="shared" ca="1" si="230"/>
        <v>355.39999399999999</v>
      </c>
      <c r="O1811" s="5">
        <f t="shared" si="231"/>
        <v>-1.6347771801031641E-2</v>
      </c>
    </row>
    <row r="1812" spans="1:15" s="2" customFormat="1" x14ac:dyDescent="0.5">
      <c r="A1812" s="6">
        <v>42984</v>
      </c>
      <c r="B1812" s="1">
        <v>349.5</v>
      </c>
      <c r="C1812" s="1">
        <v>350.98001099999999</v>
      </c>
      <c r="D1812" s="1">
        <v>341.55999800000001</v>
      </c>
      <c r="E1812" s="1">
        <v>344.52999899999998</v>
      </c>
      <c r="F1812" s="1">
        <v>344.52999899999998</v>
      </c>
      <c r="G1812" s="2">
        <v>4091400</v>
      </c>
      <c r="H1812" s="2">
        <f t="shared" si="224"/>
        <v>2017</v>
      </c>
      <c r="I1812" s="2">
        <f t="shared" si="225"/>
        <v>9</v>
      </c>
      <c r="J1812" s="2">
        <f t="shared" si="226"/>
        <v>6</v>
      </c>
      <c r="K1812" s="2">
        <f t="shared" si="227"/>
        <v>4</v>
      </c>
      <c r="L1812" s="2">
        <f t="shared" si="228"/>
        <v>10</v>
      </c>
      <c r="M1812" s="3">
        <f t="shared" si="229"/>
        <v>349.58999599999999</v>
      </c>
      <c r="N1812" s="1">
        <f t="shared" ca="1" si="230"/>
        <v>349.58999599999999</v>
      </c>
      <c r="O1812" s="5">
        <f t="shared" si="231"/>
        <v>-1.4474089813485413E-2</v>
      </c>
    </row>
    <row r="1813" spans="1:15" s="2" customFormat="1" x14ac:dyDescent="0.5">
      <c r="A1813" s="6">
        <v>42985</v>
      </c>
      <c r="B1813" s="1">
        <v>345.98001099999999</v>
      </c>
      <c r="C1813" s="1">
        <v>352.48001099999999</v>
      </c>
      <c r="D1813" s="1">
        <v>343.45001200000002</v>
      </c>
      <c r="E1813" s="1">
        <v>350.60998499999999</v>
      </c>
      <c r="F1813" s="1">
        <v>350.60998499999999</v>
      </c>
      <c r="G1813" s="2">
        <v>4239200</v>
      </c>
      <c r="H1813" s="2">
        <f t="shared" si="224"/>
        <v>2017</v>
      </c>
      <c r="I1813" s="2">
        <f t="shared" si="225"/>
        <v>9</v>
      </c>
      <c r="J1813" s="2">
        <f t="shared" si="226"/>
        <v>7</v>
      </c>
      <c r="K1813" s="2">
        <f t="shared" si="227"/>
        <v>5</v>
      </c>
      <c r="L1813" s="2">
        <f t="shared" si="228"/>
        <v>10</v>
      </c>
      <c r="M1813" s="3">
        <f t="shared" si="229"/>
        <v>344.52999899999998</v>
      </c>
      <c r="N1813" s="1">
        <f t="shared" ca="1" si="230"/>
        <v>344.52999899999998</v>
      </c>
      <c r="O1813" s="5">
        <f t="shared" si="231"/>
        <v>1.7647188975262518E-2</v>
      </c>
    </row>
    <row r="1814" spans="1:15" s="2" customFormat="1" x14ac:dyDescent="0.5">
      <c r="A1814" s="6">
        <v>42986</v>
      </c>
      <c r="B1814" s="1">
        <v>348.98998999999998</v>
      </c>
      <c r="C1814" s="1">
        <v>349.77999899999998</v>
      </c>
      <c r="D1814" s="1">
        <v>342.29998799999998</v>
      </c>
      <c r="E1814" s="1">
        <v>343.39999399999999</v>
      </c>
      <c r="F1814" s="1">
        <v>343.39999399999999</v>
      </c>
      <c r="G1814" s="2">
        <v>3263500</v>
      </c>
      <c r="H1814" s="2">
        <f t="shared" si="224"/>
        <v>2017</v>
      </c>
      <c r="I1814" s="2">
        <f t="shared" si="225"/>
        <v>9</v>
      </c>
      <c r="J1814" s="2">
        <f t="shared" si="226"/>
        <v>8</v>
      </c>
      <c r="K1814" s="2">
        <f t="shared" si="227"/>
        <v>6</v>
      </c>
      <c r="L1814" s="2">
        <f t="shared" si="228"/>
        <v>10</v>
      </c>
      <c r="M1814" s="3">
        <f t="shared" si="229"/>
        <v>350.60998499999999</v>
      </c>
      <c r="N1814" s="1">
        <f t="shared" ca="1" si="230"/>
        <v>350.60998499999999</v>
      </c>
      <c r="O1814" s="5">
        <f t="shared" si="231"/>
        <v>-2.0564134817780522E-2</v>
      </c>
    </row>
    <row r="1815" spans="1:15" s="2" customFormat="1" x14ac:dyDescent="0.5">
      <c r="A1815" s="6">
        <v>42989</v>
      </c>
      <c r="B1815" s="1">
        <v>351.35000600000001</v>
      </c>
      <c r="C1815" s="1">
        <v>363.709991</v>
      </c>
      <c r="D1815" s="1">
        <v>350</v>
      </c>
      <c r="E1815" s="1">
        <v>363.69000199999999</v>
      </c>
      <c r="F1815" s="1">
        <v>363.69000199999999</v>
      </c>
      <c r="G1815" s="2">
        <v>7667100</v>
      </c>
      <c r="H1815" s="2">
        <f t="shared" si="224"/>
        <v>2017</v>
      </c>
      <c r="I1815" s="2">
        <f t="shared" si="225"/>
        <v>9</v>
      </c>
      <c r="J1815" s="2">
        <f t="shared" si="226"/>
        <v>11</v>
      </c>
      <c r="K1815" s="2">
        <f t="shared" si="227"/>
        <v>2</v>
      </c>
      <c r="L1815" s="2">
        <f t="shared" si="228"/>
        <v>10</v>
      </c>
      <c r="M1815" s="3">
        <f t="shared" si="229"/>
        <v>343.39999399999999</v>
      </c>
      <c r="N1815" s="1">
        <f t="shared" ca="1" si="230"/>
        <v>343.39999399999999</v>
      </c>
      <c r="O1815" s="5">
        <f t="shared" si="231"/>
        <v>5.908563877260864E-2</v>
      </c>
    </row>
    <row r="1816" spans="1:15" s="2" customFormat="1" x14ac:dyDescent="0.5">
      <c r="A1816" s="6">
        <v>42990</v>
      </c>
      <c r="B1816" s="1">
        <v>364.48998999999998</v>
      </c>
      <c r="C1816" s="1">
        <v>368.76001000000002</v>
      </c>
      <c r="D1816" s="1">
        <v>360.39999399999999</v>
      </c>
      <c r="E1816" s="1">
        <v>362.75</v>
      </c>
      <c r="F1816" s="1">
        <v>362.75</v>
      </c>
      <c r="G1816" s="2">
        <v>5972900</v>
      </c>
      <c r="H1816" s="2">
        <f t="shared" si="224"/>
        <v>2017</v>
      </c>
      <c r="I1816" s="2">
        <f t="shared" si="225"/>
        <v>9</v>
      </c>
      <c r="J1816" s="2">
        <f t="shared" si="226"/>
        <v>12</v>
      </c>
      <c r="K1816" s="2">
        <f t="shared" si="227"/>
        <v>3</v>
      </c>
      <c r="L1816" s="2">
        <f t="shared" si="228"/>
        <v>10</v>
      </c>
      <c r="M1816" s="3">
        <f t="shared" si="229"/>
        <v>363.69000199999999</v>
      </c>
      <c r="N1816" s="1">
        <f t="shared" ca="1" si="230"/>
        <v>363.69000199999999</v>
      </c>
      <c r="O1816" s="5">
        <f t="shared" si="231"/>
        <v>-2.5846242537070907E-3</v>
      </c>
    </row>
    <row r="1817" spans="1:15" s="2" customFormat="1" x14ac:dyDescent="0.5">
      <c r="A1817" s="6">
        <v>42991</v>
      </c>
      <c r="B1817" s="1">
        <v>363.82000699999998</v>
      </c>
      <c r="C1817" s="1">
        <v>368.07000699999998</v>
      </c>
      <c r="D1817" s="1">
        <v>359.58999599999999</v>
      </c>
      <c r="E1817" s="1">
        <v>366.23001099999999</v>
      </c>
      <c r="F1817" s="1">
        <v>366.23001099999999</v>
      </c>
      <c r="G1817" s="2">
        <v>4185200</v>
      </c>
      <c r="H1817" s="2">
        <f t="shared" si="224"/>
        <v>2017</v>
      </c>
      <c r="I1817" s="2">
        <f t="shared" si="225"/>
        <v>9</v>
      </c>
      <c r="J1817" s="2">
        <f t="shared" si="226"/>
        <v>13</v>
      </c>
      <c r="K1817" s="2">
        <f t="shared" si="227"/>
        <v>4</v>
      </c>
      <c r="L1817" s="2">
        <f t="shared" si="228"/>
        <v>10</v>
      </c>
      <c r="M1817" s="3">
        <f t="shared" si="229"/>
        <v>362.75</v>
      </c>
      <c r="N1817" s="1">
        <f t="shared" ca="1" si="230"/>
        <v>362.75</v>
      </c>
      <c r="O1817" s="5">
        <f t="shared" si="231"/>
        <v>9.5934141971054654E-3</v>
      </c>
    </row>
    <row r="1818" spans="1:15" s="2" customFormat="1" x14ac:dyDescent="0.5">
      <c r="A1818" s="6">
        <v>42992</v>
      </c>
      <c r="B1818" s="1">
        <v>364.32998700000002</v>
      </c>
      <c r="C1818" s="1">
        <v>377.959991</v>
      </c>
      <c r="D1818" s="1">
        <v>362.63000499999998</v>
      </c>
      <c r="E1818" s="1">
        <v>377.64001500000001</v>
      </c>
      <c r="F1818" s="1">
        <v>377.64001500000001</v>
      </c>
      <c r="G1818" s="2">
        <v>7202500</v>
      </c>
      <c r="H1818" s="2">
        <f t="shared" si="224"/>
        <v>2017</v>
      </c>
      <c r="I1818" s="2">
        <f t="shared" si="225"/>
        <v>9</v>
      </c>
      <c r="J1818" s="2">
        <f t="shared" si="226"/>
        <v>14</v>
      </c>
      <c r="K1818" s="2">
        <f t="shared" si="227"/>
        <v>5</v>
      </c>
      <c r="L1818" s="2">
        <f t="shared" si="228"/>
        <v>10</v>
      </c>
      <c r="M1818" s="3">
        <f t="shared" si="229"/>
        <v>366.23001099999999</v>
      </c>
      <c r="N1818" s="1">
        <f t="shared" ca="1" si="230"/>
        <v>366.23001099999999</v>
      </c>
      <c r="O1818" s="5">
        <f t="shared" si="231"/>
        <v>3.1155294916560106E-2</v>
      </c>
    </row>
    <row r="1819" spans="1:15" s="2" customFormat="1" x14ac:dyDescent="0.5">
      <c r="A1819" s="6">
        <v>42993</v>
      </c>
      <c r="B1819" s="1">
        <v>374.51001000000002</v>
      </c>
      <c r="C1819" s="1">
        <v>380</v>
      </c>
      <c r="D1819" s="1">
        <v>372.70001200000002</v>
      </c>
      <c r="E1819" s="1">
        <v>379.80999800000001</v>
      </c>
      <c r="F1819" s="1">
        <v>379.80999800000001</v>
      </c>
      <c r="G1819" s="2">
        <v>5420500</v>
      </c>
      <c r="H1819" s="2">
        <f t="shared" si="224"/>
        <v>2017</v>
      </c>
      <c r="I1819" s="2">
        <f t="shared" si="225"/>
        <v>9</v>
      </c>
      <c r="J1819" s="2">
        <f t="shared" si="226"/>
        <v>15</v>
      </c>
      <c r="K1819" s="2">
        <f t="shared" si="227"/>
        <v>6</v>
      </c>
      <c r="L1819" s="2">
        <f t="shared" si="228"/>
        <v>10</v>
      </c>
      <c r="M1819" s="3">
        <f t="shared" si="229"/>
        <v>377.64001500000001</v>
      </c>
      <c r="N1819" s="1">
        <f t="shared" ca="1" si="230"/>
        <v>377.64001500000001</v>
      </c>
      <c r="O1819" s="5">
        <f t="shared" si="231"/>
        <v>5.7461680802020076E-3</v>
      </c>
    </row>
    <row r="1820" spans="1:15" s="2" customFormat="1" x14ac:dyDescent="0.5">
      <c r="A1820" s="6">
        <v>42996</v>
      </c>
      <c r="B1820" s="1">
        <v>380.25</v>
      </c>
      <c r="C1820" s="1">
        <v>389.60998499999999</v>
      </c>
      <c r="D1820" s="1">
        <v>377.67999300000002</v>
      </c>
      <c r="E1820" s="1">
        <v>385</v>
      </c>
      <c r="F1820" s="1">
        <v>385</v>
      </c>
      <c r="G1820" s="2">
        <v>7188000</v>
      </c>
      <c r="H1820" s="2">
        <f t="shared" si="224"/>
        <v>2017</v>
      </c>
      <c r="I1820" s="2">
        <f t="shared" si="225"/>
        <v>9</v>
      </c>
      <c r="J1820" s="2">
        <f t="shared" si="226"/>
        <v>18</v>
      </c>
      <c r="K1820" s="2">
        <f t="shared" si="227"/>
        <v>2</v>
      </c>
      <c r="L1820" s="2">
        <f t="shared" si="228"/>
        <v>10</v>
      </c>
      <c r="M1820" s="3">
        <f t="shared" si="229"/>
        <v>379.80999800000001</v>
      </c>
      <c r="N1820" s="1">
        <f t="shared" ca="1" si="230"/>
        <v>379.80999800000001</v>
      </c>
      <c r="O1820" s="5">
        <f t="shared" si="231"/>
        <v>1.3664732438138705E-2</v>
      </c>
    </row>
    <row r="1821" spans="1:15" s="2" customFormat="1" x14ac:dyDescent="0.5">
      <c r="A1821" s="6">
        <v>42997</v>
      </c>
      <c r="B1821" s="1">
        <v>380</v>
      </c>
      <c r="C1821" s="1">
        <v>382.39001500000001</v>
      </c>
      <c r="D1821" s="1">
        <v>373.57000699999998</v>
      </c>
      <c r="E1821" s="1">
        <v>375.10000600000001</v>
      </c>
      <c r="F1821" s="1">
        <v>375.10000600000001</v>
      </c>
      <c r="G1821" s="2">
        <v>6451900</v>
      </c>
      <c r="H1821" s="2">
        <f t="shared" si="224"/>
        <v>2017</v>
      </c>
      <c r="I1821" s="2">
        <f t="shared" si="225"/>
        <v>9</v>
      </c>
      <c r="J1821" s="2">
        <f t="shared" si="226"/>
        <v>19</v>
      </c>
      <c r="K1821" s="2">
        <f t="shared" si="227"/>
        <v>3</v>
      </c>
      <c r="L1821" s="2">
        <f t="shared" si="228"/>
        <v>10</v>
      </c>
      <c r="M1821" s="3">
        <f t="shared" si="229"/>
        <v>385</v>
      </c>
      <c r="N1821" s="1">
        <f t="shared" ca="1" si="230"/>
        <v>385</v>
      </c>
      <c r="O1821" s="5">
        <f t="shared" si="231"/>
        <v>-2.5714270129870154E-2</v>
      </c>
    </row>
    <row r="1822" spans="1:15" s="2" customFormat="1" x14ac:dyDescent="0.5">
      <c r="A1822" s="6">
        <v>42998</v>
      </c>
      <c r="B1822" s="1">
        <v>373</v>
      </c>
      <c r="C1822" s="1">
        <v>378.25</v>
      </c>
      <c r="D1822" s="1">
        <v>371.07000699999998</v>
      </c>
      <c r="E1822" s="1">
        <v>373.91000400000001</v>
      </c>
      <c r="F1822" s="1">
        <v>373.91000400000001</v>
      </c>
      <c r="G1822" s="2">
        <v>4919100</v>
      </c>
      <c r="H1822" s="2">
        <f t="shared" si="224"/>
        <v>2017</v>
      </c>
      <c r="I1822" s="2">
        <f t="shared" si="225"/>
        <v>9</v>
      </c>
      <c r="J1822" s="2">
        <f t="shared" si="226"/>
        <v>20</v>
      </c>
      <c r="K1822" s="2">
        <f t="shared" si="227"/>
        <v>4</v>
      </c>
      <c r="L1822" s="2">
        <f t="shared" si="228"/>
        <v>10</v>
      </c>
      <c r="M1822" s="3">
        <f t="shared" si="229"/>
        <v>375.10000600000001</v>
      </c>
      <c r="N1822" s="1">
        <f t="shared" ca="1" si="230"/>
        <v>375.10000600000001</v>
      </c>
      <c r="O1822" s="5">
        <f t="shared" si="231"/>
        <v>-3.1724926178753332E-3</v>
      </c>
    </row>
    <row r="1823" spans="1:15" s="2" customFormat="1" x14ac:dyDescent="0.5">
      <c r="A1823" s="6">
        <v>42999</v>
      </c>
      <c r="B1823" s="1">
        <v>374.89999399999999</v>
      </c>
      <c r="C1823" s="1">
        <v>376.82998700000002</v>
      </c>
      <c r="D1823" s="1">
        <v>364.51001000000002</v>
      </c>
      <c r="E1823" s="1">
        <v>366.48001099999999</v>
      </c>
      <c r="F1823" s="1">
        <v>366.48001099999999</v>
      </c>
      <c r="G1823" s="2">
        <v>4618200</v>
      </c>
      <c r="H1823" s="2">
        <f t="shared" si="224"/>
        <v>2017</v>
      </c>
      <c r="I1823" s="2">
        <f t="shared" si="225"/>
        <v>9</v>
      </c>
      <c r="J1823" s="2">
        <f t="shared" si="226"/>
        <v>21</v>
      </c>
      <c r="K1823" s="2">
        <f t="shared" si="227"/>
        <v>5</v>
      </c>
      <c r="L1823" s="2">
        <f t="shared" si="228"/>
        <v>10</v>
      </c>
      <c r="M1823" s="3">
        <f t="shared" si="229"/>
        <v>373.91000400000001</v>
      </c>
      <c r="N1823" s="1">
        <f t="shared" ca="1" si="230"/>
        <v>373.91000400000001</v>
      </c>
      <c r="O1823" s="5">
        <f t="shared" si="231"/>
        <v>-1.9871073040345855E-2</v>
      </c>
    </row>
    <row r="1824" spans="1:15" s="2" customFormat="1" x14ac:dyDescent="0.5">
      <c r="A1824" s="6">
        <v>43000</v>
      </c>
      <c r="B1824" s="1">
        <v>366.48998999999998</v>
      </c>
      <c r="C1824" s="1">
        <v>369.89999399999999</v>
      </c>
      <c r="D1824" s="1">
        <v>350.88000499999998</v>
      </c>
      <c r="E1824" s="1">
        <v>351.08999599999999</v>
      </c>
      <c r="F1824" s="1">
        <v>351.08999599999999</v>
      </c>
      <c r="G1824" s="2">
        <v>8159400</v>
      </c>
      <c r="H1824" s="2">
        <f t="shared" si="224"/>
        <v>2017</v>
      </c>
      <c r="I1824" s="2">
        <f t="shared" si="225"/>
        <v>9</v>
      </c>
      <c r="J1824" s="2">
        <f t="shared" si="226"/>
        <v>22</v>
      </c>
      <c r="K1824" s="2">
        <f t="shared" si="227"/>
        <v>6</v>
      </c>
      <c r="L1824" s="2">
        <f t="shared" si="228"/>
        <v>10</v>
      </c>
      <c r="M1824" s="3">
        <f t="shared" si="229"/>
        <v>366.48001099999999</v>
      </c>
      <c r="N1824" s="1">
        <f t="shared" ca="1" si="230"/>
        <v>366.48001099999999</v>
      </c>
      <c r="O1824" s="5">
        <f t="shared" si="231"/>
        <v>-4.1994145759835178E-2</v>
      </c>
    </row>
    <row r="1825" spans="1:15" s="2" customFormat="1" x14ac:dyDescent="0.5">
      <c r="A1825" s="6">
        <v>43003</v>
      </c>
      <c r="B1825" s="1">
        <v>353.14999399999999</v>
      </c>
      <c r="C1825" s="1">
        <v>357.47000100000002</v>
      </c>
      <c r="D1825" s="1">
        <v>342.88000499999998</v>
      </c>
      <c r="E1825" s="1">
        <v>344.98998999999998</v>
      </c>
      <c r="F1825" s="1">
        <v>344.98998999999998</v>
      </c>
      <c r="G1825" s="2">
        <v>7605900</v>
      </c>
      <c r="H1825" s="2">
        <f t="shared" si="224"/>
        <v>2017</v>
      </c>
      <c r="I1825" s="2">
        <f t="shared" si="225"/>
        <v>9</v>
      </c>
      <c r="J1825" s="2">
        <f t="shared" si="226"/>
        <v>25</v>
      </c>
      <c r="K1825" s="2">
        <f t="shared" si="227"/>
        <v>2</v>
      </c>
      <c r="L1825" s="2">
        <f t="shared" si="228"/>
        <v>10</v>
      </c>
      <c r="M1825" s="3">
        <f t="shared" si="229"/>
        <v>351.08999599999999</v>
      </c>
      <c r="N1825" s="1">
        <f t="shared" ca="1" si="230"/>
        <v>351.08999599999999</v>
      </c>
      <c r="O1825" s="5">
        <f t="shared" si="231"/>
        <v>-1.7374479676145471E-2</v>
      </c>
    </row>
    <row r="1826" spans="1:15" s="2" customFormat="1" x14ac:dyDescent="0.5">
      <c r="A1826" s="6">
        <v>43004</v>
      </c>
      <c r="B1826" s="1">
        <v>350.92999300000002</v>
      </c>
      <c r="C1826" s="1">
        <v>351.23998999999998</v>
      </c>
      <c r="D1826" s="1">
        <v>340.89999399999999</v>
      </c>
      <c r="E1826" s="1">
        <v>345.25</v>
      </c>
      <c r="F1826" s="1">
        <v>345.25</v>
      </c>
      <c r="G1826" s="2">
        <v>7156300</v>
      </c>
      <c r="H1826" s="2">
        <f t="shared" si="224"/>
        <v>2017</v>
      </c>
      <c r="I1826" s="2">
        <f t="shared" si="225"/>
        <v>9</v>
      </c>
      <c r="J1826" s="2">
        <f t="shared" si="226"/>
        <v>26</v>
      </c>
      <c r="K1826" s="2">
        <f t="shared" si="227"/>
        <v>3</v>
      </c>
      <c r="L1826" s="2">
        <f t="shared" si="228"/>
        <v>10</v>
      </c>
      <c r="M1826" s="3">
        <f t="shared" si="229"/>
        <v>344.98998999999998</v>
      </c>
      <c r="N1826" s="1">
        <f t="shared" ca="1" si="230"/>
        <v>344.98998999999998</v>
      </c>
      <c r="O1826" s="5">
        <f t="shared" si="231"/>
        <v>7.5367404138315663E-4</v>
      </c>
    </row>
    <row r="1827" spans="1:15" s="2" customFormat="1" x14ac:dyDescent="0.5">
      <c r="A1827" s="6">
        <v>43005</v>
      </c>
      <c r="B1827" s="1">
        <v>349.89999399999999</v>
      </c>
      <c r="C1827" s="1">
        <v>351.48998999999998</v>
      </c>
      <c r="D1827" s="1">
        <v>340.5</v>
      </c>
      <c r="E1827" s="1">
        <v>340.97000100000002</v>
      </c>
      <c r="F1827" s="1">
        <v>340.97000100000002</v>
      </c>
      <c r="G1827" s="2">
        <v>6060300</v>
      </c>
      <c r="H1827" s="2">
        <f t="shared" si="224"/>
        <v>2017</v>
      </c>
      <c r="I1827" s="2">
        <f t="shared" si="225"/>
        <v>9</v>
      </c>
      <c r="J1827" s="2">
        <f t="shared" si="226"/>
        <v>27</v>
      </c>
      <c r="K1827" s="2">
        <f t="shared" si="227"/>
        <v>4</v>
      </c>
      <c r="L1827" s="2">
        <f t="shared" si="228"/>
        <v>10</v>
      </c>
      <c r="M1827" s="3">
        <f t="shared" si="229"/>
        <v>345.25</v>
      </c>
      <c r="N1827" s="1">
        <f t="shared" ca="1" si="230"/>
        <v>345.25</v>
      </c>
      <c r="O1827" s="5">
        <f t="shared" si="231"/>
        <v>-1.2396811006516906E-2</v>
      </c>
    </row>
    <row r="1828" spans="1:15" s="2" customFormat="1" x14ac:dyDescent="0.5">
      <c r="A1828" s="6">
        <v>43006</v>
      </c>
      <c r="B1828" s="1">
        <v>339.88000499999998</v>
      </c>
      <c r="C1828" s="1">
        <v>342.75</v>
      </c>
      <c r="D1828" s="1">
        <v>335.39999399999999</v>
      </c>
      <c r="E1828" s="1">
        <v>339.60000600000001</v>
      </c>
      <c r="F1828" s="1">
        <v>339.60000600000001</v>
      </c>
      <c r="G1828" s="2">
        <v>5319600</v>
      </c>
      <c r="H1828" s="2">
        <f t="shared" si="224"/>
        <v>2017</v>
      </c>
      <c r="I1828" s="2">
        <f t="shared" si="225"/>
        <v>9</v>
      </c>
      <c r="J1828" s="2">
        <f t="shared" si="226"/>
        <v>28</v>
      </c>
      <c r="K1828" s="2">
        <f t="shared" si="227"/>
        <v>5</v>
      </c>
      <c r="L1828" s="2">
        <f t="shared" si="228"/>
        <v>10</v>
      </c>
      <c r="M1828" s="3">
        <f t="shared" si="229"/>
        <v>340.97000100000002</v>
      </c>
      <c r="N1828" s="1">
        <f t="shared" ca="1" si="230"/>
        <v>340.97000100000002</v>
      </c>
      <c r="O1828" s="5">
        <f t="shared" si="231"/>
        <v>-4.0179341173184335E-3</v>
      </c>
    </row>
    <row r="1829" spans="1:15" s="2" customFormat="1" x14ac:dyDescent="0.5">
      <c r="A1829" s="6">
        <v>43007</v>
      </c>
      <c r="B1829" s="1">
        <v>341.85998499999999</v>
      </c>
      <c r="C1829" s="1">
        <v>344.67999300000002</v>
      </c>
      <c r="D1829" s="1">
        <v>338.60000600000001</v>
      </c>
      <c r="E1829" s="1">
        <v>341.10000600000001</v>
      </c>
      <c r="F1829" s="1">
        <v>341.10000600000001</v>
      </c>
      <c r="G1829" s="2">
        <v>5107100</v>
      </c>
      <c r="H1829" s="2">
        <f t="shared" si="224"/>
        <v>2017</v>
      </c>
      <c r="I1829" s="2">
        <f t="shared" si="225"/>
        <v>9</v>
      </c>
      <c r="J1829" s="2">
        <f t="shared" si="226"/>
        <v>29</v>
      </c>
      <c r="K1829" s="2">
        <f t="shared" si="227"/>
        <v>6</v>
      </c>
      <c r="L1829" s="2">
        <f t="shared" si="228"/>
        <v>10</v>
      </c>
      <c r="M1829" s="3">
        <f t="shared" si="229"/>
        <v>339.60000600000001</v>
      </c>
      <c r="N1829" s="1">
        <f t="shared" ca="1" si="230"/>
        <v>339.60000600000001</v>
      </c>
      <c r="O1829" s="5">
        <f t="shared" si="231"/>
        <v>4.4169610527038383E-3</v>
      </c>
    </row>
    <row r="1830" spans="1:15" s="2" customFormat="1" x14ac:dyDescent="0.5">
      <c r="A1830" s="6">
        <v>43010</v>
      </c>
      <c r="B1830" s="1">
        <v>342.51998900000001</v>
      </c>
      <c r="C1830" s="1">
        <v>343.70001200000002</v>
      </c>
      <c r="D1830" s="1">
        <v>335.51001000000002</v>
      </c>
      <c r="E1830" s="1">
        <v>341.52999899999998</v>
      </c>
      <c r="F1830" s="1">
        <v>341.52999899999998</v>
      </c>
      <c r="G1830" s="2">
        <v>5286800</v>
      </c>
      <c r="H1830" s="2">
        <f t="shared" si="224"/>
        <v>2017</v>
      </c>
      <c r="I1830" s="2">
        <f t="shared" si="225"/>
        <v>10</v>
      </c>
      <c r="J1830" s="2">
        <f t="shared" si="226"/>
        <v>2</v>
      </c>
      <c r="K1830" s="2">
        <f t="shared" si="227"/>
        <v>2</v>
      </c>
      <c r="L1830" s="2">
        <f t="shared" si="228"/>
        <v>11</v>
      </c>
      <c r="M1830" s="3">
        <f t="shared" si="229"/>
        <v>341.10000600000001</v>
      </c>
      <c r="N1830" s="1">
        <f t="shared" ca="1" si="230"/>
        <v>341.10000600000001</v>
      </c>
      <c r="O1830" s="5">
        <f t="shared" si="231"/>
        <v>1.2606068379839019E-3</v>
      </c>
    </row>
    <row r="1831" spans="1:15" s="2" customFormat="1" x14ac:dyDescent="0.5">
      <c r="A1831" s="6">
        <v>43011</v>
      </c>
      <c r="B1831" s="1">
        <v>335.89999399999999</v>
      </c>
      <c r="C1831" s="1">
        <v>348.54998799999998</v>
      </c>
      <c r="D1831" s="1">
        <v>331.27999899999998</v>
      </c>
      <c r="E1831" s="1">
        <v>348.14001500000001</v>
      </c>
      <c r="F1831" s="1">
        <v>348.14001500000001</v>
      </c>
      <c r="G1831" s="2">
        <v>10153600</v>
      </c>
      <c r="H1831" s="2">
        <f t="shared" si="224"/>
        <v>2017</v>
      </c>
      <c r="I1831" s="2">
        <f t="shared" si="225"/>
        <v>10</v>
      </c>
      <c r="J1831" s="2">
        <f t="shared" si="226"/>
        <v>3</v>
      </c>
      <c r="K1831" s="2">
        <f t="shared" si="227"/>
        <v>3</v>
      </c>
      <c r="L1831" s="2">
        <f t="shared" si="228"/>
        <v>11</v>
      </c>
      <c r="M1831" s="3">
        <f t="shared" si="229"/>
        <v>341.52999899999998</v>
      </c>
      <c r="N1831" s="1">
        <f t="shared" ca="1" si="230"/>
        <v>341.52999899999998</v>
      </c>
      <c r="O1831" s="5">
        <f t="shared" si="231"/>
        <v>1.9354130001329795E-2</v>
      </c>
    </row>
    <row r="1832" spans="1:15" s="2" customFormat="1" x14ac:dyDescent="0.5">
      <c r="A1832" s="6">
        <v>43012</v>
      </c>
      <c r="B1832" s="1">
        <v>351.25</v>
      </c>
      <c r="C1832" s="1">
        <v>358.61999500000002</v>
      </c>
      <c r="D1832" s="1">
        <v>349.60000600000001</v>
      </c>
      <c r="E1832" s="1">
        <v>355.01001000000002</v>
      </c>
      <c r="F1832" s="1">
        <v>355.01001000000002</v>
      </c>
      <c r="G1832" s="2">
        <v>8163500</v>
      </c>
      <c r="H1832" s="2">
        <f t="shared" si="224"/>
        <v>2017</v>
      </c>
      <c r="I1832" s="2">
        <f t="shared" si="225"/>
        <v>10</v>
      </c>
      <c r="J1832" s="2">
        <f t="shared" si="226"/>
        <v>4</v>
      </c>
      <c r="K1832" s="2">
        <f t="shared" si="227"/>
        <v>4</v>
      </c>
      <c r="L1832" s="2">
        <f t="shared" si="228"/>
        <v>11</v>
      </c>
      <c r="M1832" s="3">
        <f t="shared" si="229"/>
        <v>348.14001500000001</v>
      </c>
      <c r="N1832" s="1">
        <f t="shared" ca="1" si="230"/>
        <v>348.14001500000001</v>
      </c>
      <c r="O1832" s="5">
        <f t="shared" si="231"/>
        <v>1.9733425357610912E-2</v>
      </c>
    </row>
    <row r="1833" spans="1:15" s="2" customFormat="1" x14ac:dyDescent="0.5">
      <c r="A1833" s="6">
        <v>43013</v>
      </c>
      <c r="B1833" s="1">
        <v>356</v>
      </c>
      <c r="C1833" s="1">
        <v>357.44000199999999</v>
      </c>
      <c r="D1833" s="1">
        <v>351.35000600000001</v>
      </c>
      <c r="E1833" s="1">
        <v>355.32998700000002</v>
      </c>
      <c r="F1833" s="1">
        <v>355.32998700000002</v>
      </c>
      <c r="G1833" s="2">
        <v>4171700</v>
      </c>
      <c r="H1833" s="2">
        <f t="shared" si="224"/>
        <v>2017</v>
      </c>
      <c r="I1833" s="2">
        <f t="shared" si="225"/>
        <v>10</v>
      </c>
      <c r="J1833" s="2">
        <f t="shared" si="226"/>
        <v>5</v>
      </c>
      <c r="K1833" s="2">
        <f t="shared" si="227"/>
        <v>5</v>
      </c>
      <c r="L1833" s="2">
        <f t="shared" si="228"/>
        <v>11</v>
      </c>
      <c r="M1833" s="3">
        <f t="shared" si="229"/>
        <v>355.01001000000002</v>
      </c>
      <c r="N1833" s="1">
        <f t="shared" ca="1" si="230"/>
        <v>355.01001000000002</v>
      </c>
      <c r="O1833" s="5">
        <f t="shared" si="231"/>
        <v>9.0131824733608035E-4</v>
      </c>
    </row>
    <row r="1834" spans="1:15" s="2" customFormat="1" x14ac:dyDescent="0.5">
      <c r="A1834" s="6">
        <v>43014</v>
      </c>
      <c r="B1834" s="1">
        <v>353.10000600000001</v>
      </c>
      <c r="C1834" s="1">
        <v>360.10000600000001</v>
      </c>
      <c r="D1834" s="1">
        <v>352.25</v>
      </c>
      <c r="E1834" s="1">
        <v>356.88000499999998</v>
      </c>
      <c r="F1834" s="1">
        <v>356.88000499999998</v>
      </c>
      <c r="G1834" s="2">
        <v>4297500</v>
      </c>
      <c r="H1834" s="2">
        <f t="shared" si="224"/>
        <v>2017</v>
      </c>
      <c r="I1834" s="2">
        <f t="shared" si="225"/>
        <v>10</v>
      </c>
      <c r="J1834" s="2">
        <f t="shared" si="226"/>
        <v>6</v>
      </c>
      <c r="K1834" s="2">
        <f t="shared" si="227"/>
        <v>6</v>
      </c>
      <c r="L1834" s="2">
        <f t="shared" si="228"/>
        <v>11</v>
      </c>
      <c r="M1834" s="3">
        <f t="shared" si="229"/>
        <v>355.32998700000002</v>
      </c>
      <c r="N1834" s="1">
        <f t="shared" ca="1" si="230"/>
        <v>355.32998700000002</v>
      </c>
      <c r="O1834" s="5">
        <f t="shared" si="231"/>
        <v>4.3621930507091733E-3</v>
      </c>
    </row>
    <row r="1835" spans="1:15" s="2" customFormat="1" x14ac:dyDescent="0.5">
      <c r="A1835" s="6">
        <v>43017</v>
      </c>
      <c r="B1835" s="1">
        <v>349.64999399999999</v>
      </c>
      <c r="C1835" s="1">
        <v>351.75</v>
      </c>
      <c r="D1835" s="1">
        <v>342.67001299999998</v>
      </c>
      <c r="E1835" s="1">
        <v>342.94000199999999</v>
      </c>
      <c r="F1835" s="1">
        <v>342.94000199999999</v>
      </c>
      <c r="G1835" s="2">
        <v>7493700</v>
      </c>
      <c r="H1835" s="2">
        <f t="shared" si="224"/>
        <v>2017</v>
      </c>
      <c r="I1835" s="2">
        <f t="shared" si="225"/>
        <v>10</v>
      </c>
      <c r="J1835" s="2">
        <f t="shared" si="226"/>
        <v>9</v>
      </c>
      <c r="K1835" s="2">
        <f t="shared" si="227"/>
        <v>2</v>
      </c>
      <c r="L1835" s="2">
        <f t="shared" si="228"/>
        <v>11</v>
      </c>
      <c r="M1835" s="3">
        <f t="shared" si="229"/>
        <v>356.88000499999998</v>
      </c>
      <c r="N1835" s="1">
        <f t="shared" ca="1" si="230"/>
        <v>356.88000499999998</v>
      </c>
      <c r="O1835" s="5">
        <f t="shared" si="231"/>
        <v>-3.9060756569984867E-2</v>
      </c>
    </row>
    <row r="1836" spans="1:15" s="2" customFormat="1" x14ac:dyDescent="0.5">
      <c r="A1836" s="6">
        <v>43018</v>
      </c>
      <c r="B1836" s="1">
        <v>346.79998799999998</v>
      </c>
      <c r="C1836" s="1">
        <v>355.63000499999998</v>
      </c>
      <c r="D1836" s="1">
        <v>345.52999899999998</v>
      </c>
      <c r="E1836" s="1">
        <v>355.58999599999999</v>
      </c>
      <c r="F1836" s="1">
        <v>355.58999599999999</v>
      </c>
      <c r="G1836" s="2">
        <v>6978500</v>
      </c>
      <c r="H1836" s="2">
        <f t="shared" si="224"/>
        <v>2017</v>
      </c>
      <c r="I1836" s="2">
        <f t="shared" si="225"/>
        <v>10</v>
      </c>
      <c r="J1836" s="2">
        <f t="shared" si="226"/>
        <v>10</v>
      </c>
      <c r="K1836" s="2">
        <f t="shared" si="227"/>
        <v>3</v>
      </c>
      <c r="L1836" s="2">
        <f t="shared" si="228"/>
        <v>11</v>
      </c>
      <c r="M1836" s="3">
        <f t="shared" si="229"/>
        <v>342.94000199999999</v>
      </c>
      <c r="N1836" s="1">
        <f t="shared" ca="1" si="230"/>
        <v>342.94000199999999</v>
      </c>
      <c r="O1836" s="5">
        <f t="shared" si="231"/>
        <v>3.6886901283682771E-2</v>
      </c>
    </row>
    <row r="1837" spans="1:15" s="2" customFormat="1" x14ac:dyDescent="0.5">
      <c r="A1837" s="6">
        <v>43019</v>
      </c>
      <c r="B1837" s="1">
        <v>353.89001500000001</v>
      </c>
      <c r="C1837" s="1">
        <v>357.60000600000001</v>
      </c>
      <c r="D1837" s="1">
        <v>351.14999399999999</v>
      </c>
      <c r="E1837" s="1">
        <v>354.60000600000001</v>
      </c>
      <c r="F1837" s="1">
        <v>354.60000600000001</v>
      </c>
      <c r="G1837" s="2">
        <v>4500800</v>
      </c>
      <c r="H1837" s="2">
        <f t="shared" si="224"/>
        <v>2017</v>
      </c>
      <c r="I1837" s="2">
        <f t="shared" si="225"/>
        <v>10</v>
      </c>
      <c r="J1837" s="2">
        <f t="shared" si="226"/>
        <v>11</v>
      </c>
      <c r="K1837" s="2">
        <f t="shared" si="227"/>
        <v>4</v>
      </c>
      <c r="L1837" s="2">
        <f t="shared" si="228"/>
        <v>11</v>
      </c>
      <c r="M1837" s="3">
        <f t="shared" si="229"/>
        <v>355.58999599999999</v>
      </c>
      <c r="N1837" s="1">
        <f t="shared" ca="1" si="230"/>
        <v>355.58999599999999</v>
      </c>
      <c r="O1837" s="5">
        <f t="shared" si="231"/>
        <v>-2.7840771988422164E-3</v>
      </c>
    </row>
    <row r="1838" spans="1:15" s="2" customFormat="1" x14ac:dyDescent="0.5">
      <c r="A1838" s="6">
        <v>43020</v>
      </c>
      <c r="B1838" s="1">
        <v>352.95001200000002</v>
      </c>
      <c r="C1838" s="1">
        <v>359.77999899999998</v>
      </c>
      <c r="D1838" s="1">
        <v>352.64001500000001</v>
      </c>
      <c r="E1838" s="1">
        <v>355.67999300000002</v>
      </c>
      <c r="F1838" s="1">
        <v>355.67999300000002</v>
      </c>
      <c r="G1838" s="2">
        <v>4087000</v>
      </c>
      <c r="H1838" s="2">
        <f t="shared" si="224"/>
        <v>2017</v>
      </c>
      <c r="I1838" s="2">
        <f t="shared" si="225"/>
        <v>10</v>
      </c>
      <c r="J1838" s="2">
        <f t="shared" si="226"/>
        <v>12</v>
      </c>
      <c r="K1838" s="2">
        <f t="shared" si="227"/>
        <v>5</v>
      </c>
      <c r="L1838" s="2">
        <f t="shared" si="228"/>
        <v>11</v>
      </c>
      <c r="M1838" s="3">
        <f t="shared" si="229"/>
        <v>354.60000600000001</v>
      </c>
      <c r="N1838" s="1">
        <f t="shared" ca="1" si="230"/>
        <v>354.60000600000001</v>
      </c>
      <c r="O1838" s="5">
        <f t="shared" si="231"/>
        <v>3.0456485666274791E-3</v>
      </c>
    </row>
    <row r="1839" spans="1:15" s="2" customFormat="1" x14ac:dyDescent="0.5">
      <c r="A1839" s="6">
        <v>43021</v>
      </c>
      <c r="B1839" s="1">
        <v>356.98001099999999</v>
      </c>
      <c r="C1839" s="1">
        <v>358.48998999999998</v>
      </c>
      <c r="D1839" s="1">
        <v>353.67999300000002</v>
      </c>
      <c r="E1839" s="1">
        <v>355.57000699999998</v>
      </c>
      <c r="F1839" s="1">
        <v>355.57000699999998</v>
      </c>
      <c r="G1839" s="2">
        <v>3540500</v>
      </c>
      <c r="H1839" s="2">
        <f t="shared" si="224"/>
        <v>2017</v>
      </c>
      <c r="I1839" s="2">
        <f t="shared" si="225"/>
        <v>10</v>
      </c>
      <c r="J1839" s="2">
        <f t="shared" si="226"/>
        <v>13</v>
      </c>
      <c r="K1839" s="2">
        <f t="shared" si="227"/>
        <v>6</v>
      </c>
      <c r="L1839" s="2">
        <f t="shared" si="228"/>
        <v>11</v>
      </c>
      <c r="M1839" s="3">
        <f t="shared" si="229"/>
        <v>355.67999300000002</v>
      </c>
      <c r="N1839" s="1">
        <f t="shared" ca="1" si="230"/>
        <v>355.67999300000002</v>
      </c>
      <c r="O1839" s="5">
        <f t="shared" si="231"/>
        <v>-3.0922740149752492E-4</v>
      </c>
    </row>
    <row r="1840" spans="1:15" s="2" customFormat="1" x14ac:dyDescent="0.5">
      <c r="A1840" s="6">
        <v>43024</v>
      </c>
      <c r="B1840" s="1">
        <v>353.76001000000002</v>
      </c>
      <c r="C1840" s="1">
        <v>354.48001099999999</v>
      </c>
      <c r="D1840" s="1">
        <v>347.16000400000001</v>
      </c>
      <c r="E1840" s="1">
        <v>350.60000600000001</v>
      </c>
      <c r="F1840" s="1">
        <v>350.60000600000001</v>
      </c>
      <c r="G1840" s="2">
        <v>5375500</v>
      </c>
      <c r="H1840" s="2">
        <f t="shared" si="224"/>
        <v>2017</v>
      </c>
      <c r="I1840" s="2">
        <f t="shared" si="225"/>
        <v>10</v>
      </c>
      <c r="J1840" s="2">
        <f t="shared" si="226"/>
        <v>16</v>
      </c>
      <c r="K1840" s="2">
        <f t="shared" si="227"/>
        <v>2</v>
      </c>
      <c r="L1840" s="2">
        <f t="shared" si="228"/>
        <v>11</v>
      </c>
      <c r="M1840" s="3">
        <f t="shared" si="229"/>
        <v>355.57000699999998</v>
      </c>
      <c r="N1840" s="1">
        <f t="shared" ca="1" si="230"/>
        <v>355.57000699999998</v>
      </c>
      <c r="O1840" s="5">
        <f t="shared" si="231"/>
        <v>-1.3977559698953979E-2</v>
      </c>
    </row>
    <row r="1841" spans="1:15" s="2" customFormat="1" x14ac:dyDescent="0.5">
      <c r="A1841" s="6">
        <v>43025</v>
      </c>
      <c r="B1841" s="1">
        <v>350.91000400000001</v>
      </c>
      <c r="C1841" s="1">
        <v>356.22000100000002</v>
      </c>
      <c r="D1841" s="1">
        <v>350.07000699999998</v>
      </c>
      <c r="E1841" s="1">
        <v>355.75</v>
      </c>
      <c r="F1841" s="1">
        <v>355.75</v>
      </c>
      <c r="G1841" s="2">
        <v>3293300</v>
      </c>
      <c r="H1841" s="2">
        <f t="shared" si="224"/>
        <v>2017</v>
      </c>
      <c r="I1841" s="2">
        <f t="shared" si="225"/>
        <v>10</v>
      </c>
      <c r="J1841" s="2">
        <f t="shared" si="226"/>
        <v>17</v>
      </c>
      <c r="K1841" s="2">
        <f t="shared" si="227"/>
        <v>3</v>
      </c>
      <c r="L1841" s="2">
        <f t="shared" si="228"/>
        <v>11</v>
      </c>
      <c r="M1841" s="3">
        <f t="shared" si="229"/>
        <v>350.60000600000001</v>
      </c>
      <c r="N1841" s="1">
        <f t="shared" ca="1" si="230"/>
        <v>350.60000600000001</v>
      </c>
      <c r="O1841" s="5">
        <f t="shared" si="231"/>
        <v>1.4689087027568437E-2</v>
      </c>
    </row>
    <row r="1842" spans="1:15" s="2" customFormat="1" x14ac:dyDescent="0.5">
      <c r="A1842" s="6">
        <v>43026</v>
      </c>
      <c r="B1842" s="1">
        <v>355.97000100000002</v>
      </c>
      <c r="C1842" s="1">
        <v>363</v>
      </c>
      <c r="D1842" s="1">
        <v>354.13000499999998</v>
      </c>
      <c r="E1842" s="1">
        <v>359.64999399999999</v>
      </c>
      <c r="F1842" s="1">
        <v>359.64999399999999</v>
      </c>
      <c r="G1842" s="2">
        <v>4939100</v>
      </c>
      <c r="H1842" s="2">
        <f t="shared" si="224"/>
        <v>2017</v>
      </c>
      <c r="I1842" s="2">
        <f t="shared" si="225"/>
        <v>10</v>
      </c>
      <c r="J1842" s="2">
        <f t="shared" si="226"/>
        <v>18</v>
      </c>
      <c r="K1842" s="2">
        <f t="shared" si="227"/>
        <v>4</v>
      </c>
      <c r="L1842" s="2">
        <f t="shared" si="228"/>
        <v>11</v>
      </c>
      <c r="M1842" s="3">
        <f t="shared" si="229"/>
        <v>355.75</v>
      </c>
      <c r="N1842" s="1">
        <f t="shared" ca="1" si="230"/>
        <v>355.75</v>
      </c>
      <c r="O1842" s="5">
        <f t="shared" si="231"/>
        <v>1.0962737877723061E-2</v>
      </c>
    </row>
    <row r="1843" spans="1:15" s="2" customFormat="1" x14ac:dyDescent="0.5">
      <c r="A1843" s="6">
        <v>43027</v>
      </c>
      <c r="B1843" s="1">
        <v>355.55999800000001</v>
      </c>
      <c r="C1843" s="1">
        <v>357.14999399999999</v>
      </c>
      <c r="D1843" s="1">
        <v>348.20001200000002</v>
      </c>
      <c r="E1843" s="1">
        <v>351.80999800000001</v>
      </c>
      <c r="F1843" s="1">
        <v>351.80999800000001</v>
      </c>
      <c r="G1843" s="2">
        <v>5061800</v>
      </c>
      <c r="H1843" s="2">
        <f t="shared" si="224"/>
        <v>2017</v>
      </c>
      <c r="I1843" s="2">
        <f t="shared" si="225"/>
        <v>10</v>
      </c>
      <c r="J1843" s="2">
        <f t="shared" si="226"/>
        <v>19</v>
      </c>
      <c r="K1843" s="2">
        <f t="shared" si="227"/>
        <v>5</v>
      </c>
      <c r="L1843" s="2">
        <f t="shared" si="228"/>
        <v>11</v>
      </c>
      <c r="M1843" s="3">
        <f t="shared" si="229"/>
        <v>359.64999399999999</v>
      </c>
      <c r="N1843" s="1">
        <f t="shared" ca="1" si="230"/>
        <v>359.64999399999999</v>
      </c>
      <c r="O1843" s="5">
        <f t="shared" si="231"/>
        <v>-2.1798960463766837E-2</v>
      </c>
    </row>
    <row r="1844" spans="1:15" s="2" customFormat="1" x14ac:dyDescent="0.5">
      <c r="A1844" s="6">
        <v>43028</v>
      </c>
      <c r="B1844" s="1">
        <v>352.69000199999999</v>
      </c>
      <c r="C1844" s="1">
        <v>354.54998799999998</v>
      </c>
      <c r="D1844" s="1">
        <v>344.33999599999999</v>
      </c>
      <c r="E1844" s="1">
        <v>345.10000600000001</v>
      </c>
      <c r="F1844" s="1">
        <v>345.10000600000001</v>
      </c>
      <c r="G1844" s="2">
        <v>4930400</v>
      </c>
      <c r="H1844" s="2">
        <f t="shared" si="224"/>
        <v>2017</v>
      </c>
      <c r="I1844" s="2">
        <f t="shared" si="225"/>
        <v>10</v>
      </c>
      <c r="J1844" s="2">
        <f t="shared" si="226"/>
        <v>20</v>
      </c>
      <c r="K1844" s="2">
        <f t="shared" si="227"/>
        <v>6</v>
      </c>
      <c r="L1844" s="2">
        <f t="shared" si="228"/>
        <v>11</v>
      </c>
      <c r="M1844" s="3">
        <f t="shared" si="229"/>
        <v>351.80999800000001</v>
      </c>
      <c r="N1844" s="1">
        <f t="shared" ca="1" si="230"/>
        <v>351.80999800000001</v>
      </c>
      <c r="O1844" s="5">
        <f t="shared" si="231"/>
        <v>-1.9072772343439737E-2</v>
      </c>
    </row>
    <row r="1845" spans="1:15" s="2" customFormat="1" x14ac:dyDescent="0.5">
      <c r="A1845" s="6">
        <v>43031</v>
      </c>
      <c r="B1845" s="1">
        <v>349.88000499999998</v>
      </c>
      <c r="C1845" s="1">
        <v>349.95001200000002</v>
      </c>
      <c r="D1845" s="1">
        <v>336.25</v>
      </c>
      <c r="E1845" s="1">
        <v>337.01998900000001</v>
      </c>
      <c r="F1845" s="1">
        <v>337.01998900000001</v>
      </c>
      <c r="G1845" s="2">
        <v>5747300</v>
      </c>
      <c r="H1845" s="2">
        <f t="shared" si="224"/>
        <v>2017</v>
      </c>
      <c r="I1845" s="2">
        <f t="shared" si="225"/>
        <v>10</v>
      </c>
      <c r="J1845" s="2">
        <f t="shared" si="226"/>
        <v>23</v>
      </c>
      <c r="K1845" s="2">
        <f t="shared" si="227"/>
        <v>2</v>
      </c>
      <c r="L1845" s="2">
        <f t="shared" si="228"/>
        <v>11</v>
      </c>
      <c r="M1845" s="3">
        <f t="shared" si="229"/>
        <v>345.10000600000001</v>
      </c>
      <c r="N1845" s="1">
        <f t="shared" ca="1" si="230"/>
        <v>345.10000600000001</v>
      </c>
      <c r="O1845" s="5">
        <f t="shared" si="231"/>
        <v>-2.3413552186376974E-2</v>
      </c>
    </row>
    <row r="1846" spans="1:15" s="2" customFormat="1" x14ac:dyDescent="0.5">
      <c r="A1846" s="6">
        <v>43032</v>
      </c>
      <c r="B1846" s="1">
        <v>338.79998799999998</v>
      </c>
      <c r="C1846" s="1">
        <v>342.79998799999998</v>
      </c>
      <c r="D1846" s="1">
        <v>336.16000400000001</v>
      </c>
      <c r="E1846" s="1">
        <v>337.33999599999999</v>
      </c>
      <c r="F1846" s="1">
        <v>337.33999599999999</v>
      </c>
      <c r="G1846" s="2">
        <v>4491700</v>
      </c>
      <c r="H1846" s="2">
        <f t="shared" si="224"/>
        <v>2017</v>
      </c>
      <c r="I1846" s="2">
        <f t="shared" si="225"/>
        <v>10</v>
      </c>
      <c r="J1846" s="2">
        <f t="shared" si="226"/>
        <v>24</v>
      </c>
      <c r="K1846" s="2">
        <f t="shared" si="227"/>
        <v>3</v>
      </c>
      <c r="L1846" s="2">
        <f t="shared" si="228"/>
        <v>11</v>
      </c>
      <c r="M1846" s="3">
        <f t="shared" si="229"/>
        <v>337.01998900000001</v>
      </c>
      <c r="N1846" s="1">
        <f t="shared" ca="1" si="230"/>
        <v>337.01998900000001</v>
      </c>
      <c r="O1846" s="5">
        <f t="shared" si="231"/>
        <v>9.4951934735232335E-4</v>
      </c>
    </row>
    <row r="1847" spans="1:15" s="2" customFormat="1" x14ac:dyDescent="0.5">
      <c r="A1847" s="6">
        <v>43033</v>
      </c>
      <c r="B1847" s="1">
        <v>336.70001200000002</v>
      </c>
      <c r="C1847" s="1">
        <v>337.5</v>
      </c>
      <c r="D1847" s="1">
        <v>323.55999800000001</v>
      </c>
      <c r="E1847" s="1">
        <v>325.83999599999999</v>
      </c>
      <c r="F1847" s="1">
        <v>325.83999599999999</v>
      </c>
      <c r="G1847" s="2">
        <v>8594100</v>
      </c>
      <c r="H1847" s="2">
        <f t="shared" si="224"/>
        <v>2017</v>
      </c>
      <c r="I1847" s="2">
        <f t="shared" si="225"/>
        <v>10</v>
      </c>
      <c r="J1847" s="2">
        <f t="shared" si="226"/>
        <v>25</v>
      </c>
      <c r="K1847" s="2">
        <f t="shared" si="227"/>
        <v>4</v>
      </c>
      <c r="L1847" s="2">
        <f t="shared" si="228"/>
        <v>11</v>
      </c>
      <c r="M1847" s="3">
        <f t="shared" si="229"/>
        <v>337.33999599999999</v>
      </c>
      <c r="N1847" s="1">
        <f t="shared" ca="1" si="230"/>
        <v>337.33999599999999</v>
      </c>
      <c r="O1847" s="5">
        <f t="shared" si="231"/>
        <v>-3.4090235775066535E-2</v>
      </c>
    </row>
    <row r="1848" spans="1:15" s="2" customFormat="1" x14ac:dyDescent="0.5">
      <c r="A1848" s="6">
        <v>43034</v>
      </c>
      <c r="B1848" s="1">
        <v>327.77999899999998</v>
      </c>
      <c r="C1848" s="1">
        <v>330.23001099999999</v>
      </c>
      <c r="D1848" s="1">
        <v>323.20001200000002</v>
      </c>
      <c r="E1848" s="1">
        <v>326.17001299999998</v>
      </c>
      <c r="F1848" s="1">
        <v>326.17001299999998</v>
      </c>
      <c r="G1848" s="2">
        <v>5023500</v>
      </c>
      <c r="H1848" s="2">
        <f t="shared" si="224"/>
        <v>2017</v>
      </c>
      <c r="I1848" s="2">
        <f t="shared" si="225"/>
        <v>10</v>
      </c>
      <c r="J1848" s="2">
        <f t="shared" si="226"/>
        <v>26</v>
      </c>
      <c r="K1848" s="2">
        <f t="shared" si="227"/>
        <v>5</v>
      </c>
      <c r="L1848" s="2">
        <f t="shared" si="228"/>
        <v>11</v>
      </c>
      <c r="M1848" s="3">
        <f t="shared" si="229"/>
        <v>325.83999599999999</v>
      </c>
      <c r="N1848" s="1">
        <f t="shared" ca="1" si="230"/>
        <v>325.83999599999999</v>
      </c>
      <c r="O1848" s="5">
        <f t="shared" si="231"/>
        <v>1.0128191874885228E-3</v>
      </c>
    </row>
    <row r="1849" spans="1:15" s="2" customFormat="1" x14ac:dyDescent="0.5">
      <c r="A1849" s="6">
        <v>43035</v>
      </c>
      <c r="B1849" s="1">
        <v>319.75</v>
      </c>
      <c r="C1849" s="1">
        <v>324.58999599999999</v>
      </c>
      <c r="D1849" s="1">
        <v>316.66000400000001</v>
      </c>
      <c r="E1849" s="1">
        <v>320.86999500000002</v>
      </c>
      <c r="F1849" s="1">
        <v>320.86999500000002</v>
      </c>
      <c r="G1849" s="2">
        <v>6979700</v>
      </c>
      <c r="H1849" s="2">
        <f t="shared" si="224"/>
        <v>2017</v>
      </c>
      <c r="I1849" s="2">
        <f t="shared" si="225"/>
        <v>10</v>
      </c>
      <c r="J1849" s="2">
        <f t="shared" si="226"/>
        <v>27</v>
      </c>
      <c r="K1849" s="2">
        <f t="shared" si="227"/>
        <v>6</v>
      </c>
      <c r="L1849" s="2">
        <f t="shared" si="228"/>
        <v>11</v>
      </c>
      <c r="M1849" s="3">
        <f t="shared" si="229"/>
        <v>326.17001299999998</v>
      </c>
      <c r="N1849" s="1">
        <f t="shared" ca="1" si="230"/>
        <v>326.17001299999998</v>
      </c>
      <c r="O1849" s="5">
        <f t="shared" si="231"/>
        <v>-1.6249249743261807E-2</v>
      </c>
    </row>
    <row r="1850" spans="1:15" s="2" customFormat="1" x14ac:dyDescent="0.5">
      <c r="A1850" s="6">
        <v>43038</v>
      </c>
      <c r="B1850" s="1">
        <v>319.17999300000002</v>
      </c>
      <c r="C1850" s="1">
        <v>323.77999899999998</v>
      </c>
      <c r="D1850" s="1">
        <v>317.25</v>
      </c>
      <c r="E1850" s="1">
        <v>320.07998700000002</v>
      </c>
      <c r="F1850" s="1">
        <v>320.07998700000002</v>
      </c>
      <c r="G1850" s="2">
        <v>4254400</v>
      </c>
      <c r="H1850" s="2">
        <f t="shared" si="224"/>
        <v>2017</v>
      </c>
      <c r="I1850" s="2">
        <f t="shared" si="225"/>
        <v>10</v>
      </c>
      <c r="J1850" s="2">
        <f t="shared" si="226"/>
        <v>30</v>
      </c>
      <c r="K1850" s="2">
        <f t="shared" si="227"/>
        <v>2</v>
      </c>
      <c r="L1850" s="2">
        <f t="shared" si="228"/>
        <v>11</v>
      </c>
      <c r="M1850" s="3">
        <f t="shared" si="229"/>
        <v>320.86999500000002</v>
      </c>
      <c r="N1850" s="1">
        <f t="shared" ca="1" si="230"/>
        <v>320.86999500000002</v>
      </c>
      <c r="O1850" s="5">
        <f t="shared" si="231"/>
        <v>-2.4620812550578686E-3</v>
      </c>
    </row>
    <row r="1851" spans="1:15" s="2" customFormat="1" x14ac:dyDescent="0.5">
      <c r="A1851" s="6">
        <v>43039</v>
      </c>
      <c r="B1851" s="1">
        <v>320.23001099999999</v>
      </c>
      <c r="C1851" s="1">
        <v>331.95001200000002</v>
      </c>
      <c r="D1851" s="1">
        <v>320.17999300000002</v>
      </c>
      <c r="E1851" s="1">
        <v>331.52999899999998</v>
      </c>
      <c r="F1851" s="1">
        <v>331.52999899999998</v>
      </c>
      <c r="G1851" s="2">
        <v>5672300</v>
      </c>
      <c r="H1851" s="2">
        <f t="shared" si="224"/>
        <v>2017</v>
      </c>
      <c r="I1851" s="2">
        <f t="shared" si="225"/>
        <v>10</v>
      </c>
      <c r="J1851" s="2">
        <f t="shared" si="226"/>
        <v>31</v>
      </c>
      <c r="K1851" s="2">
        <f t="shared" si="227"/>
        <v>3</v>
      </c>
      <c r="L1851" s="2">
        <f t="shared" si="228"/>
        <v>11</v>
      </c>
      <c r="M1851" s="3">
        <f t="shared" si="229"/>
        <v>320.07998700000002</v>
      </c>
      <c r="N1851" s="1">
        <f t="shared" ca="1" si="230"/>
        <v>320.07998700000002</v>
      </c>
      <c r="O1851" s="5">
        <f t="shared" si="231"/>
        <v>3.5772345866784683E-2</v>
      </c>
    </row>
    <row r="1852" spans="1:15" s="2" customFormat="1" x14ac:dyDescent="0.5">
      <c r="A1852" s="6">
        <v>43040</v>
      </c>
      <c r="B1852" s="1">
        <v>332.25</v>
      </c>
      <c r="C1852" s="1">
        <v>332.60998499999999</v>
      </c>
      <c r="D1852" s="1">
        <v>320.26001000000002</v>
      </c>
      <c r="E1852" s="1">
        <v>321.07998700000002</v>
      </c>
      <c r="F1852" s="1">
        <v>321.07998700000002</v>
      </c>
      <c r="G1852" s="2">
        <v>8457300</v>
      </c>
      <c r="H1852" s="2">
        <f t="shared" si="224"/>
        <v>2017</v>
      </c>
      <c r="I1852" s="2">
        <f t="shared" si="225"/>
        <v>11</v>
      </c>
      <c r="J1852" s="2">
        <f t="shared" si="226"/>
        <v>1</v>
      </c>
      <c r="K1852" s="2">
        <f t="shared" si="227"/>
        <v>4</v>
      </c>
      <c r="L1852" s="2">
        <f t="shared" si="228"/>
        <v>12</v>
      </c>
      <c r="M1852" s="3">
        <f t="shared" si="229"/>
        <v>331.52999899999998</v>
      </c>
      <c r="N1852" s="1">
        <f t="shared" ca="1" si="230"/>
        <v>331.52999899999998</v>
      </c>
      <c r="O1852" s="5">
        <f t="shared" si="231"/>
        <v>-3.152056233680367E-2</v>
      </c>
    </row>
    <row r="1853" spans="1:15" s="2" customFormat="1" x14ac:dyDescent="0.5">
      <c r="A1853" s="6">
        <v>43041</v>
      </c>
      <c r="B1853" s="1">
        <v>300.13000499999998</v>
      </c>
      <c r="C1853" s="1">
        <v>308.69000199999999</v>
      </c>
      <c r="D1853" s="1">
        <v>292.63000499999998</v>
      </c>
      <c r="E1853" s="1">
        <v>299.26001000000002</v>
      </c>
      <c r="F1853" s="1">
        <v>299.26001000000002</v>
      </c>
      <c r="G1853" s="2">
        <v>19791400</v>
      </c>
      <c r="H1853" s="2">
        <f t="shared" si="224"/>
        <v>2017</v>
      </c>
      <c r="I1853" s="2">
        <f t="shared" si="225"/>
        <v>11</v>
      </c>
      <c r="J1853" s="2">
        <f t="shared" si="226"/>
        <v>2</v>
      </c>
      <c r="K1853" s="2">
        <f t="shared" si="227"/>
        <v>5</v>
      </c>
      <c r="L1853" s="2">
        <f t="shared" si="228"/>
        <v>12</v>
      </c>
      <c r="M1853" s="3">
        <f t="shared" si="229"/>
        <v>321.07998700000002</v>
      </c>
      <c r="N1853" s="1">
        <f t="shared" ca="1" si="230"/>
        <v>321.07998700000002</v>
      </c>
      <c r="O1853" s="5">
        <f t="shared" si="231"/>
        <v>-6.7958072391475444E-2</v>
      </c>
    </row>
    <row r="1854" spans="1:15" s="2" customFormat="1" x14ac:dyDescent="0.5">
      <c r="A1854" s="6">
        <v>43042</v>
      </c>
      <c r="B1854" s="1">
        <v>299.5</v>
      </c>
      <c r="C1854" s="1">
        <v>306.25</v>
      </c>
      <c r="D1854" s="1">
        <v>295.13000499999998</v>
      </c>
      <c r="E1854" s="1">
        <v>306.08999599999999</v>
      </c>
      <c r="F1854" s="1">
        <v>306.08999599999999</v>
      </c>
      <c r="G1854" s="2">
        <v>8894000</v>
      </c>
      <c r="H1854" s="2">
        <f t="shared" si="224"/>
        <v>2017</v>
      </c>
      <c r="I1854" s="2">
        <f t="shared" si="225"/>
        <v>11</v>
      </c>
      <c r="J1854" s="2">
        <f t="shared" si="226"/>
        <v>3</v>
      </c>
      <c r="K1854" s="2">
        <f t="shared" si="227"/>
        <v>6</v>
      </c>
      <c r="L1854" s="2">
        <f t="shared" si="228"/>
        <v>12</v>
      </c>
      <c r="M1854" s="3">
        <f t="shared" si="229"/>
        <v>299.26001000000002</v>
      </c>
      <c r="N1854" s="1">
        <f t="shared" ca="1" si="230"/>
        <v>299.26001000000002</v>
      </c>
      <c r="O1854" s="5">
        <f t="shared" si="231"/>
        <v>2.2822915764789231E-2</v>
      </c>
    </row>
    <row r="1855" spans="1:15" s="2" customFormat="1" x14ac:dyDescent="0.5">
      <c r="A1855" s="6">
        <v>43045</v>
      </c>
      <c r="B1855" s="1">
        <v>307</v>
      </c>
      <c r="C1855" s="1">
        <v>307.5</v>
      </c>
      <c r="D1855" s="1">
        <v>299.01001000000002</v>
      </c>
      <c r="E1855" s="1">
        <v>302.77999899999998</v>
      </c>
      <c r="F1855" s="1">
        <v>302.77999899999998</v>
      </c>
      <c r="G1855" s="2">
        <v>6486000</v>
      </c>
      <c r="H1855" s="2">
        <f t="shared" si="224"/>
        <v>2017</v>
      </c>
      <c r="I1855" s="2">
        <f t="shared" si="225"/>
        <v>11</v>
      </c>
      <c r="J1855" s="2">
        <f t="shared" si="226"/>
        <v>6</v>
      </c>
      <c r="K1855" s="2">
        <f t="shared" si="227"/>
        <v>2</v>
      </c>
      <c r="L1855" s="2">
        <f t="shared" si="228"/>
        <v>12</v>
      </c>
      <c r="M1855" s="3">
        <f t="shared" si="229"/>
        <v>306.08999599999999</v>
      </c>
      <c r="N1855" s="1">
        <f t="shared" ca="1" si="230"/>
        <v>306.08999599999999</v>
      </c>
      <c r="O1855" s="5">
        <f t="shared" si="231"/>
        <v>-1.0813803271113809E-2</v>
      </c>
    </row>
    <row r="1856" spans="1:15" s="2" customFormat="1" x14ac:dyDescent="0.5">
      <c r="A1856" s="6">
        <v>43046</v>
      </c>
      <c r="B1856" s="1">
        <v>301.01998900000001</v>
      </c>
      <c r="C1856" s="1">
        <v>306.5</v>
      </c>
      <c r="D1856" s="1">
        <v>300.02999899999998</v>
      </c>
      <c r="E1856" s="1">
        <v>306.04998799999998</v>
      </c>
      <c r="F1856" s="1">
        <v>306.04998799999998</v>
      </c>
      <c r="G1856" s="2">
        <v>5294300</v>
      </c>
      <c r="H1856" s="2">
        <f t="shared" si="224"/>
        <v>2017</v>
      </c>
      <c r="I1856" s="2">
        <f t="shared" si="225"/>
        <v>11</v>
      </c>
      <c r="J1856" s="2">
        <f t="shared" si="226"/>
        <v>7</v>
      </c>
      <c r="K1856" s="2">
        <f t="shared" si="227"/>
        <v>3</v>
      </c>
      <c r="L1856" s="2">
        <f t="shared" si="228"/>
        <v>12</v>
      </c>
      <c r="M1856" s="3">
        <f t="shared" si="229"/>
        <v>302.77999899999998</v>
      </c>
      <c r="N1856" s="1">
        <f t="shared" ca="1" si="230"/>
        <v>302.77999899999998</v>
      </c>
      <c r="O1856" s="5">
        <f t="shared" si="231"/>
        <v>1.0799884440187313E-2</v>
      </c>
    </row>
    <row r="1857" spans="1:15" s="2" customFormat="1" x14ac:dyDescent="0.5">
      <c r="A1857" s="6">
        <v>43047</v>
      </c>
      <c r="B1857" s="1">
        <v>305.5</v>
      </c>
      <c r="C1857" s="1">
        <v>306.89001500000001</v>
      </c>
      <c r="D1857" s="1">
        <v>301.29998799999998</v>
      </c>
      <c r="E1857" s="1">
        <v>304.39001500000001</v>
      </c>
      <c r="F1857" s="1">
        <v>304.39001500000001</v>
      </c>
      <c r="G1857" s="2">
        <v>4725300</v>
      </c>
      <c r="H1857" s="2">
        <f t="shared" si="224"/>
        <v>2017</v>
      </c>
      <c r="I1857" s="2">
        <f t="shared" si="225"/>
        <v>11</v>
      </c>
      <c r="J1857" s="2">
        <f t="shared" si="226"/>
        <v>8</v>
      </c>
      <c r="K1857" s="2">
        <f t="shared" si="227"/>
        <v>4</v>
      </c>
      <c r="L1857" s="2">
        <f t="shared" si="228"/>
        <v>12</v>
      </c>
      <c r="M1857" s="3">
        <f t="shared" si="229"/>
        <v>306.04998799999998</v>
      </c>
      <c r="N1857" s="1">
        <f t="shared" ca="1" si="230"/>
        <v>306.04998799999998</v>
      </c>
      <c r="O1857" s="5">
        <f t="shared" si="231"/>
        <v>-5.4238623266993358E-3</v>
      </c>
    </row>
    <row r="1858" spans="1:15" s="2" customFormat="1" x14ac:dyDescent="0.5">
      <c r="A1858" s="6">
        <v>43048</v>
      </c>
      <c r="B1858" s="1">
        <v>302.5</v>
      </c>
      <c r="C1858" s="1">
        <v>304.459991</v>
      </c>
      <c r="D1858" s="1">
        <v>296.29998799999998</v>
      </c>
      <c r="E1858" s="1">
        <v>302.98998999999998</v>
      </c>
      <c r="F1858" s="1">
        <v>302.98998999999998</v>
      </c>
      <c r="G1858" s="2">
        <v>5447100</v>
      </c>
      <c r="H1858" s="2">
        <f t="shared" ref="H1858:H1921" si="232">YEAR(A1858)</f>
        <v>2017</v>
      </c>
      <c r="I1858" s="2">
        <f t="shared" ref="I1858:I1921" si="233">MONTH(A1858)</f>
        <v>11</v>
      </c>
      <c r="J1858" s="2">
        <f t="shared" ref="J1858:J1921" si="234">DAY(A1858)</f>
        <v>9</v>
      </c>
      <c r="K1858" s="2">
        <f t="shared" ref="K1858:K1921" si="235">WEEKDAY(A1858)</f>
        <v>5</v>
      </c>
      <c r="L1858" s="2">
        <f t="shared" si="228"/>
        <v>12</v>
      </c>
      <c r="M1858" s="3">
        <f t="shared" si="229"/>
        <v>304.39001500000001</v>
      </c>
      <c r="N1858" s="1">
        <f t="shared" ca="1" si="230"/>
        <v>304.39001500000001</v>
      </c>
      <c r="O1858" s="5">
        <f t="shared" si="231"/>
        <v>-4.5994445645664017E-3</v>
      </c>
    </row>
    <row r="1859" spans="1:15" s="2" customFormat="1" x14ac:dyDescent="0.5">
      <c r="A1859" s="6">
        <v>43049</v>
      </c>
      <c r="B1859" s="1">
        <v>302.5</v>
      </c>
      <c r="C1859" s="1">
        <v>308.35998499999999</v>
      </c>
      <c r="D1859" s="1">
        <v>301.85000600000001</v>
      </c>
      <c r="E1859" s="1">
        <v>302.98998999999998</v>
      </c>
      <c r="F1859" s="1">
        <v>302.98998999999998</v>
      </c>
      <c r="G1859" s="2">
        <v>4625400</v>
      </c>
      <c r="H1859" s="2">
        <f t="shared" si="232"/>
        <v>2017</v>
      </c>
      <c r="I1859" s="2">
        <f t="shared" si="233"/>
        <v>11</v>
      </c>
      <c r="J1859" s="2">
        <f t="shared" si="234"/>
        <v>10</v>
      </c>
      <c r="K1859" s="2">
        <f t="shared" si="235"/>
        <v>6</v>
      </c>
      <c r="L1859" s="2">
        <f t="shared" ref="L1859:L1922" si="236">I1859+1</f>
        <v>12</v>
      </c>
      <c r="M1859" s="3">
        <f t="shared" ref="M1859:M1922" si="237">F1858</f>
        <v>302.98998999999998</v>
      </c>
      <c r="N1859" s="1">
        <f t="shared" ref="N1859:N1922" ca="1" si="238">OFFSET(F1859, -1, 0)</f>
        <v>302.98998999999998</v>
      </c>
      <c r="O1859" s="5">
        <f t="shared" ref="O1859:O1922" si="239">(F1859/M1859)-1</f>
        <v>0</v>
      </c>
    </row>
    <row r="1860" spans="1:15" s="2" customFormat="1" x14ac:dyDescent="0.5">
      <c r="A1860" s="6">
        <v>43052</v>
      </c>
      <c r="B1860" s="1">
        <v>300.13000499999998</v>
      </c>
      <c r="C1860" s="1">
        <v>316.79998799999998</v>
      </c>
      <c r="D1860" s="1">
        <v>299.10998499999999</v>
      </c>
      <c r="E1860" s="1">
        <v>315.39999399999999</v>
      </c>
      <c r="F1860" s="1">
        <v>315.39999399999999</v>
      </c>
      <c r="G1860" s="2">
        <v>7584900</v>
      </c>
      <c r="H1860" s="2">
        <f t="shared" si="232"/>
        <v>2017</v>
      </c>
      <c r="I1860" s="2">
        <f t="shared" si="233"/>
        <v>11</v>
      </c>
      <c r="J1860" s="2">
        <f t="shared" si="234"/>
        <v>13</v>
      </c>
      <c r="K1860" s="2">
        <f t="shared" si="235"/>
        <v>2</v>
      </c>
      <c r="L1860" s="2">
        <f t="shared" si="236"/>
        <v>12</v>
      </c>
      <c r="M1860" s="3">
        <f t="shared" si="237"/>
        <v>302.98998999999998</v>
      </c>
      <c r="N1860" s="1">
        <f t="shared" ca="1" si="238"/>
        <v>302.98998999999998</v>
      </c>
      <c r="O1860" s="5">
        <f t="shared" si="239"/>
        <v>4.0958462027078868E-2</v>
      </c>
    </row>
    <row r="1861" spans="1:15" s="2" customFormat="1" x14ac:dyDescent="0.5">
      <c r="A1861" s="6">
        <v>43053</v>
      </c>
      <c r="B1861" s="1">
        <v>315</v>
      </c>
      <c r="C1861" s="1">
        <v>316.35000600000001</v>
      </c>
      <c r="D1861" s="1">
        <v>306.89999399999999</v>
      </c>
      <c r="E1861" s="1">
        <v>308.70001200000002</v>
      </c>
      <c r="F1861" s="1">
        <v>308.70001200000002</v>
      </c>
      <c r="G1861" s="2">
        <v>5676100</v>
      </c>
      <c r="H1861" s="2">
        <f t="shared" si="232"/>
        <v>2017</v>
      </c>
      <c r="I1861" s="2">
        <f t="shared" si="233"/>
        <v>11</v>
      </c>
      <c r="J1861" s="2">
        <f t="shared" si="234"/>
        <v>14</v>
      </c>
      <c r="K1861" s="2">
        <f t="shared" si="235"/>
        <v>3</v>
      </c>
      <c r="L1861" s="2">
        <f t="shared" si="236"/>
        <v>12</v>
      </c>
      <c r="M1861" s="3">
        <f t="shared" si="237"/>
        <v>315.39999399999999</v>
      </c>
      <c r="N1861" s="1">
        <f t="shared" ca="1" si="238"/>
        <v>315.39999399999999</v>
      </c>
      <c r="O1861" s="5">
        <f t="shared" si="239"/>
        <v>-2.1242809535373608E-2</v>
      </c>
    </row>
    <row r="1862" spans="1:15" s="2" customFormat="1" x14ac:dyDescent="0.5">
      <c r="A1862" s="6">
        <v>43054</v>
      </c>
      <c r="B1862" s="1">
        <v>306.01001000000002</v>
      </c>
      <c r="C1862" s="1">
        <v>312.48998999999998</v>
      </c>
      <c r="D1862" s="1">
        <v>301.5</v>
      </c>
      <c r="E1862" s="1">
        <v>311.29998799999998</v>
      </c>
      <c r="F1862" s="1">
        <v>311.29998799999998</v>
      </c>
      <c r="G1862" s="2">
        <v>5978700</v>
      </c>
      <c r="H1862" s="2">
        <f t="shared" si="232"/>
        <v>2017</v>
      </c>
      <c r="I1862" s="2">
        <f t="shared" si="233"/>
        <v>11</v>
      </c>
      <c r="J1862" s="2">
        <f t="shared" si="234"/>
        <v>15</v>
      </c>
      <c r="K1862" s="2">
        <f t="shared" si="235"/>
        <v>4</v>
      </c>
      <c r="L1862" s="2">
        <f t="shared" si="236"/>
        <v>12</v>
      </c>
      <c r="M1862" s="3">
        <f t="shared" si="237"/>
        <v>308.70001200000002</v>
      </c>
      <c r="N1862" s="1">
        <f t="shared" ca="1" si="238"/>
        <v>308.70001200000002</v>
      </c>
      <c r="O1862" s="5">
        <f t="shared" si="239"/>
        <v>8.4223385128989747E-3</v>
      </c>
    </row>
    <row r="1863" spans="1:15" s="2" customFormat="1" x14ac:dyDescent="0.5">
      <c r="A1863" s="6">
        <v>43055</v>
      </c>
      <c r="B1863" s="1">
        <v>313.98998999999998</v>
      </c>
      <c r="C1863" s="1">
        <v>318.14001500000001</v>
      </c>
      <c r="D1863" s="1">
        <v>311.29998799999998</v>
      </c>
      <c r="E1863" s="1">
        <v>312.5</v>
      </c>
      <c r="F1863" s="1">
        <v>312.5</v>
      </c>
      <c r="G1863" s="2">
        <v>5822100</v>
      </c>
      <c r="H1863" s="2">
        <f t="shared" si="232"/>
        <v>2017</v>
      </c>
      <c r="I1863" s="2">
        <f t="shared" si="233"/>
        <v>11</v>
      </c>
      <c r="J1863" s="2">
        <f t="shared" si="234"/>
        <v>16</v>
      </c>
      <c r="K1863" s="2">
        <f t="shared" si="235"/>
        <v>5</v>
      </c>
      <c r="L1863" s="2">
        <f t="shared" si="236"/>
        <v>12</v>
      </c>
      <c r="M1863" s="3">
        <f t="shared" si="237"/>
        <v>311.29998799999998</v>
      </c>
      <c r="N1863" s="1">
        <f t="shared" ca="1" si="238"/>
        <v>311.29998799999998</v>
      </c>
      <c r="O1863" s="5">
        <f t="shared" si="239"/>
        <v>3.8548411379959457E-3</v>
      </c>
    </row>
    <row r="1864" spans="1:15" s="2" customFormat="1" x14ac:dyDescent="0.5">
      <c r="A1864" s="6">
        <v>43056</v>
      </c>
      <c r="B1864" s="1">
        <v>325.67001299999998</v>
      </c>
      <c r="C1864" s="1">
        <v>326.67001299999998</v>
      </c>
      <c r="D1864" s="1">
        <v>313.14999399999999</v>
      </c>
      <c r="E1864" s="1">
        <v>315.04998799999998</v>
      </c>
      <c r="F1864" s="1">
        <v>315.04998799999998</v>
      </c>
      <c r="G1864" s="2">
        <v>13735100</v>
      </c>
      <c r="H1864" s="2">
        <f t="shared" si="232"/>
        <v>2017</v>
      </c>
      <c r="I1864" s="2">
        <f t="shared" si="233"/>
        <v>11</v>
      </c>
      <c r="J1864" s="2">
        <f t="shared" si="234"/>
        <v>17</v>
      </c>
      <c r="K1864" s="2">
        <f t="shared" si="235"/>
        <v>6</v>
      </c>
      <c r="L1864" s="2">
        <f t="shared" si="236"/>
        <v>12</v>
      </c>
      <c r="M1864" s="3">
        <f t="shared" si="237"/>
        <v>312.5</v>
      </c>
      <c r="N1864" s="1">
        <f t="shared" ca="1" si="238"/>
        <v>312.5</v>
      </c>
      <c r="O1864" s="5">
        <f t="shared" si="239"/>
        <v>8.1599615999998765E-3</v>
      </c>
    </row>
    <row r="1865" spans="1:15" s="2" customFormat="1" x14ac:dyDescent="0.5">
      <c r="A1865" s="6">
        <v>43059</v>
      </c>
      <c r="B1865" s="1">
        <v>313.790009</v>
      </c>
      <c r="C1865" s="1">
        <v>315.5</v>
      </c>
      <c r="D1865" s="1">
        <v>304.75</v>
      </c>
      <c r="E1865" s="1">
        <v>308.73998999999998</v>
      </c>
      <c r="F1865" s="1">
        <v>308.73998999999998</v>
      </c>
      <c r="G1865" s="2">
        <v>8247700</v>
      </c>
      <c r="H1865" s="2">
        <f t="shared" si="232"/>
        <v>2017</v>
      </c>
      <c r="I1865" s="2">
        <f t="shared" si="233"/>
        <v>11</v>
      </c>
      <c r="J1865" s="2">
        <f t="shared" si="234"/>
        <v>20</v>
      </c>
      <c r="K1865" s="2">
        <f t="shared" si="235"/>
        <v>2</v>
      </c>
      <c r="L1865" s="2">
        <f t="shared" si="236"/>
        <v>12</v>
      </c>
      <c r="M1865" s="3">
        <f t="shared" si="237"/>
        <v>315.04998799999998</v>
      </c>
      <c r="N1865" s="1">
        <f t="shared" ca="1" si="238"/>
        <v>315.04998799999998</v>
      </c>
      <c r="O1865" s="5">
        <f t="shared" si="239"/>
        <v>-2.0028561308816806E-2</v>
      </c>
    </row>
    <row r="1866" spans="1:15" s="2" customFormat="1" x14ac:dyDescent="0.5">
      <c r="A1866" s="6">
        <v>43060</v>
      </c>
      <c r="B1866" s="1">
        <v>310.85998499999999</v>
      </c>
      <c r="C1866" s="1">
        <v>318.23001099999999</v>
      </c>
      <c r="D1866" s="1">
        <v>308.709991</v>
      </c>
      <c r="E1866" s="1">
        <v>317.80999800000001</v>
      </c>
      <c r="F1866" s="1">
        <v>317.80999800000001</v>
      </c>
      <c r="G1866" s="2">
        <v>7261300</v>
      </c>
      <c r="H1866" s="2">
        <f t="shared" si="232"/>
        <v>2017</v>
      </c>
      <c r="I1866" s="2">
        <f t="shared" si="233"/>
        <v>11</v>
      </c>
      <c r="J1866" s="2">
        <f t="shared" si="234"/>
        <v>21</v>
      </c>
      <c r="K1866" s="2">
        <f t="shared" si="235"/>
        <v>3</v>
      </c>
      <c r="L1866" s="2">
        <f t="shared" si="236"/>
        <v>12</v>
      </c>
      <c r="M1866" s="3">
        <f t="shared" si="237"/>
        <v>308.73998999999998</v>
      </c>
      <c r="N1866" s="1">
        <f t="shared" ca="1" si="238"/>
        <v>308.73998999999998</v>
      </c>
      <c r="O1866" s="5">
        <f t="shared" si="239"/>
        <v>2.9377496578917528E-2</v>
      </c>
    </row>
    <row r="1867" spans="1:15" s="2" customFormat="1" x14ac:dyDescent="0.5">
      <c r="A1867" s="6">
        <v>43061</v>
      </c>
      <c r="B1867" s="1">
        <v>316.76998900000001</v>
      </c>
      <c r="C1867" s="1">
        <v>317.42001299999998</v>
      </c>
      <c r="D1867" s="1">
        <v>311.83999599999999</v>
      </c>
      <c r="E1867" s="1">
        <v>312.60000600000001</v>
      </c>
      <c r="F1867" s="1">
        <v>312.60000600000001</v>
      </c>
      <c r="G1867" s="2">
        <v>4917600</v>
      </c>
      <c r="H1867" s="2">
        <f t="shared" si="232"/>
        <v>2017</v>
      </c>
      <c r="I1867" s="2">
        <f t="shared" si="233"/>
        <v>11</v>
      </c>
      <c r="J1867" s="2">
        <f t="shared" si="234"/>
        <v>22</v>
      </c>
      <c r="K1867" s="2">
        <f t="shared" si="235"/>
        <v>4</v>
      </c>
      <c r="L1867" s="2">
        <f t="shared" si="236"/>
        <v>12</v>
      </c>
      <c r="M1867" s="3">
        <f t="shared" si="237"/>
        <v>317.80999800000001</v>
      </c>
      <c r="N1867" s="1">
        <f t="shared" ca="1" si="238"/>
        <v>317.80999800000001</v>
      </c>
      <c r="O1867" s="5">
        <f t="shared" si="239"/>
        <v>-1.6393417553842937E-2</v>
      </c>
    </row>
    <row r="1868" spans="1:15" s="2" customFormat="1" x14ac:dyDescent="0.5">
      <c r="A1868" s="6">
        <v>43063</v>
      </c>
      <c r="B1868" s="1">
        <v>313.790009</v>
      </c>
      <c r="C1868" s="1">
        <v>316.41000400000001</v>
      </c>
      <c r="D1868" s="1">
        <v>311</v>
      </c>
      <c r="E1868" s="1">
        <v>315.54998799999998</v>
      </c>
      <c r="F1868" s="1">
        <v>315.54998799999998</v>
      </c>
      <c r="G1868" s="2">
        <v>3244100</v>
      </c>
      <c r="H1868" s="2">
        <f t="shared" si="232"/>
        <v>2017</v>
      </c>
      <c r="I1868" s="2">
        <f t="shared" si="233"/>
        <v>11</v>
      </c>
      <c r="J1868" s="2">
        <f t="shared" si="234"/>
        <v>24</v>
      </c>
      <c r="K1868" s="2">
        <f t="shared" si="235"/>
        <v>6</v>
      </c>
      <c r="L1868" s="2">
        <f t="shared" si="236"/>
        <v>12</v>
      </c>
      <c r="M1868" s="3">
        <f t="shared" si="237"/>
        <v>312.60000600000001</v>
      </c>
      <c r="N1868" s="1">
        <f t="shared" ca="1" si="238"/>
        <v>312.60000600000001</v>
      </c>
      <c r="O1868" s="5">
        <f t="shared" si="239"/>
        <v>9.4369224036419119E-3</v>
      </c>
    </row>
    <row r="1869" spans="1:15" s="2" customFormat="1" x14ac:dyDescent="0.5">
      <c r="A1869" s="6">
        <v>43066</v>
      </c>
      <c r="B1869" s="1">
        <v>313.25</v>
      </c>
      <c r="C1869" s="1">
        <v>317.33999599999999</v>
      </c>
      <c r="D1869" s="1">
        <v>309.51001000000002</v>
      </c>
      <c r="E1869" s="1">
        <v>316.80999800000001</v>
      </c>
      <c r="F1869" s="1">
        <v>316.80999800000001</v>
      </c>
      <c r="G1869" s="2">
        <v>4555900</v>
      </c>
      <c r="H1869" s="2">
        <f t="shared" si="232"/>
        <v>2017</v>
      </c>
      <c r="I1869" s="2">
        <f t="shared" si="233"/>
        <v>11</v>
      </c>
      <c r="J1869" s="2">
        <f t="shared" si="234"/>
        <v>27</v>
      </c>
      <c r="K1869" s="2">
        <f t="shared" si="235"/>
        <v>2</v>
      </c>
      <c r="L1869" s="2">
        <f t="shared" si="236"/>
        <v>12</v>
      </c>
      <c r="M1869" s="3">
        <f t="shared" si="237"/>
        <v>315.54998799999998</v>
      </c>
      <c r="N1869" s="1">
        <f t="shared" ca="1" si="238"/>
        <v>315.54998799999998</v>
      </c>
      <c r="O1869" s="5">
        <f t="shared" si="239"/>
        <v>3.9930598888187063E-3</v>
      </c>
    </row>
    <row r="1870" spans="1:15" s="2" customFormat="1" x14ac:dyDescent="0.5">
      <c r="A1870" s="6">
        <v>43067</v>
      </c>
      <c r="B1870" s="1">
        <v>316.35998499999999</v>
      </c>
      <c r="C1870" s="1">
        <v>320</v>
      </c>
      <c r="D1870" s="1">
        <v>313.92001299999998</v>
      </c>
      <c r="E1870" s="1">
        <v>317.54998799999998</v>
      </c>
      <c r="F1870" s="1">
        <v>317.54998799999998</v>
      </c>
      <c r="G1870" s="2">
        <v>4949500</v>
      </c>
      <c r="H1870" s="2">
        <f t="shared" si="232"/>
        <v>2017</v>
      </c>
      <c r="I1870" s="2">
        <f t="shared" si="233"/>
        <v>11</v>
      </c>
      <c r="J1870" s="2">
        <f t="shared" si="234"/>
        <v>28</v>
      </c>
      <c r="K1870" s="2">
        <f t="shared" si="235"/>
        <v>3</v>
      </c>
      <c r="L1870" s="2">
        <f t="shared" si="236"/>
        <v>12</v>
      </c>
      <c r="M1870" s="3">
        <f t="shared" si="237"/>
        <v>316.80999800000001</v>
      </c>
      <c r="N1870" s="1">
        <f t="shared" ca="1" si="238"/>
        <v>316.80999800000001</v>
      </c>
      <c r="O1870" s="5">
        <f t="shared" si="239"/>
        <v>2.3357533053611768E-3</v>
      </c>
    </row>
    <row r="1871" spans="1:15" s="2" customFormat="1" x14ac:dyDescent="0.5">
      <c r="A1871" s="6">
        <v>43068</v>
      </c>
      <c r="B1871" s="1">
        <v>317.29998799999998</v>
      </c>
      <c r="C1871" s="1">
        <v>318</v>
      </c>
      <c r="D1871" s="1">
        <v>301.23001099999999</v>
      </c>
      <c r="E1871" s="1">
        <v>307.540009</v>
      </c>
      <c r="F1871" s="1">
        <v>307.540009</v>
      </c>
      <c r="G1871" s="2">
        <v>8767400</v>
      </c>
      <c r="H1871" s="2">
        <f t="shared" si="232"/>
        <v>2017</v>
      </c>
      <c r="I1871" s="2">
        <f t="shared" si="233"/>
        <v>11</v>
      </c>
      <c r="J1871" s="2">
        <f t="shared" si="234"/>
        <v>29</v>
      </c>
      <c r="K1871" s="2">
        <f t="shared" si="235"/>
        <v>4</v>
      </c>
      <c r="L1871" s="2">
        <f t="shared" si="236"/>
        <v>12</v>
      </c>
      <c r="M1871" s="3">
        <f t="shared" si="237"/>
        <v>317.54998799999998</v>
      </c>
      <c r="N1871" s="1">
        <f t="shared" ca="1" si="238"/>
        <v>317.54998799999998</v>
      </c>
      <c r="O1871" s="5">
        <f t="shared" si="239"/>
        <v>-3.1522529926847231E-2</v>
      </c>
    </row>
    <row r="1872" spans="1:15" s="2" customFormat="1" x14ac:dyDescent="0.5">
      <c r="A1872" s="6">
        <v>43069</v>
      </c>
      <c r="B1872" s="1">
        <v>308.55999800000001</v>
      </c>
      <c r="C1872" s="1">
        <v>310.70001200000002</v>
      </c>
      <c r="D1872" s="1">
        <v>304.540009</v>
      </c>
      <c r="E1872" s="1">
        <v>308.85000600000001</v>
      </c>
      <c r="F1872" s="1">
        <v>308.85000600000001</v>
      </c>
      <c r="G1872" s="2">
        <v>4351600</v>
      </c>
      <c r="H1872" s="2">
        <f t="shared" si="232"/>
        <v>2017</v>
      </c>
      <c r="I1872" s="2">
        <f t="shared" si="233"/>
        <v>11</v>
      </c>
      <c r="J1872" s="2">
        <f t="shared" si="234"/>
        <v>30</v>
      </c>
      <c r="K1872" s="2">
        <f t="shared" si="235"/>
        <v>5</v>
      </c>
      <c r="L1872" s="2">
        <f t="shared" si="236"/>
        <v>12</v>
      </c>
      <c r="M1872" s="3">
        <f t="shared" si="237"/>
        <v>307.540009</v>
      </c>
      <c r="N1872" s="1">
        <f t="shared" ca="1" si="238"/>
        <v>307.540009</v>
      </c>
      <c r="O1872" s="5">
        <f t="shared" si="239"/>
        <v>4.2595986267270902E-3</v>
      </c>
    </row>
    <row r="1873" spans="1:15" s="2" customFormat="1" x14ac:dyDescent="0.5">
      <c r="A1873" s="6">
        <v>43070</v>
      </c>
      <c r="B1873" s="1">
        <v>305.44000199999999</v>
      </c>
      <c r="C1873" s="1">
        <v>310.32000699999998</v>
      </c>
      <c r="D1873" s="1">
        <v>305.04998799999998</v>
      </c>
      <c r="E1873" s="1">
        <v>306.52999899999998</v>
      </c>
      <c r="F1873" s="1">
        <v>306.52999899999998</v>
      </c>
      <c r="G1873" s="2">
        <v>4292900</v>
      </c>
      <c r="H1873" s="2">
        <f t="shared" si="232"/>
        <v>2017</v>
      </c>
      <c r="I1873" s="2">
        <f t="shared" si="233"/>
        <v>12</v>
      </c>
      <c r="J1873" s="2">
        <f t="shared" si="234"/>
        <v>1</v>
      </c>
      <c r="K1873" s="2">
        <f t="shared" si="235"/>
        <v>6</v>
      </c>
      <c r="L1873" s="2">
        <f t="shared" si="236"/>
        <v>13</v>
      </c>
      <c r="M1873" s="3">
        <f t="shared" si="237"/>
        <v>308.85000600000001</v>
      </c>
      <c r="N1873" s="1">
        <f t="shared" ca="1" si="238"/>
        <v>308.85000600000001</v>
      </c>
      <c r="O1873" s="5">
        <f t="shared" si="239"/>
        <v>-7.5117596079956606E-3</v>
      </c>
    </row>
    <row r="1874" spans="1:15" s="2" customFormat="1" x14ac:dyDescent="0.5">
      <c r="A1874" s="6">
        <v>43073</v>
      </c>
      <c r="B1874" s="1">
        <v>306.5</v>
      </c>
      <c r="C1874" s="1">
        <v>308.26998900000001</v>
      </c>
      <c r="D1874" s="1">
        <v>300.60998499999999</v>
      </c>
      <c r="E1874" s="1">
        <v>305.20001200000002</v>
      </c>
      <c r="F1874" s="1">
        <v>305.20001200000002</v>
      </c>
      <c r="G1874" s="2">
        <v>5835100</v>
      </c>
      <c r="H1874" s="2">
        <f t="shared" si="232"/>
        <v>2017</v>
      </c>
      <c r="I1874" s="2">
        <f t="shared" si="233"/>
        <v>12</v>
      </c>
      <c r="J1874" s="2">
        <f t="shared" si="234"/>
        <v>4</v>
      </c>
      <c r="K1874" s="2">
        <f t="shared" si="235"/>
        <v>2</v>
      </c>
      <c r="L1874" s="2">
        <f t="shared" si="236"/>
        <v>13</v>
      </c>
      <c r="M1874" s="3">
        <f t="shared" si="237"/>
        <v>306.52999899999998</v>
      </c>
      <c r="N1874" s="1">
        <f t="shared" ca="1" si="238"/>
        <v>306.52999899999998</v>
      </c>
      <c r="O1874" s="5">
        <f t="shared" si="239"/>
        <v>-4.3388477615202703E-3</v>
      </c>
    </row>
    <row r="1875" spans="1:15" s="2" customFormat="1" x14ac:dyDescent="0.5">
      <c r="A1875" s="6">
        <v>43074</v>
      </c>
      <c r="B1875" s="1">
        <v>302</v>
      </c>
      <c r="C1875" s="1">
        <v>308</v>
      </c>
      <c r="D1875" s="1">
        <v>301</v>
      </c>
      <c r="E1875" s="1">
        <v>303.70001200000002</v>
      </c>
      <c r="F1875" s="1">
        <v>303.70001200000002</v>
      </c>
      <c r="G1875" s="2">
        <v>4646500</v>
      </c>
      <c r="H1875" s="2">
        <f t="shared" si="232"/>
        <v>2017</v>
      </c>
      <c r="I1875" s="2">
        <f t="shared" si="233"/>
        <v>12</v>
      </c>
      <c r="J1875" s="2">
        <f t="shared" si="234"/>
        <v>5</v>
      </c>
      <c r="K1875" s="2">
        <f t="shared" si="235"/>
        <v>3</v>
      </c>
      <c r="L1875" s="2">
        <f t="shared" si="236"/>
        <v>13</v>
      </c>
      <c r="M1875" s="3">
        <f t="shared" si="237"/>
        <v>305.20001200000002</v>
      </c>
      <c r="N1875" s="1">
        <f t="shared" ca="1" si="238"/>
        <v>305.20001200000002</v>
      </c>
      <c r="O1875" s="5">
        <f t="shared" si="239"/>
        <v>-4.9148097674386326E-3</v>
      </c>
    </row>
    <row r="1876" spans="1:15" s="2" customFormat="1" x14ac:dyDescent="0.5">
      <c r="A1876" s="6">
        <v>43075</v>
      </c>
      <c r="B1876" s="1">
        <v>300.10000600000001</v>
      </c>
      <c r="C1876" s="1">
        <v>313.39001500000001</v>
      </c>
      <c r="D1876" s="1">
        <v>300</v>
      </c>
      <c r="E1876" s="1">
        <v>313.26001000000002</v>
      </c>
      <c r="F1876" s="1">
        <v>313.26001000000002</v>
      </c>
      <c r="G1876" s="2">
        <v>7195300</v>
      </c>
      <c r="H1876" s="2">
        <f t="shared" si="232"/>
        <v>2017</v>
      </c>
      <c r="I1876" s="2">
        <f t="shared" si="233"/>
        <v>12</v>
      </c>
      <c r="J1876" s="2">
        <f t="shared" si="234"/>
        <v>6</v>
      </c>
      <c r="K1876" s="2">
        <f t="shared" si="235"/>
        <v>4</v>
      </c>
      <c r="L1876" s="2">
        <f t="shared" si="236"/>
        <v>13</v>
      </c>
      <c r="M1876" s="3">
        <f t="shared" si="237"/>
        <v>303.70001200000002</v>
      </c>
      <c r="N1876" s="1">
        <f t="shared" ca="1" si="238"/>
        <v>303.70001200000002</v>
      </c>
      <c r="O1876" s="5">
        <f t="shared" si="239"/>
        <v>3.1478424834570085E-2</v>
      </c>
    </row>
    <row r="1877" spans="1:15" s="2" customFormat="1" x14ac:dyDescent="0.5">
      <c r="A1877" s="6">
        <v>43076</v>
      </c>
      <c r="B1877" s="1">
        <v>312</v>
      </c>
      <c r="C1877" s="1">
        <v>318.63000499999998</v>
      </c>
      <c r="D1877" s="1">
        <v>311.04998799999998</v>
      </c>
      <c r="E1877" s="1">
        <v>311.23998999999998</v>
      </c>
      <c r="F1877" s="1">
        <v>311.23998999999998</v>
      </c>
      <c r="G1877" s="2">
        <v>4780600</v>
      </c>
      <c r="H1877" s="2">
        <f t="shared" si="232"/>
        <v>2017</v>
      </c>
      <c r="I1877" s="2">
        <f t="shared" si="233"/>
        <v>12</v>
      </c>
      <c r="J1877" s="2">
        <f t="shared" si="234"/>
        <v>7</v>
      </c>
      <c r="K1877" s="2">
        <f t="shared" si="235"/>
        <v>5</v>
      </c>
      <c r="L1877" s="2">
        <f t="shared" si="236"/>
        <v>13</v>
      </c>
      <c r="M1877" s="3">
        <f t="shared" si="237"/>
        <v>313.26001000000002</v>
      </c>
      <c r="N1877" s="1">
        <f t="shared" ca="1" si="238"/>
        <v>313.26001000000002</v>
      </c>
      <c r="O1877" s="5">
        <f t="shared" si="239"/>
        <v>-6.4483813302567139E-3</v>
      </c>
    </row>
    <row r="1878" spans="1:15" s="2" customFormat="1" x14ac:dyDescent="0.5">
      <c r="A1878" s="6">
        <v>43077</v>
      </c>
      <c r="B1878" s="1">
        <v>314.60000600000001</v>
      </c>
      <c r="C1878" s="1">
        <v>316.98001099999999</v>
      </c>
      <c r="D1878" s="1">
        <v>311.26001000000002</v>
      </c>
      <c r="E1878" s="1">
        <v>315.13000499999998</v>
      </c>
      <c r="F1878" s="1">
        <v>315.13000499999998</v>
      </c>
      <c r="G1878" s="2">
        <v>3468500</v>
      </c>
      <c r="H1878" s="2">
        <f t="shared" si="232"/>
        <v>2017</v>
      </c>
      <c r="I1878" s="2">
        <f t="shared" si="233"/>
        <v>12</v>
      </c>
      <c r="J1878" s="2">
        <f t="shared" si="234"/>
        <v>8</v>
      </c>
      <c r="K1878" s="2">
        <f t="shared" si="235"/>
        <v>6</v>
      </c>
      <c r="L1878" s="2">
        <f t="shared" si="236"/>
        <v>13</v>
      </c>
      <c r="M1878" s="3">
        <f t="shared" si="237"/>
        <v>311.23998999999998</v>
      </c>
      <c r="N1878" s="1">
        <f t="shared" ca="1" si="238"/>
        <v>311.23998999999998</v>
      </c>
      <c r="O1878" s="5">
        <f t="shared" si="239"/>
        <v>1.2498442118572317E-2</v>
      </c>
    </row>
    <row r="1879" spans="1:15" s="2" customFormat="1" x14ac:dyDescent="0.5">
      <c r="A1879" s="6">
        <v>43080</v>
      </c>
      <c r="B1879" s="1">
        <v>314.63000499999998</v>
      </c>
      <c r="C1879" s="1">
        <v>329.01001000000002</v>
      </c>
      <c r="D1879" s="1">
        <v>313.75</v>
      </c>
      <c r="E1879" s="1">
        <v>328.91000400000001</v>
      </c>
      <c r="F1879" s="1">
        <v>328.91000400000001</v>
      </c>
      <c r="G1879" s="2">
        <v>7938000</v>
      </c>
      <c r="H1879" s="2">
        <f t="shared" si="232"/>
        <v>2017</v>
      </c>
      <c r="I1879" s="2">
        <f t="shared" si="233"/>
        <v>12</v>
      </c>
      <c r="J1879" s="2">
        <f t="shared" si="234"/>
        <v>11</v>
      </c>
      <c r="K1879" s="2">
        <f t="shared" si="235"/>
        <v>2</v>
      </c>
      <c r="L1879" s="2">
        <f t="shared" si="236"/>
        <v>13</v>
      </c>
      <c r="M1879" s="3">
        <f t="shared" si="237"/>
        <v>315.13000499999998</v>
      </c>
      <c r="N1879" s="1">
        <f t="shared" ca="1" si="238"/>
        <v>315.13000499999998</v>
      </c>
      <c r="O1879" s="5">
        <f t="shared" si="239"/>
        <v>4.3727981408815841E-2</v>
      </c>
    </row>
    <row r="1880" spans="1:15" s="2" customFormat="1" x14ac:dyDescent="0.5">
      <c r="A1880" s="6">
        <v>43081</v>
      </c>
      <c r="B1880" s="1">
        <v>330.45001200000002</v>
      </c>
      <c r="C1880" s="1">
        <v>341.44000199999999</v>
      </c>
      <c r="D1880" s="1">
        <v>330.02999899999998</v>
      </c>
      <c r="E1880" s="1">
        <v>341.02999899999998</v>
      </c>
      <c r="F1880" s="1">
        <v>341.02999899999998</v>
      </c>
      <c r="G1880" s="2">
        <v>8733200</v>
      </c>
      <c r="H1880" s="2">
        <f t="shared" si="232"/>
        <v>2017</v>
      </c>
      <c r="I1880" s="2">
        <f t="shared" si="233"/>
        <v>12</v>
      </c>
      <c r="J1880" s="2">
        <f t="shared" si="234"/>
        <v>12</v>
      </c>
      <c r="K1880" s="2">
        <f t="shared" si="235"/>
        <v>3</v>
      </c>
      <c r="L1880" s="2">
        <f t="shared" si="236"/>
        <v>13</v>
      </c>
      <c r="M1880" s="3">
        <f t="shared" si="237"/>
        <v>328.91000400000001</v>
      </c>
      <c r="N1880" s="1">
        <f t="shared" ca="1" si="238"/>
        <v>328.91000400000001</v>
      </c>
      <c r="O1880" s="5">
        <f t="shared" si="239"/>
        <v>3.6848970394953273E-2</v>
      </c>
    </row>
    <row r="1881" spans="1:15" s="2" customFormat="1" x14ac:dyDescent="0.5">
      <c r="A1881" s="6">
        <v>43082</v>
      </c>
      <c r="B1881" s="1">
        <v>340.92999300000002</v>
      </c>
      <c r="C1881" s="1">
        <v>344.22000100000002</v>
      </c>
      <c r="D1881" s="1">
        <v>336.5</v>
      </c>
      <c r="E1881" s="1">
        <v>339.02999899999998</v>
      </c>
      <c r="F1881" s="1">
        <v>339.02999899999998</v>
      </c>
      <c r="G1881" s="2">
        <v>6221500</v>
      </c>
      <c r="H1881" s="2">
        <f t="shared" si="232"/>
        <v>2017</v>
      </c>
      <c r="I1881" s="2">
        <f t="shared" si="233"/>
        <v>12</v>
      </c>
      <c r="J1881" s="2">
        <f t="shared" si="234"/>
        <v>13</v>
      </c>
      <c r="K1881" s="2">
        <f t="shared" si="235"/>
        <v>4</v>
      </c>
      <c r="L1881" s="2">
        <f t="shared" si="236"/>
        <v>13</v>
      </c>
      <c r="M1881" s="3">
        <f t="shared" si="237"/>
        <v>341.02999899999998</v>
      </c>
      <c r="N1881" s="1">
        <f t="shared" ca="1" si="238"/>
        <v>341.02999899999998</v>
      </c>
      <c r="O1881" s="5">
        <f t="shared" si="239"/>
        <v>-5.8645867104495375E-3</v>
      </c>
    </row>
    <row r="1882" spans="1:15" s="2" customFormat="1" x14ac:dyDescent="0.5">
      <c r="A1882" s="6">
        <v>43083</v>
      </c>
      <c r="B1882" s="1">
        <v>341.01001000000002</v>
      </c>
      <c r="C1882" s="1">
        <v>347.44000199999999</v>
      </c>
      <c r="D1882" s="1">
        <v>336.89999399999999</v>
      </c>
      <c r="E1882" s="1">
        <v>337.89001500000001</v>
      </c>
      <c r="F1882" s="1">
        <v>337.89001500000001</v>
      </c>
      <c r="G1882" s="2">
        <v>5799900</v>
      </c>
      <c r="H1882" s="2">
        <f t="shared" si="232"/>
        <v>2017</v>
      </c>
      <c r="I1882" s="2">
        <f t="shared" si="233"/>
        <v>12</v>
      </c>
      <c r="J1882" s="2">
        <f t="shared" si="234"/>
        <v>14</v>
      </c>
      <c r="K1882" s="2">
        <f t="shared" si="235"/>
        <v>5</v>
      </c>
      <c r="L1882" s="2">
        <f t="shared" si="236"/>
        <v>13</v>
      </c>
      <c r="M1882" s="3">
        <f t="shared" si="237"/>
        <v>339.02999899999998</v>
      </c>
      <c r="N1882" s="1">
        <f t="shared" ca="1" si="238"/>
        <v>339.02999899999998</v>
      </c>
      <c r="O1882" s="5">
        <f t="shared" si="239"/>
        <v>-3.3624871054551697E-3</v>
      </c>
    </row>
    <row r="1883" spans="1:15" s="2" customFormat="1" x14ac:dyDescent="0.5">
      <c r="A1883" s="6">
        <v>43084</v>
      </c>
      <c r="B1883" s="1">
        <v>342.040009</v>
      </c>
      <c r="C1883" s="1">
        <v>343.89999399999999</v>
      </c>
      <c r="D1883" s="1">
        <v>335.76001000000002</v>
      </c>
      <c r="E1883" s="1">
        <v>343.45001200000002</v>
      </c>
      <c r="F1883" s="1">
        <v>343.45001200000002</v>
      </c>
      <c r="G1883" s="2">
        <v>6933200</v>
      </c>
      <c r="H1883" s="2">
        <f t="shared" si="232"/>
        <v>2017</v>
      </c>
      <c r="I1883" s="2">
        <f t="shared" si="233"/>
        <v>12</v>
      </c>
      <c r="J1883" s="2">
        <f t="shared" si="234"/>
        <v>15</v>
      </c>
      <c r="K1883" s="2">
        <f t="shared" si="235"/>
        <v>6</v>
      </c>
      <c r="L1883" s="2">
        <f t="shared" si="236"/>
        <v>13</v>
      </c>
      <c r="M1883" s="3">
        <f t="shared" si="237"/>
        <v>337.89001500000001</v>
      </c>
      <c r="N1883" s="1">
        <f t="shared" ca="1" si="238"/>
        <v>337.89001500000001</v>
      </c>
      <c r="O1883" s="5">
        <f t="shared" si="239"/>
        <v>1.6455049729717564E-2</v>
      </c>
    </row>
    <row r="1884" spans="1:15" s="2" customFormat="1" x14ac:dyDescent="0.5">
      <c r="A1884" s="6">
        <v>43087</v>
      </c>
      <c r="B1884" s="1">
        <v>344.89999399999999</v>
      </c>
      <c r="C1884" s="1">
        <v>346.73001099999999</v>
      </c>
      <c r="D1884" s="1">
        <v>337.57998700000002</v>
      </c>
      <c r="E1884" s="1">
        <v>338.86999500000002</v>
      </c>
      <c r="F1884" s="1">
        <v>338.86999500000002</v>
      </c>
      <c r="G1884" s="2">
        <v>5476200</v>
      </c>
      <c r="H1884" s="2">
        <f t="shared" si="232"/>
        <v>2017</v>
      </c>
      <c r="I1884" s="2">
        <f t="shared" si="233"/>
        <v>12</v>
      </c>
      <c r="J1884" s="2">
        <f t="shared" si="234"/>
        <v>18</v>
      </c>
      <c r="K1884" s="2">
        <f t="shared" si="235"/>
        <v>2</v>
      </c>
      <c r="L1884" s="2">
        <f t="shared" si="236"/>
        <v>13</v>
      </c>
      <c r="M1884" s="3">
        <f t="shared" si="237"/>
        <v>343.45001200000002</v>
      </c>
      <c r="N1884" s="1">
        <f t="shared" ca="1" si="238"/>
        <v>343.45001200000002</v>
      </c>
      <c r="O1884" s="5">
        <f t="shared" si="239"/>
        <v>-1.3335323453125936E-2</v>
      </c>
    </row>
    <row r="1885" spans="1:15" s="2" customFormat="1" x14ac:dyDescent="0.5">
      <c r="A1885" s="6">
        <v>43088</v>
      </c>
      <c r="B1885" s="1">
        <v>340.26001000000002</v>
      </c>
      <c r="C1885" s="1">
        <v>341.48998999999998</v>
      </c>
      <c r="D1885" s="1">
        <v>330.29998799999998</v>
      </c>
      <c r="E1885" s="1">
        <v>331.10000600000001</v>
      </c>
      <c r="F1885" s="1">
        <v>331.10000600000001</v>
      </c>
      <c r="G1885" s="2">
        <v>6825000</v>
      </c>
      <c r="H1885" s="2">
        <f t="shared" si="232"/>
        <v>2017</v>
      </c>
      <c r="I1885" s="2">
        <f t="shared" si="233"/>
        <v>12</v>
      </c>
      <c r="J1885" s="2">
        <f t="shared" si="234"/>
        <v>19</v>
      </c>
      <c r="K1885" s="2">
        <f t="shared" si="235"/>
        <v>3</v>
      </c>
      <c r="L1885" s="2">
        <f t="shared" si="236"/>
        <v>13</v>
      </c>
      <c r="M1885" s="3">
        <f t="shared" si="237"/>
        <v>338.86999500000002</v>
      </c>
      <c r="N1885" s="1">
        <f t="shared" ca="1" si="238"/>
        <v>338.86999500000002</v>
      </c>
      <c r="O1885" s="5">
        <f t="shared" si="239"/>
        <v>-2.2929114747972879E-2</v>
      </c>
    </row>
    <row r="1886" spans="1:15" s="2" customFormat="1" x14ac:dyDescent="0.5">
      <c r="A1886" s="6">
        <v>43089</v>
      </c>
      <c r="B1886" s="1">
        <v>332.69000199999999</v>
      </c>
      <c r="C1886" s="1">
        <v>333.10000600000001</v>
      </c>
      <c r="D1886" s="1">
        <v>325.040009</v>
      </c>
      <c r="E1886" s="1">
        <v>328.98001099999999</v>
      </c>
      <c r="F1886" s="1">
        <v>328.98001099999999</v>
      </c>
      <c r="G1886" s="2">
        <v>5953800</v>
      </c>
      <c r="H1886" s="2">
        <f t="shared" si="232"/>
        <v>2017</v>
      </c>
      <c r="I1886" s="2">
        <f t="shared" si="233"/>
        <v>12</v>
      </c>
      <c r="J1886" s="2">
        <f t="shared" si="234"/>
        <v>20</v>
      </c>
      <c r="K1886" s="2">
        <f t="shared" si="235"/>
        <v>4</v>
      </c>
      <c r="L1886" s="2">
        <f t="shared" si="236"/>
        <v>13</v>
      </c>
      <c r="M1886" s="3">
        <f t="shared" si="237"/>
        <v>331.10000600000001</v>
      </c>
      <c r="N1886" s="1">
        <f t="shared" ca="1" si="238"/>
        <v>331.10000600000001</v>
      </c>
      <c r="O1886" s="5">
        <f t="shared" si="239"/>
        <v>-6.4028842089480786E-3</v>
      </c>
    </row>
    <row r="1887" spans="1:15" s="2" customFormat="1" x14ac:dyDescent="0.5">
      <c r="A1887" s="6">
        <v>43090</v>
      </c>
      <c r="B1887" s="1">
        <v>329.58999599999999</v>
      </c>
      <c r="C1887" s="1">
        <v>333.73998999999998</v>
      </c>
      <c r="D1887" s="1">
        <v>327.209991</v>
      </c>
      <c r="E1887" s="1">
        <v>331.66000400000001</v>
      </c>
      <c r="F1887" s="1">
        <v>331.66000400000001</v>
      </c>
      <c r="G1887" s="2">
        <v>4385200</v>
      </c>
      <c r="H1887" s="2">
        <f t="shared" si="232"/>
        <v>2017</v>
      </c>
      <c r="I1887" s="2">
        <f t="shared" si="233"/>
        <v>12</v>
      </c>
      <c r="J1887" s="2">
        <f t="shared" si="234"/>
        <v>21</v>
      </c>
      <c r="K1887" s="2">
        <f t="shared" si="235"/>
        <v>5</v>
      </c>
      <c r="L1887" s="2">
        <f t="shared" si="236"/>
        <v>13</v>
      </c>
      <c r="M1887" s="3">
        <f t="shared" si="237"/>
        <v>328.98001099999999</v>
      </c>
      <c r="N1887" s="1">
        <f t="shared" ca="1" si="238"/>
        <v>328.98001099999999</v>
      </c>
      <c r="O1887" s="5">
        <f t="shared" si="239"/>
        <v>8.1463703276489774E-3</v>
      </c>
    </row>
    <row r="1888" spans="1:15" s="2" customFormat="1" x14ac:dyDescent="0.5">
      <c r="A1888" s="6">
        <v>43091</v>
      </c>
      <c r="B1888" s="1">
        <v>329.51001000000002</v>
      </c>
      <c r="C1888" s="1">
        <v>330.92001299999998</v>
      </c>
      <c r="D1888" s="1">
        <v>324.82000699999998</v>
      </c>
      <c r="E1888" s="1">
        <v>325.20001200000002</v>
      </c>
      <c r="F1888" s="1">
        <v>325.20001200000002</v>
      </c>
      <c r="G1888" s="2">
        <v>4215800</v>
      </c>
      <c r="H1888" s="2">
        <f t="shared" si="232"/>
        <v>2017</v>
      </c>
      <c r="I1888" s="2">
        <f t="shared" si="233"/>
        <v>12</v>
      </c>
      <c r="J1888" s="2">
        <f t="shared" si="234"/>
        <v>22</v>
      </c>
      <c r="K1888" s="2">
        <f t="shared" si="235"/>
        <v>6</v>
      </c>
      <c r="L1888" s="2">
        <f t="shared" si="236"/>
        <v>13</v>
      </c>
      <c r="M1888" s="3">
        <f t="shared" si="237"/>
        <v>331.66000400000001</v>
      </c>
      <c r="N1888" s="1">
        <f t="shared" ca="1" si="238"/>
        <v>331.66000400000001</v>
      </c>
      <c r="O1888" s="5">
        <f t="shared" si="239"/>
        <v>-1.9477754091807853E-2</v>
      </c>
    </row>
    <row r="1889" spans="1:15" s="2" customFormat="1" x14ac:dyDescent="0.5">
      <c r="A1889" s="6">
        <v>43095</v>
      </c>
      <c r="B1889" s="1">
        <v>323.82998700000002</v>
      </c>
      <c r="C1889" s="1">
        <v>323.94000199999999</v>
      </c>
      <c r="D1889" s="1">
        <v>316.57998700000002</v>
      </c>
      <c r="E1889" s="1">
        <v>317.290009</v>
      </c>
      <c r="F1889" s="1">
        <v>317.290009</v>
      </c>
      <c r="G1889" s="2">
        <v>4378400</v>
      </c>
      <c r="H1889" s="2">
        <f t="shared" si="232"/>
        <v>2017</v>
      </c>
      <c r="I1889" s="2">
        <f t="shared" si="233"/>
        <v>12</v>
      </c>
      <c r="J1889" s="2">
        <f t="shared" si="234"/>
        <v>26</v>
      </c>
      <c r="K1889" s="2">
        <f t="shared" si="235"/>
        <v>3</v>
      </c>
      <c r="L1889" s="2">
        <f t="shared" si="236"/>
        <v>13</v>
      </c>
      <c r="M1889" s="3">
        <f t="shared" si="237"/>
        <v>325.20001200000002</v>
      </c>
      <c r="N1889" s="1">
        <f t="shared" ca="1" si="238"/>
        <v>325.20001200000002</v>
      </c>
      <c r="O1889" s="5">
        <f t="shared" si="239"/>
        <v>-2.4323501562478422E-2</v>
      </c>
    </row>
    <row r="1890" spans="1:15" s="2" customFormat="1" x14ac:dyDescent="0.5">
      <c r="A1890" s="6">
        <v>43096</v>
      </c>
      <c r="B1890" s="1">
        <v>316</v>
      </c>
      <c r="C1890" s="1">
        <v>317.67999300000002</v>
      </c>
      <c r="D1890" s="1">
        <v>310.75</v>
      </c>
      <c r="E1890" s="1">
        <v>311.64001500000001</v>
      </c>
      <c r="F1890" s="1">
        <v>311.64001500000001</v>
      </c>
      <c r="G1890" s="2">
        <v>4712100</v>
      </c>
      <c r="H1890" s="2">
        <f t="shared" si="232"/>
        <v>2017</v>
      </c>
      <c r="I1890" s="2">
        <f t="shared" si="233"/>
        <v>12</v>
      </c>
      <c r="J1890" s="2">
        <f t="shared" si="234"/>
        <v>27</v>
      </c>
      <c r="K1890" s="2">
        <f t="shared" si="235"/>
        <v>4</v>
      </c>
      <c r="L1890" s="2">
        <f t="shared" si="236"/>
        <v>13</v>
      </c>
      <c r="M1890" s="3">
        <f t="shared" si="237"/>
        <v>317.290009</v>
      </c>
      <c r="N1890" s="1">
        <f t="shared" ca="1" si="238"/>
        <v>317.290009</v>
      </c>
      <c r="O1890" s="5">
        <f t="shared" si="239"/>
        <v>-1.7807034068948568E-2</v>
      </c>
    </row>
    <row r="1891" spans="1:15" s="2" customFormat="1" x14ac:dyDescent="0.5">
      <c r="A1891" s="6">
        <v>43097</v>
      </c>
      <c r="B1891" s="1">
        <v>311.75</v>
      </c>
      <c r="C1891" s="1">
        <v>315.82000699999998</v>
      </c>
      <c r="D1891" s="1">
        <v>309.540009</v>
      </c>
      <c r="E1891" s="1">
        <v>315.35998499999999</v>
      </c>
      <c r="F1891" s="1">
        <v>315.35998499999999</v>
      </c>
      <c r="G1891" s="2">
        <v>4316300</v>
      </c>
      <c r="H1891" s="2">
        <f t="shared" si="232"/>
        <v>2017</v>
      </c>
      <c r="I1891" s="2">
        <f t="shared" si="233"/>
        <v>12</v>
      </c>
      <c r="J1891" s="2">
        <f t="shared" si="234"/>
        <v>28</v>
      </c>
      <c r="K1891" s="2">
        <f t="shared" si="235"/>
        <v>5</v>
      </c>
      <c r="L1891" s="2">
        <f t="shared" si="236"/>
        <v>13</v>
      </c>
      <c r="M1891" s="3">
        <f t="shared" si="237"/>
        <v>311.64001500000001</v>
      </c>
      <c r="N1891" s="1">
        <f t="shared" ca="1" si="238"/>
        <v>311.64001500000001</v>
      </c>
      <c r="O1891" s="5">
        <f t="shared" si="239"/>
        <v>1.1936753372316478E-2</v>
      </c>
    </row>
    <row r="1892" spans="1:15" s="2" customFormat="1" x14ac:dyDescent="0.5">
      <c r="A1892" s="6">
        <v>43098</v>
      </c>
      <c r="B1892" s="1">
        <v>316.17999300000002</v>
      </c>
      <c r="C1892" s="1">
        <v>316.41000400000001</v>
      </c>
      <c r="D1892" s="1">
        <v>310</v>
      </c>
      <c r="E1892" s="1">
        <v>311.35000600000001</v>
      </c>
      <c r="F1892" s="1">
        <v>311.35000600000001</v>
      </c>
      <c r="G1892" s="2">
        <v>3777200</v>
      </c>
      <c r="H1892" s="2">
        <f t="shared" si="232"/>
        <v>2017</v>
      </c>
      <c r="I1892" s="2">
        <f t="shared" si="233"/>
        <v>12</v>
      </c>
      <c r="J1892" s="2">
        <f t="shared" si="234"/>
        <v>29</v>
      </c>
      <c r="K1892" s="2">
        <f t="shared" si="235"/>
        <v>6</v>
      </c>
      <c r="L1892" s="2">
        <f t="shared" si="236"/>
        <v>13</v>
      </c>
      <c r="M1892" s="3">
        <f t="shared" si="237"/>
        <v>315.35998499999999</v>
      </c>
      <c r="N1892" s="1">
        <f t="shared" ca="1" si="238"/>
        <v>315.35998499999999</v>
      </c>
      <c r="O1892" s="5">
        <f t="shared" si="239"/>
        <v>-1.2715560599738107E-2</v>
      </c>
    </row>
    <row r="1893" spans="1:15" s="2" customFormat="1" x14ac:dyDescent="0.5">
      <c r="A1893" s="6">
        <v>43102</v>
      </c>
      <c r="B1893" s="1">
        <v>312</v>
      </c>
      <c r="C1893" s="1">
        <v>322.10998499999999</v>
      </c>
      <c r="D1893" s="1">
        <v>311</v>
      </c>
      <c r="E1893" s="1">
        <v>320.52999899999998</v>
      </c>
      <c r="F1893" s="1">
        <v>320.52999899999998</v>
      </c>
      <c r="G1893" s="2">
        <v>4352200</v>
      </c>
      <c r="H1893" s="2">
        <f t="shared" si="232"/>
        <v>2018</v>
      </c>
      <c r="I1893" s="2">
        <f t="shared" si="233"/>
        <v>1</v>
      </c>
      <c r="J1893" s="2">
        <f t="shared" si="234"/>
        <v>2</v>
      </c>
      <c r="K1893" s="2">
        <f t="shared" si="235"/>
        <v>3</v>
      </c>
      <c r="L1893" s="2">
        <f t="shared" si="236"/>
        <v>2</v>
      </c>
      <c r="M1893" s="3">
        <f t="shared" si="237"/>
        <v>311.35000600000001</v>
      </c>
      <c r="N1893" s="1">
        <f t="shared" ca="1" si="238"/>
        <v>311.35000600000001</v>
      </c>
      <c r="O1893" s="5">
        <f t="shared" si="239"/>
        <v>2.9484479920003581E-2</v>
      </c>
    </row>
    <row r="1894" spans="1:15" s="2" customFormat="1" x14ac:dyDescent="0.5">
      <c r="A1894" s="6">
        <v>43103</v>
      </c>
      <c r="B1894" s="1">
        <v>321</v>
      </c>
      <c r="C1894" s="1">
        <v>325.25</v>
      </c>
      <c r="D1894" s="1">
        <v>315.54998799999998</v>
      </c>
      <c r="E1894" s="1">
        <v>317.25</v>
      </c>
      <c r="F1894" s="1">
        <v>317.25</v>
      </c>
      <c r="G1894" s="2">
        <v>4521500</v>
      </c>
      <c r="H1894" s="2">
        <f t="shared" si="232"/>
        <v>2018</v>
      </c>
      <c r="I1894" s="2">
        <f t="shared" si="233"/>
        <v>1</v>
      </c>
      <c r="J1894" s="2">
        <f t="shared" si="234"/>
        <v>3</v>
      </c>
      <c r="K1894" s="2">
        <f t="shared" si="235"/>
        <v>4</v>
      </c>
      <c r="L1894" s="2">
        <f t="shared" si="236"/>
        <v>2</v>
      </c>
      <c r="M1894" s="3">
        <f t="shared" si="237"/>
        <v>320.52999899999998</v>
      </c>
      <c r="N1894" s="1">
        <f t="shared" ca="1" si="238"/>
        <v>320.52999899999998</v>
      </c>
      <c r="O1894" s="5">
        <f t="shared" si="239"/>
        <v>-1.0233048420531743E-2</v>
      </c>
    </row>
    <row r="1895" spans="1:15" s="2" customFormat="1" x14ac:dyDescent="0.5">
      <c r="A1895" s="6">
        <v>43104</v>
      </c>
      <c r="B1895" s="1">
        <v>312.86999500000002</v>
      </c>
      <c r="C1895" s="1">
        <v>318.54998799999998</v>
      </c>
      <c r="D1895" s="1">
        <v>305.67999300000002</v>
      </c>
      <c r="E1895" s="1">
        <v>314.61999500000002</v>
      </c>
      <c r="F1895" s="1">
        <v>314.61999500000002</v>
      </c>
      <c r="G1895" s="2">
        <v>9946300</v>
      </c>
      <c r="H1895" s="2">
        <f t="shared" si="232"/>
        <v>2018</v>
      </c>
      <c r="I1895" s="2">
        <f t="shared" si="233"/>
        <v>1</v>
      </c>
      <c r="J1895" s="2">
        <f t="shared" si="234"/>
        <v>4</v>
      </c>
      <c r="K1895" s="2">
        <f t="shared" si="235"/>
        <v>5</v>
      </c>
      <c r="L1895" s="2">
        <f t="shared" si="236"/>
        <v>2</v>
      </c>
      <c r="M1895" s="3">
        <f t="shared" si="237"/>
        <v>317.25</v>
      </c>
      <c r="N1895" s="1">
        <f t="shared" ca="1" si="238"/>
        <v>317.25</v>
      </c>
      <c r="O1895" s="5">
        <f t="shared" si="239"/>
        <v>-8.2900078802206068E-3</v>
      </c>
    </row>
    <row r="1896" spans="1:15" s="2" customFormat="1" x14ac:dyDescent="0.5">
      <c r="A1896" s="6">
        <v>43105</v>
      </c>
      <c r="B1896" s="1">
        <v>316.61999500000002</v>
      </c>
      <c r="C1896" s="1">
        <v>317.23998999999998</v>
      </c>
      <c r="D1896" s="1">
        <v>312</v>
      </c>
      <c r="E1896" s="1">
        <v>316.57998700000002</v>
      </c>
      <c r="F1896" s="1">
        <v>316.57998700000002</v>
      </c>
      <c r="G1896" s="2">
        <v>4591200</v>
      </c>
      <c r="H1896" s="2">
        <f t="shared" si="232"/>
        <v>2018</v>
      </c>
      <c r="I1896" s="2">
        <f t="shared" si="233"/>
        <v>1</v>
      </c>
      <c r="J1896" s="2">
        <f t="shared" si="234"/>
        <v>5</v>
      </c>
      <c r="K1896" s="2">
        <f t="shared" si="235"/>
        <v>6</v>
      </c>
      <c r="L1896" s="2">
        <f t="shared" si="236"/>
        <v>2</v>
      </c>
      <c r="M1896" s="3">
        <f t="shared" si="237"/>
        <v>314.61999500000002</v>
      </c>
      <c r="N1896" s="1">
        <f t="shared" ca="1" si="238"/>
        <v>314.61999500000002</v>
      </c>
      <c r="O1896" s="5">
        <f t="shared" si="239"/>
        <v>6.229712132568066E-3</v>
      </c>
    </row>
    <row r="1897" spans="1:15" s="2" customFormat="1" x14ac:dyDescent="0.5">
      <c r="A1897" s="6">
        <v>43108</v>
      </c>
      <c r="B1897" s="1">
        <v>316</v>
      </c>
      <c r="C1897" s="1">
        <v>337.01998900000001</v>
      </c>
      <c r="D1897" s="1">
        <v>315.5</v>
      </c>
      <c r="E1897" s="1">
        <v>336.41000400000001</v>
      </c>
      <c r="F1897" s="1">
        <v>336.41000400000001</v>
      </c>
      <c r="G1897" s="2">
        <v>9859400</v>
      </c>
      <c r="H1897" s="2">
        <f t="shared" si="232"/>
        <v>2018</v>
      </c>
      <c r="I1897" s="2">
        <f t="shared" si="233"/>
        <v>1</v>
      </c>
      <c r="J1897" s="2">
        <f t="shared" si="234"/>
        <v>8</v>
      </c>
      <c r="K1897" s="2">
        <f t="shared" si="235"/>
        <v>2</v>
      </c>
      <c r="L1897" s="2">
        <f t="shared" si="236"/>
        <v>2</v>
      </c>
      <c r="M1897" s="3">
        <f t="shared" si="237"/>
        <v>316.57998700000002</v>
      </c>
      <c r="N1897" s="1">
        <f t="shared" ca="1" si="238"/>
        <v>316.57998700000002</v>
      </c>
      <c r="O1897" s="5">
        <f t="shared" si="239"/>
        <v>6.2638251987798599E-2</v>
      </c>
    </row>
    <row r="1898" spans="1:15" s="2" customFormat="1" x14ac:dyDescent="0.5">
      <c r="A1898" s="6">
        <v>43109</v>
      </c>
      <c r="B1898" s="1">
        <v>335.16000400000001</v>
      </c>
      <c r="C1898" s="1">
        <v>338.79998799999998</v>
      </c>
      <c r="D1898" s="1">
        <v>327.39999399999999</v>
      </c>
      <c r="E1898" s="1">
        <v>333.69000199999999</v>
      </c>
      <c r="F1898" s="1">
        <v>333.69000199999999</v>
      </c>
      <c r="G1898" s="2">
        <v>7146600</v>
      </c>
      <c r="H1898" s="2">
        <f t="shared" si="232"/>
        <v>2018</v>
      </c>
      <c r="I1898" s="2">
        <f t="shared" si="233"/>
        <v>1</v>
      </c>
      <c r="J1898" s="2">
        <f t="shared" si="234"/>
        <v>9</v>
      </c>
      <c r="K1898" s="2">
        <f t="shared" si="235"/>
        <v>3</v>
      </c>
      <c r="L1898" s="2">
        <f t="shared" si="236"/>
        <v>2</v>
      </c>
      <c r="M1898" s="3">
        <f t="shared" si="237"/>
        <v>336.41000400000001</v>
      </c>
      <c r="N1898" s="1">
        <f t="shared" ca="1" si="238"/>
        <v>336.41000400000001</v>
      </c>
      <c r="O1898" s="5">
        <f t="shared" si="239"/>
        <v>-8.0853778652789643E-3</v>
      </c>
    </row>
    <row r="1899" spans="1:15" s="2" customFormat="1" x14ac:dyDescent="0.5">
      <c r="A1899" s="6">
        <v>43110</v>
      </c>
      <c r="B1899" s="1">
        <v>332.20001200000002</v>
      </c>
      <c r="C1899" s="1">
        <v>337</v>
      </c>
      <c r="D1899" s="1">
        <v>330</v>
      </c>
      <c r="E1899" s="1">
        <v>334.79998799999998</v>
      </c>
      <c r="F1899" s="1">
        <v>334.79998799999998</v>
      </c>
      <c r="G1899" s="2">
        <v>4309900</v>
      </c>
      <c r="H1899" s="2">
        <f t="shared" si="232"/>
        <v>2018</v>
      </c>
      <c r="I1899" s="2">
        <f t="shared" si="233"/>
        <v>1</v>
      </c>
      <c r="J1899" s="2">
        <f t="shared" si="234"/>
        <v>10</v>
      </c>
      <c r="K1899" s="2">
        <f t="shared" si="235"/>
        <v>4</v>
      </c>
      <c r="L1899" s="2">
        <f t="shared" si="236"/>
        <v>2</v>
      </c>
      <c r="M1899" s="3">
        <f t="shared" si="237"/>
        <v>333.69000199999999</v>
      </c>
      <c r="N1899" s="1">
        <f t="shared" ca="1" si="238"/>
        <v>333.69000199999999</v>
      </c>
      <c r="O1899" s="5">
        <f t="shared" si="239"/>
        <v>3.3263987333969069E-3</v>
      </c>
    </row>
    <row r="1900" spans="1:15" s="2" customFormat="1" x14ac:dyDescent="0.5">
      <c r="A1900" s="6">
        <v>43111</v>
      </c>
      <c r="B1900" s="1">
        <v>335.23998999999998</v>
      </c>
      <c r="C1900" s="1">
        <v>344.80999800000001</v>
      </c>
      <c r="D1900" s="1">
        <v>333.26001000000002</v>
      </c>
      <c r="E1900" s="1">
        <v>337.95001200000002</v>
      </c>
      <c r="F1900" s="1">
        <v>337.95001200000002</v>
      </c>
      <c r="G1900" s="2">
        <v>6645500</v>
      </c>
      <c r="H1900" s="2">
        <f t="shared" si="232"/>
        <v>2018</v>
      </c>
      <c r="I1900" s="2">
        <f t="shared" si="233"/>
        <v>1</v>
      </c>
      <c r="J1900" s="2">
        <f t="shared" si="234"/>
        <v>11</v>
      </c>
      <c r="K1900" s="2">
        <f t="shared" si="235"/>
        <v>5</v>
      </c>
      <c r="L1900" s="2">
        <f t="shared" si="236"/>
        <v>2</v>
      </c>
      <c r="M1900" s="3">
        <f t="shared" si="237"/>
        <v>334.79998799999998</v>
      </c>
      <c r="N1900" s="1">
        <f t="shared" ca="1" si="238"/>
        <v>334.79998799999998</v>
      </c>
      <c r="O1900" s="5">
        <f t="shared" si="239"/>
        <v>9.4086741723540257E-3</v>
      </c>
    </row>
    <row r="1901" spans="1:15" s="2" customFormat="1" x14ac:dyDescent="0.5">
      <c r="A1901" s="6">
        <v>43112</v>
      </c>
      <c r="B1901" s="1">
        <v>338.63000499999998</v>
      </c>
      <c r="C1901" s="1">
        <v>340.41000400000001</v>
      </c>
      <c r="D1901" s="1">
        <v>333.67001299999998</v>
      </c>
      <c r="E1901" s="1">
        <v>336.22000100000002</v>
      </c>
      <c r="F1901" s="1">
        <v>336.22000100000002</v>
      </c>
      <c r="G1901" s="2">
        <v>4825100</v>
      </c>
      <c r="H1901" s="2">
        <f t="shared" si="232"/>
        <v>2018</v>
      </c>
      <c r="I1901" s="2">
        <f t="shared" si="233"/>
        <v>1</v>
      </c>
      <c r="J1901" s="2">
        <f t="shared" si="234"/>
        <v>12</v>
      </c>
      <c r="K1901" s="2">
        <f t="shared" si="235"/>
        <v>6</v>
      </c>
      <c r="L1901" s="2">
        <f t="shared" si="236"/>
        <v>2</v>
      </c>
      <c r="M1901" s="3">
        <f t="shared" si="237"/>
        <v>337.95001200000002</v>
      </c>
      <c r="N1901" s="1">
        <f t="shared" ca="1" si="238"/>
        <v>337.95001200000002</v>
      </c>
      <c r="O1901" s="5">
        <f t="shared" si="239"/>
        <v>-5.1191328260701274E-3</v>
      </c>
    </row>
    <row r="1902" spans="1:15" s="2" customFormat="1" x14ac:dyDescent="0.5">
      <c r="A1902" s="6">
        <v>43116</v>
      </c>
      <c r="B1902" s="1">
        <v>337.540009</v>
      </c>
      <c r="C1902" s="1">
        <v>345</v>
      </c>
      <c r="D1902" s="1">
        <v>334.79998799999998</v>
      </c>
      <c r="E1902" s="1">
        <v>340.05999800000001</v>
      </c>
      <c r="F1902" s="1">
        <v>340.05999800000001</v>
      </c>
      <c r="G1902" s="2">
        <v>6474300</v>
      </c>
      <c r="H1902" s="2">
        <f t="shared" si="232"/>
        <v>2018</v>
      </c>
      <c r="I1902" s="2">
        <f t="shared" si="233"/>
        <v>1</v>
      </c>
      <c r="J1902" s="2">
        <f t="shared" si="234"/>
        <v>16</v>
      </c>
      <c r="K1902" s="2">
        <f t="shared" si="235"/>
        <v>3</v>
      </c>
      <c r="L1902" s="2">
        <f t="shared" si="236"/>
        <v>2</v>
      </c>
      <c r="M1902" s="3">
        <f t="shared" si="237"/>
        <v>336.22000100000002</v>
      </c>
      <c r="N1902" s="1">
        <f t="shared" ca="1" si="238"/>
        <v>336.22000100000002</v>
      </c>
      <c r="O1902" s="5">
        <f t="shared" si="239"/>
        <v>1.1421084375048851E-2</v>
      </c>
    </row>
    <row r="1903" spans="1:15" s="2" customFormat="1" x14ac:dyDescent="0.5">
      <c r="A1903" s="6">
        <v>43117</v>
      </c>
      <c r="B1903" s="1">
        <v>340.47000100000002</v>
      </c>
      <c r="C1903" s="1">
        <v>349</v>
      </c>
      <c r="D1903" s="1">
        <v>339.75</v>
      </c>
      <c r="E1903" s="1">
        <v>347.16000400000001</v>
      </c>
      <c r="F1903" s="1">
        <v>347.16000400000001</v>
      </c>
      <c r="G1903" s="2">
        <v>7083700</v>
      </c>
      <c r="H1903" s="2">
        <f t="shared" si="232"/>
        <v>2018</v>
      </c>
      <c r="I1903" s="2">
        <f t="shared" si="233"/>
        <v>1</v>
      </c>
      <c r="J1903" s="2">
        <f t="shared" si="234"/>
        <v>17</v>
      </c>
      <c r="K1903" s="2">
        <f t="shared" si="235"/>
        <v>4</v>
      </c>
      <c r="L1903" s="2">
        <f t="shared" si="236"/>
        <v>2</v>
      </c>
      <c r="M1903" s="3">
        <f t="shared" si="237"/>
        <v>340.05999800000001</v>
      </c>
      <c r="N1903" s="1">
        <f t="shared" ca="1" si="238"/>
        <v>340.05999800000001</v>
      </c>
      <c r="O1903" s="5">
        <f t="shared" si="239"/>
        <v>2.0878686237009392E-2</v>
      </c>
    </row>
    <row r="1904" spans="1:15" s="2" customFormat="1" x14ac:dyDescent="0.5">
      <c r="A1904" s="6">
        <v>43118</v>
      </c>
      <c r="B1904" s="1">
        <v>345.67001299999998</v>
      </c>
      <c r="C1904" s="1">
        <v>352.29998799999998</v>
      </c>
      <c r="D1904" s="1">
        <v>343.73998999999998</v>
      </c>
      <c r="E1904" s="1">
        <v>344.57000699999998</v>
      </c>
      <c r="F1904" s="1">
        <v>344.57000699999998</v>
      </c>
      <c r="G1904" s="2">
        <v>5685800</v>
      </c>
      <c r="H1904" s="2">
        <f t="shared" si="232"/>
        <v>2018</v>
      </c>
      <c r="I1904" s="2">
        <f t="shared" si="233"/>
        <v>1</v>
      </c>
      <c r="J1904" s="2">
        <f t="shared" si="234"/>
        <v>18</v>
      </c>
      <c r="K1904" s="2">
        <f t="shared" si="235"/>
        <v>5</v>
      </c>
      <c r="L1904" s="2">
        <f t="shared" si="236"/>
        <v>2</v>
      </c>
      <c r="M1904" s="3">
        <f t="shared" si="237"/>
        <v>347.16000400000001</v>
      </c>
      <c r="N1904" s="1">
        <f t="shared" ca="1" si="238"/>
        <v>347.16000400000001</v>
      </c>
      <c r="O1904" s="5">
        <f t="shared" si="239"/>
        <v>-7.4605282007084162E-3</v>
      </c>
    </row>
    <row r="1905" spans="1:15" s="2" customFormat="1" x14ac:dyDescent="0.5">
      <c r="A1905" s="6">
        <v>43119</v>
      </c>
      <c r="B1905" s="1">
        <v>345</v>
      </c>
      <c r="C1905" s="1">
        <v>350.58999599999999</v>
      </c>
      <c r="D1905" s="1">
        <v>342.60000600000001</v>
      </c>
      <c r="E1905" s="1">
        <v>350.01998900000001</v>
      </c>
      <c r="F1905" s="1">
        <v>350.01998900000001</v>
      </c>
      <c r="G1905" s="2">
        <v>4888300</v>
      </c>
      <c r="H1905" s="2">
        <f t="shared" si="232"/>
        <v>2018</v>
      </c>
      <c r="I1905" s="2">
        <f t="shared" si="233"/>
        <v>1</v>
      </c>
      <c r="J1905" s="2">
        <f t="shared" si="234"/>
        <v>19</v>
      </c>
      <c r="K1905" s="2">
        <f t="shared" si="235"/>
        <v>6</v>
      </c>
      <c r="L1905" s="2">
        <f t="shared" si="236"/>
        <v>2</v>
      </c>
      <c r="M1905" s="3">
        <f t="shared" si="237"/>
        <v>344.57000699999998</v>
      </c>
      <c r="N1905" s="1">
        <f t="shared" ca="1" si="238"/>
        <v>344.57000699999998</v>
      </c>
      <c r="O1905" s="5">
        <f t="shared" si="239"/>
        <v>1.5816762600582512E-2</v>
      </c>
    </row>
    <row r="1906" spans="1:15" s="2" customFormat="1" x14ac:dyDescent="0.5">
      <c r="A1906" s="6">
        <v>43122</v>
      </c>
      <c r="B1906" s="1">
        <v>349.39999399999999</v>
      </c>
      <c r="C1906" s="1">
        <v>357.82998700000002</v>
      </c>
      <c r="D1906" s="1">
        <v>349.20001200000002</v>
      </c>
      <c r="E1906" s="1">
        <v>351.55999800000001</v>
      </c>
      <c r="F1906" s="1">
        <v>351.55999800000001</v>
      </c>
      <c r="G1906" s="2">
        <v>6210400</v>
      </c>
      <c r="H1906" s="2">
        <f t="shared" si="232"/>
        <v>2018</v>
      </c>
      <c r="I1906" s="2">
        <f t="shared" si="233"/>
        <v>1</v>
      </c>
      <c r="J1906" s="2">
        <f t="shared" si="234"/>
        <v>22</v>
      </c>
      <c r="K1906" s="2">
        <f t="shared" si="235"/>
        <v>2</v>
      </c>
      <c r="L1906" s="2">
        <f t="shared" si="236"/>
        <v>2</v>
      </c>
      <c r="M1906" s="3">
        <f t="shared" si="237"/>
        <v>350.01998900000001</v>
      </c>
      <c r="N1906" s="1">
        <f t="shared" ca="1" si="238"/>
        <v>350.01998900000001</v>
      </c>
      <c r="O1906" s="5">
        <f t="shared" si="239"/>
        <v>4.39977443688222E-3</v>
      </c>
    </row>
    <row r="1907" spans="1:15" s="2" customFormat="1" x14ac:dyDescent="0.5">
      <c r="A1907" s="6">
        <v>43123</v>
      </c>
      <c r="B1907" s="1">
        <v>360</v>
      </c>
      <c r="C1907" s="1">
        <v>360.5</v>
      </c>
      <c r="D1907" s="1">
        <v>351</v>
      </c>
      <c r="E1907" s="1">
        <v>352.790009</v>
      </c>
      <c r="F1907" s="1">
        <v>352.790009</v>
      </c>
      <c r="G1907" s="2">
        <v>5465400</v>
      </c>
      <c r="H1907" s="2">
        <f t="shared" si="232"/>
        <v>2018</v>
      </c>
      <c r="I1907" s="2">
        <f t="shared" si="233"/>
        <v>1</v>
      </c>
      <c r="J1907" s="2">
        <f t="shared" si="234"/>
        <v>23</v>
      </c>
      <c r="K1907" s="2">
        <f t="shared" si="235"/>
        <v>3</v>
      </c>
      <c r="L1907" s="2">
        <f t="shared" si="236"/>
        <v>2</v>
      </c>
      <c r="M1907" s="3">
        <f t="shared" si="237"/>
        <v>351.55999800000001</v>
      </c>
      <c r="N1907" s="1">
        <f t="shared" ca="1" si="238"/>
        <v>351.55999800000001</v>
      </c>
      <c r="O1907" s="5">
        <f t="shared" si="239"/>
        <v>3.4987228552663119E-3</v>
      </c>
    </row>
    <row r="1908" spans="1:15" s="2" customFormat="1" x14ac:dyDescent="0.5">
      <c r="A1908" s="6">
        <v>43124</v>
      </c>
      <c r="B1908" s="1">
        <v>354.57998700000002</v>
      </c>
      <c r="C1908" s="1">
        <v>354.75</v>
      </c>
      <c r="D1908" s="1">
        <v>343.51998900000001</v>
      </c>
      <c r="E1908" s="1">
        <v>345.89001500000001</v>
      </c>
      <c r="F1908" s="1">
        <v>345.89001500000001</v>
      </c>
      <c r="G1908" s="2">
        <v>5287500</v>
      </c>
      <c r="H1908" s="2">
        <f t="shared" si="232"/>
        <v>2018</v>
      </c>
      <c r="I1908" s="2">
        <f t="shared" si="233"/>
        <v>1</v>
      </c>
      <c r="J1908" s="2">
        <f t="shared" si="234"/>
        <v>24</v>
      </c>
      <c r="K1908" s="2">
        <f t="shared" si="235"/>
        <v>4</v>
      </c>
      <c r="L1908" s="2">
        <f t="shared" si="236"/>
        <v>2</v>
      </c>
      <c r="M1908" s="3">
        <f t="shared" si="237"/>
        <v>352.790009</v>
      </c>
      <c r="N1908" s="1">
        <f t="shared" ca="1" si="238"/>
        <v>352.790009</v>
      </c>
      <c r="O1908" s="5">
        <f t="shared" si="239"/>
        <v>-1.9558359998794628E-2</v>
      </c>
    </row>
    <row r="1909" spans="1:15" s="2" customFormat="1" x14ac:dyDescent="0.5">
      <c r="A1909" s="6">
        <v>43125</v>
      </c>
      <c r="B1909" s="1">
        <v>348.26998900000001</v>
      </c>
      <c r="C1909" s="1">
        <v>349.20001200000002</v>
      </c>
      <c r="D1909" s="1">
        <v>336.39999399999999</v>
      </c>
      <c r="E1909" s="1">
        <v>337.64001500000001</v>
      </c>
      <c r="F1909" s="1">
        <v>337.64001500000001</v>
      </c>
      <c r="G1909" s="2">
        <v>6740300</v>
      </c>
      <c r="H1909" s="2">
        <f t="shared" si="232"/>
        <v>2018</v>
      </c>
      <c r="I1909" s="2">
        <f t="shared" si="233"/>
        <v>1</v>
      </c>
      <c r="J1909" s="2">
        <f t="shared" si="234"/>
        <v>25</v>
      </c>
      <c r="K1909" s="2">
        <f t="shared" si="235"/>
        <v>5</v>
      </c>
      <c r="L1909" s="2">
        <f t="shared" si="236"/>
        <v>2</v>
      </c>
      <c r="M1909" s="3">
        <f t="shared" si="237"/>
        <v>345.89001500000001</v>
      </c>
      <c r="N1909" s="1">
        <f t="shared" ca="1" si="238"/>
        <v>345.89001500000001</v>
      </c>
      <c r="O1909" s="5">
        <f t="shared" si="239"/>
        <v>-2.385151245259276E-2</v>
      </c>
    </row>
    <row r="1910" spans="1:15" s="2" customFormat="1" x14ac:dyDescent="0.5">
      <c r="A1910" s="6">
        <v>43126</v>
      </c>
      <c r="B1910" s="1">
        <v>341.5</v>
      </c>
      <c r="C1910" s="1">
        <v>344</v>
      </c>
      <c r="D1910" s="1">
        <v>335.709991</v>
      </c>
      <c r="E1910" s="1">
        <v>342.85000600000001</v>
      </c>
      <c r="F1910" s="1">
        <v>342.85000600000001</v>
      </c>
      <c r="G1910" s="2">
        <v>4539400</v>
      </c>
      <c r="H1910" s="2">
        <f t="shared" si="232"/>
        <v>2018</v>
      </c>
      <c r="I1910" s="2">
        <f t="shared" si="233"/>
        <v>1</v>
      </c>
      <c r="J1910" s="2">
        <f t="shared" si="234"/>
        <v>26</v>
      </c>
      <c r="K1910" s="2">
        <f t="shared" si="235"/>
        <v>6</v>
      </c>
      <c r="L1910" s="2">
        <f t="shared" si="236"/>
        <v>2</v>
      </c>
      <c r="M1910" s="3">
        <f t="shared" si="237"/>
        <v>337.64001500000001</v>
      </c>
      <c r="N1910" s="1">
        <f t="shared" ca="1" si="238"/>
        <v>337.64001500000001</v>
      </c>
      <c r="O1910" s="5">
        <f t="shared" si="239"/>
        <v>1.5430608839417381E-2</v>
      </c>
    </row>
    <row r="1911" spans="1:15" s="2" customFormat="1" x14ac:dyDescent="0.5">
      <c r="A1911" s="6">
        <v>43129</v>
      </c>
      <c r="B1911" s="1">
        <v>339.85000600000001</v>
      </c>
      <c r="C1911" s="1">
        <v>350.85000600000001</v>
      </c>
      <c r="D1911" s="1">
        <v>338.27999899999998</v>
      </c>
      <c r="E1911" s="1">
        <v>349.52999899999998</v>
      </c>
      <c r="F1911" s="1">
        <v>349.52999899999998</v>
      </c>
      <c r="G1911" s="2">
        <v>4747100</v>
      </c>
      <c r="H1911" s="2">
        <f t="shared" si="232"/>
        <v>2018</v>
      </c>
      <c r="I1911" s="2">
        <f t="shared" si="233"/>
        <v>1</v>
      </c>
      <c r="J1911" s="2">
        <f t="shared" si="234"/>
        <v>29</v>
      </c>
      <c r="K1911" s="2">
        <f t="shared" si="235"/>
        <v>2</v>
      </c>
      <c r="L1911" s="2">
        <f t="shared" si="236"/>
        <v>2</v>
      </c>
      <c r="M1911" s="3">
        <f t="shared" si="237"/>
        <v>342.85000600000001</v>
      </c>
      <c r="N1911" s="1">
        <f t="shared" ca="1" si="238"/>
        <v>342.85000600000001</v>
      </c>
      <c r="O1911" s="5">
        <f t="shared" si="239"/>
        <v>1.9483718486503321E-2</v>
      </c>
    </row>
    <row r="1912" spans="1:15" s="2" customFormat="1" x14ac:dyDescent="0.5">
      <c r="A1912" s="6">
        <v>43130</v>
      </c>
      <c r="B1912" s="1">
        <v>345.14001500000001</v>
      </c>
      <c r="C1912" s="1">
        <v>348.26998900000001</v>
      </c>
      <c r="D1912" s="1">
        <v>342.17001299999998</v>
      </c>
      <c r="E1912" s="1">
        <v>345.82000699999998</v>
      </c>
      <c r="F1912" s="1">
        <v>345.82000699999998</v>
      </c>
      <c r="G1912" s="2">
        <v>4717700</v>
      </c>
      <c r="H1912" s="2">
        <f t="shared" si="232"/>
        <v>2018</v>
      </c>
      <c r="I1912" s="2">
        <f t="shared" si="233"/>
        <v>1</v>
      </c>
      <c r="J1912" s="2">
        <f t="shared" si="234"/>
        <v>30</v>
      </c>
      <c r="K1912" s="2">
        <f t="shared" si="235"/>
        <v>3</v>
      </c>
      <c r="L1912" s="2">
        <f t="shared" si="236"/>
        <v>2</v>
      </c>
      <c r="M1912" s="3">
        <f t="shared" si="237"/>
        <v>349.52999899999998</v>
      </c>
      <c r="N1912" s="1">
        <f t="shared" ca="1" si="238"/>
        <v>349.52999899999998</v>
      </c>
      <c r="O1912" s="5">
        <f t="shared" si="239"/>
        <v>-1.0614230568518401E-2</v>
      </c>
    </row>
    <row r="1913" spans="1:15" s="2" customFormat="1" x14ac:dyDescent="0.5">
      <c r="A1913" s="6">
        <v>43131</v>
      </c>
      <c r="B1913" s="1">
        <v>347.51001000000002</v>
      </c>
      <c r="C1913" s="1">
        <v>356.19000199999999</v>
      </c>
      <c r="D1913" s="1">
        <v>345.19000199999999</v>
      </c>
      <c r="E1913" s="1">
        <v>354.30999800000001</v>
      </c>
      <c r="F1913" s="1">
        <v>354.30999800000001</v>
      </c>
      <c r="G1913" s="2">
        <v>6214100</v>
      </c>
      <c r="H1913" s="2">
        <f t="shared" si="232"/>
        <v>2018</v>
      </c>
      <c r="I1913" s="2">
        <f t="shared" si="233"/>
        <v>1</v>
      </c>
      <c r="J1913" s="2">
        <f t="shared" si="234"/>
        <v>31</v>
      </c>
      <c r="K1913" s="2">
        <f t="shared" si="235"/>
        <v>4</v>
      </c>
      <c r="L1913" s="2">
        <f t="shared" si="236"/>
        <v>2</v>
      </c>
      <c r="M1913" s="3">
        <f t="shared" si="237"/>
        <v>345.82000699999998</v>
      </c>
      <c r="N1913" s="1">
        <f t="shared" ca="1" si="238"/>
        <v>345.82000699999998</v>
      </c>
      <c r="O1913" s="5">
        <f t="shared" si="239"/>
        <v>2.4550317587611392E-2</v>
      </c>
    </row>
    <row r="1914" spans="1:15" s="2" customFormat="1" x14ac:dyDescent="0.5">
      <c r="A1914" s="6">
        <v>43132</v>
      </c>
      <c r="B1914" s="1">
        <v>351</v>
      </c>
      <c r="C1914" s="1">
        <v>359.66000400000001</v>
      </c>
      <c r="D1914" s="1">
        <v>348.63000499999998</v>
      </c>
      <c r="E1914" s="1">
        <v>349.25</v>
      </c>
      <c r="F1914" s="1">
        <v>349.25</v>
      </c>
      <c r="G1914" s="2">
        <v>4197700</v>
      </c>
      <c r="H1914" s="2">
        <f t="shared" si="232"/>
        <v>2018</v>
      </c>
      <c r="I1914" s="2">
        <f t="shared" si="233"/>
        <v>2</v>
      </c>
      <c r="J1914" s="2">
        <f t="shared" si="234"/>
        <v>1</v>
      </c>
      <c r="K1914" s="2">
        <f t="shared" si="235"/>
        <v>5</v>
      </c>
      <c r="L1914" s="2">
        <f t="shared" si="236"/>
        <v>3</v>
      </c>
      <c r="M1914" s="3">
        <f t="shared" si="237"/>
        <v>354.30999800000001</v>
      </c>
      <c r="N1914" s="1">
        <f t="shared" ca="1" si="238"/>
        <v>354.30999800000001</v>
      </c>
      <c r="O1914" s="5">
        <f t="shared" si="239"/>
        <v>-1.428127354170794E-2</v>
      </c>
    </row>
    <row r="1915" spans="1:15" s="2" customFormat="1" x14ac:dyDescent="0.5">
      <c r="A1915" s="6">
        <v>43133</v>
      </c>
      <c r="B1915" s="1">
        <v>348.44000199999999</v>
      </c>
      <c r="C1915" s="1">
        <v>351.95001200000002</v>
      </c>
      <c r="D1915" s="1">
        <v>340.51001000000002</v>
      </c>
      <c r="E1915" s="1">
        <v>343.75</v>
      </c>
      <c r="F1915" s="1">
        <v>343.75</v>
      </c>
      <c r="G1915" s="2">
        <v>3704800</v>
      </c>
      <c r="H1915" s="2">
        <f t="shared" si="232"/>
        <v>2018</v>
      </c>
      <c r="I1915" s="2">
        <f t="shared" si="233"/>
        <v>2</v>
      </c>
      <c r="J1915" s="2">
        <f t="shared" si="234"/>
        <v>2</v>
      </c>
      <c r="K1915" s="2">
        <f t="shared" si="235"/>
        <v>6</v>
      </c>
      <c r="L1915" s="2">
        <f t="shared" si="236"/>
        <v>3</v>
      </c>
      <c r="M1915" s="3">
        <f t="shared" si="237"/>
        <v>349.25</v>
      </c>
      <c r="N1915" s="1">
        <f t="shared" ca="1" si="238"/>
        <v>349.25</v>
      </c>
      <c r="O1915" s="5">
        <f t="shared" si="239"/>
        <v>-1.5748031496062964E-2</v>
      </c>
    </row>
    <row r="1916" spans="1:15" s="2" customFormat="1" x14ac:dyDescent="0.5">
      <c r="A1916" s="6">
        <v>43136</v>
      </c>
      <c r="B1916" s="1">
        <v>337.97000100000002</v>
      </c>
      <c r="C1916" s="1">
        <v>344.47000100000002</v>
      </c>
      <c r="D1916" s="1">
        <v>333</v>
      </c>
      <c r="E1916" s="1">
        <v>333.13000499999998</v>
      </c>
      <c r="F1916" s="1">
        <v>333.13000499999998</v>
      </c>
      <c r="G1916" s="2">
        <v>4464100</v>
      </c>
      <c r="H1916" s="2">
        <f t="shared" si="232"/>
        <v>2018</v>
      </c>
      <c r="I1916" s="2">
        <f t="shared" si="233"/>
        <v>2</v>
      </c>
      <c r="J1916" s="2">
        <f t="shared" si="234"/>
        <v>5</v>
      </c>
      <c r="K1916" s="2">
        <f t="shared" si="235"/>
        <v>2</v>
      </c>
      <c r="L1916" s="2">
        <f t="shared" si="236"/>
        <v>3</v>
      </c>
      <c r="M1916" s="3">
        <f t="shared" si="237"/>
        <v>343.75</v>
      </c>
      <c r="N1916" s="1">
        <f t="shared" ca="1" si="238"/>
        <v>343.75</v>
      </c>
      <c r="O1916" s="5">
        <f t="shared" si="239"/>
        <v>-3.0894530909091E-2</v>
      </c>
    </row>
    <row r="1917" spans="1:15" s="2" customFormat="1" x14ac:dyDescent="0.5">
      <c r="A1917" s="6">
        <v>43137</v>
      </c>
      <c r="B1917" s="1">
        <v>325.209991</v>
      </c>
      <c r="C1917" s="1">
        <v>336.22000100000002</v>
      </c>
      <c r="D1917" s="1">
        <v>323.5</v>
      </c>
      <c r="E1917" s="1">
        <v>333.97000100000002</v>
      </c>
      <c r="F1917" s="1">
        <v>333.97000100000002</v>
      </c>
      <c r="G1917" s="2">
        <v>5088400</v>
      </c>
      <c r="H1917" s="2">
        <f t="shared" si="232"/>
        <v>2018</v>
      </c>
      <c r="I1917" s="2">
        <f t="shared" si="233"/>
        <v>2</v>
      </c>
      <c r="J1917" s="2">
        <f t="shared" si="234"/>
        <v>6</v>
      </c>
      <c r="K1917" s="2">
        <f t="shared" si="235"/>
        <v>3</v>
      </c>
      <c r="L1917" s="2">
        <f t="shared" si="236"/>
        <v>3</v>
      </c>
      <c r="M1917" s="3">
        <f t="shared" si="237"/>
        <v>333.13000499999998</v>
      </c>
      <c r="N1917" s="1">
        <f t="shared" ca="1" si="238"/>
        <v>333.13000499999998</v>
      </c>
      <c r="O1917" s="5">
        <f t="shared" si="239"/>
        <v>2.5215260930939731E-3</v>
      </c>
    </row>
    <row r="1918" spans="1:15" s="2" customFormat="1" x14ac:dyDescent="0.5">
      <c r="A1918" s="6">
        <v>43138</v>
      </c>
      <c r="B1918" s="1">
        <v>338.98998999999998</v>
      </c>
      <c r="C1918" s="1">
        <v>346</v>
      </c>
      <c r="D1918" s="1">
        <v>335.66000400000001</v>
      </c>
      <c r="E1918" s="1">
        <v>345</v>
      </c>
      <c r="F1918" s="1">
        <v>345</v>
      </c>
      <c r="G1918" s="2">
        <v>6969200</v>
      </c>
      <c r="H1918" s="2">
        <f t="shared" si="232"/>
        <v>2018</v>
      </c>
      <c r="I1918" s="2">
        <f t="shared" si="233"/>
        <v>2</v>
      </c>
      <c r="J1918" s="2">
        <f t="shared" si="234"/>
        <v>7</v>
      </c>
      <c r="K1918" s="2">
        <f t="shared" si="235"/>
        <v>4</v>
      </c>
      <c r="L1918" s="2">
        <f t="shared" si="236"/>
        <v>3</v>
      </c>
      <c r="M1918" s="3">
        <f t="shared" si="237"/>
        <v>333.97000100000002</v>
      </c>
      <c r="N1918" s="1">
        <f t="shared" ca="1" si="238"/>
        <v>333.97000100000002</v>
      </c>
      <c r="O1918" s="5">
        <f t="shared" si="239"/>
        <v>3.3026915492328834E-2</v>
      </c>
    </row>
    <row r="1919" spans="1:15" s="2" customFormat="1" x14ac:dyDescent="0.5">
      <c r="A1919" s="6">
        <v>43139</v>
      </c>
      <c r="B1919" s="1">
        <v>343.30999800000001</v>
      </c>
      <c r="C1919" s="1">
        <v>348.61999500000002</v>
      </c>
      <c r="D1919" s="1">
        <v>314.60000600000001</v>
      </c>
      <c r="E1919" s="1">
        <v>315.23001099999999</v>
      </c>
      <c r="F1919" s="1">
        <v>315.23001099999999</v>
      </c>
      <c r="G1919" s="2">
        <v>10314600</v>
      </c>
      <c r="H1919" s="2">
        <f t="shared" si="232"/>
        <v>2018</v>
      </c>
      <c r="I1919" s="2">
        <f t="shared" si="233"/>
        <v>2</v>
      </c>
      <c r="J1919" s="2">
        <f t="shared" si="234"/>
        <v>8</v>
      </c>
      <c r="K1919" s="2">
        <f t="shared" si="235"/>
        <v>5</v>
      </c>
      <c r="L1919" s="2">
        <f t="shared" si="236"/>
        <v>3</v>
      </c>
      <c r="M1919" s="3">
        <f t="shared" si="237"/>
        <v>345</v>
      </c>
      <c r="N1919" s="1">
        <f t="shared" ca="1" si="238"/>
        <v>345</v>
      </c>
      <c r="O1919" s="5">
        <f t="shared" si="239"/>
        <v>-8.6289823188405834E-2</v>
      </c>
    </row>
    <row r="1920" spans="1:15" s="2" customFormat="1" x14ac:dyDescent="0.5">
      <c r="A1920" s="6">
        <v>43140</v>
      </c>
      <c r="B1920" s="1">
        <v>319.92999300000002</v>
      </c>
      <c r="C1920" s="1">
        <v>320.98001099999999</v>
      </c>
      <c r="D1920" s="1">
        <v>294.76001000000002</v>
      </c>
      <c r="E1920" s="1">
        <v>310.42001299999998</v>
      </c>
      <c r="F1920" s="1">
        <v>310.42001299999998</v>
      </c>
      <c r="G1920" s="2">
        <v>12933700</v>
      </c>
      <c r="H1920" s="2">
        <f t="shared" si="232"/>
        <v>2018</v>
      </c>
      <c r="I1920" s="2">
        <f t="shared" si="233"/>
        <v>2</v>
      </c>
      <c r="J1920" s="2">
        <f t="shared" si="234"/>
        <v>9</v>
      </c>
      <c r="K1920" s="2">
        <f t="shared" si="235"/>
        <v>6</v>
      </c>
      <c r="L1920" s="2">
        <f t="shared" si="236"/>
        <v>3</v>
      </c>
      <c r="M1920" s="3">
        <f t="shared" si="237"/>
        <v>315.23001099999999</v>
      </c>
      <c r="N1920" s="1">
        <f t="shared" ca="1" si="238"/>
        <v>315.23001099999999</v>
      </c>
      <c r="O1920" s="5">
        <f t="shared" si="239"/>
        <v>-1.5258693119799438E-2</v>
      </c>
    </row>
    <row r="1921" spans="1:15" s="2" customFormat="1" x14ac:dyDescent="0.5">
      <c r="A1921" s="6">
        <v>43143</v>
      </c>
      <c r="B1921" s="1">
        <v>316.13000499999998</v>
      </c>
      <c r="C1921" s="1">
        <v>318.07998700000002</v>
      </c>
      <c r="D1921" s="1">
        <v>306.25</v>
      </c>
      <c r="E1921" s="1">
        <v>315.73001099999999</v>
      </c>
      <c r="F1921" s="1">
        <v>315.73001099999999</v>
      </c>
      <c r="G1921" s="2">
        <v>6227800</v>
      </c>
      <c r="H1921" s="2">
        <f t="shared" si="232"/>
        <v>2018</v>
      </c>
      <c r="I1921" s="2">
        <f t="shared" si="233"/>
        <v>2</v>
      </c>
      <c r="J1921" s="2">
        <f t="shared" si="234"/>
        <v>12</v>
      </c>
      <c r="K1921" s="2">
        <f t="shared" si="235"/>
        <v>2</v>
      </c>
      <c r="L1921" s="2">
        <f t="shared" si="236"/>
        <v>3</v>
      </c>
      <c r="M1921" s="3">
        <f t="shared" si="237"/>
        <v>310.42001299999998</v>
      </c>
      <c r="N1921" s="1">
        <f t="shared" ca="1" si="238"/>
        <v>310.42001299999998</v>
      </c>
      <c r="O1921" s="5">
        <f t="shared" si="239"/>
        <v>1.7105849422150543E-2</v>
      </c>
    </row>
    <row r="1922" spans="1:15" s="2" customFormat="1" x14ac:dyDescent="0.5">
      <c r="A1922" s="6">
        <v>43144</v>
      </c>
      <c r="B1922" s="1">
        <v>315.01998900000001</v>
      </c>
      <c r="C1922" s="1">
        <v>324.19000199999999</v>
      </c>
      <c r="D1922" s="1">
        <v>312.51001000000002</v>
      </c>
      <c r="E1922" s="1">
        <v>323.66000400000001</v>
      </c>
      <c r="F1922" s="1">
        <v>323.66000400000001</v>
      </c>
      <c r="G1922" s="2">
        <v>4560200</v>
      </c>
      <c r="H1922" s="2">
        <f t="shared" ref="H1922:H1985" si="240">YEAR(A1922)</f>
        <v>2018</v>
      </c>
      <c r="I1922" s="2">
        <f t="shared" ref="I1922:I1985" si="241">MONTH(A1922)</f>
        <v>2</v>
      </c>
      <c r="J1922" s="2">
        <f t="shared" ref="J1922:J1985" si="242">DAY(A1922)</f>
        <v>13</v>
      </c>
      <c r="K1922" s="2">
        <f t="shared" ref="K1922:K1985" si="243">WEEKDAY(A1922)</f>
        <v>3</v>
      </c>
      <c r="L1922" s="2">
        <f t="shared" si="236"/>
        <v>3</v>
      </c>
      <c r="M1922" s="3">
        <f t="shared" si="237"/>
        <v>315.73001099999999</v>
      </c>
      <c r="N1922" s="1">
        <f t="shared" ca="1" si="238"/>
        <v>315.73001099999999</v>
      </c>
      <c r="O1922" s="5">
        <f t="shared" si="239"/>
        <v>2.5116373875526232E-2</v>
      </c>
    </row>
    <row r="1923" spans="1:15" s="2" customFormat="1" x14ac:dyDescent="0.5">
      <c r="A1923" s="6">
        <v>43145</v>
      </c>
      <c r="B1923" s="1">
        <v>320.83999599999999</v>
      </c>
      <c r="C1923" s="1">
        <v>326.17001299999998</v>
      </c>
      <c r="D1923" s="1">
        <v>318.51998900000001</v>
      </c>
      <c r="E1923" s="1">
        <v>322.30999800000001</v>
      </c>
      <c r="F1923" s="1">
        <v>322.30999800000001</v>
      </c>
      <c r="G1923" s="2">
        <v>3950700</v>
      </c>
      <c r="H1923" s="2">
        <f t="shared" si="240"/>
        <v>2018</v>
      </c>
      <c r="I1923" s="2">
        <f t="shared" si="241"/>
        <v>2</v>
      </c>
      <c r="J1923" s="2">
        <f t="shared" si="242"/>
        <v>14</v>
      </c>
      <c r="K1923" s="2">
        <f t="shared" si="243"/>
        <v>4</v>
      </c>
      <c r="L1923" s="2">
        <f t="shared" ref="L1923:L1986" si="244">I1923+1</f>
        <v>3</v>
      </c>
      <c r="M1923" s="3">
        <f t="shared" ref="M1923:M1986" si="245">F1922</f>
        <v>323.66000400000001</v>
      </c>
      <c r="N1923" s="1">
        <f t="shared" ref="N1923:N1986" ca="1" si="246">OFFSET(F1923, -1, 0)</f>
        <v>323.66000400000001</v>
      </c>
      <c r="O1923" s="5">
        <f t="shared" ref="O1923:O1986" si="247">(F1923/M1923)-1</f>
        <v>-4.1710621742437892E-3</v>
      </c>
    </row>
    <row r="1924" spans="1:15" s="2" customFormat="1" x14ac:dyDescent="0.5">
      <c r="A1924" s="6">
        <v>43146</v>
      </c>
      <c r="B1924" s="1">
        <v>324.5</v>
      </c>
      <c r="C1924" s="1">
        <v>334.11999500000002</v>
      </c>
      <c r="D1924" s="1">
        <v>322.39999399999999</v>
      </c>
      <c r="E1924" s="1">
        <v>334.07000699999998</v>
      </c>
      <c r="F1924" s="1">
        <v>334.07000699999998</v>
      </c>
      <c r="G1924" s="2">
        <v>5912900</v>
      </c>
      <c r="H1924" s="2">
        <f t="shared" si="240"/>
        <v>2018</v>
      </c>
      <c r="I1924" s="2">
        <f t="shared" si="241"/>
        <v>2</v>
      </c>
      <c r="J1924" s="2">
        <f t="shared" si="242"/>
        <v>15</v>
      </c>
      <c r="K1924" s="2">
        <f t="shared" si="243"/>
        <v>5</v>
      </c>
      <c r="L1924" s="2">
        <f t="shared" si="244"/>
        <v>3</v>
      </c>
      <c r="M1924" s="3">
        <f t="shared" si="245"/>
        <v>322.30999800000001</v>
      </c>
      <c r="N1924" s="1">
        <f t="shared" ca="1" si="246"/>
        <v>322.30999800000001</v>
      </c>
      <c r="O1924" s="5">
        <f t="shared" si="247"/>
        <v>3.6486640417527472E-2</v>
      </c>
    </row>
    <row r="1925" spans="1:15" s="2" customFormat="1" x14ac:dyDescent="0.5">
      <c r="A1925" s="6">
        <v>43147</v>
      </c>
      <c r="B1925" s="1">
        <v>332.5</v>
      </c>
      <c r="C1925" s="1">
        <v>343.11999500000002</v>
      </c>
      <c r="D1925" s="1">
        <v>331.64001500000001</v>
      </c>
      <c r="E1925" s="1">
        <v>335.48998999999998</v>
      </c>
      <c r="F1925" s="1">
        <v>335.48998999999998</v>
      </c>
      <c r="G1925" s="2">
        <v>5642600</v>
      </c>
      <c r="H1925" s="2">
        <f t="shared" si="240"/>
        <v>2018</v>
      </c>
      <c r="I1925" s="2">
        <f t="shared" si="241"/>
        <v>2</v>
      </c>
      <c r="J1925" s="2">
        <f t="shared" si="242"/>
        <v>16</v>
      </c>
      <c r="K1925" s="2">
        <f t="shared" si="243"/>
        <v>6</v>
      </c>
      <c r="L1925" s="2">
        <f t="shared" si="244"/>
        <v>3</v>
      </c>
      <c r="M1925" s="3">
        <f t="shared" si="245"/>
        <v>334.07000699999998</v>
      </c>
      <c r="N1925" s="1">
        <f t="shared" ca="1" si="246"/>
        <v>334.07000699999998</v>
      </c>
      <c r="O1925" s="5">
        <f t="shared" si="247"/>
        <v>4.2505551837821454E-3</v>
      </c>
    </row>
    <row r="1926" spans="1:15" s="2" customFormat="1" x14ac:dyDescent="0.5">
      <c r="A1926" s="6">
        <v>43151</v>
      </c>
      <c r="B1926" s="1">
        <v>334.47000100000002</v>
      </c>
      <c r="C1926" s="1">
        <v>340.83999599999999</v>
      </c>
      <c r="D1926" s="1">
        <v>331.5</v>
      </c>
      <c r="E1926" s="1">
        <v>334.76998900000001</v>
      </c>
      <c r="F1926" s="1">
        <v>334.76998900000001</v>
      </c>
      <c r="G1926" s="2">
        <v>4009400</v>
      </c>
      <c r="H1926" s="2">
        <f t="shared" si="240"/>
        <v>2018</v>
      </c>
      <c r="I1926" s="2">
        <f t="shared" si="241"/>
        <v>2</v>
      </c>
      <c r="J1926" s="2">
        <f t="shared" si="242"/>
        <v>20</v>
      </c>
      <c r="K1926" s="2">
        <f t="shared" si="243"/>
        <v>3</v>
      </c>
      <c r="L1926" s="2">
        <f t="shared" si="244"/>
        <v>3</v>
      </c>
      <c r="M1926" s="3">
        <f t="shared" si="245"/>
        <v>335.48998999999998</v>
      </c>
      <c r="N1926" s="1">
        <f t="shared" ca="1" si="246"/>
        <v>335.48998999999998</v>
      </c>
      <c r="O1926" s="5">
        <f t="shared" si="247"/>
        <v>-2.1461176829745687E-3</v>
      </c>
    </row>
    <row r="1927" spans="1:15" s="2" customFormat="1" x14ac:dyDescent="0.5">
      <c r="A1927" s="6">
        <v>43152</v>
      </c>
      <c r="B1927" s="1">
        <v>336.02999899999998</v>
      </c>
      <c r="C1927" s="1">
        <v>339.69000199999999</v>
      </c>
      <c r="D1927" s="1">
        <v>333.17001299999998</v>
      </c>
      <c r="E1927" s="1">
        <v>333.29998799999998</v>
      </c>
      <c r="F1927" s="1">
        <v>333.29998799999998</v>
      </c>
      <c r="G1927" s="2">
        <v>3219600</v>
      </c>
      <c r="H1927" s="2">
        <f t="shared" si="240"/>
        <v>2018</v>
      </c>
      <c r="I1927" s="2">
        <f t="shared" si="241"/>
        <v>2</v>
      </c>
      <c r="J1927" s="2">
        <f t="shared" si="242"/>
        <v>21</v>
      </c>
      <c r="K1927" s="2">
        <f t="shared" si="243"/>
        <v>4</v>
      </c>
      <c r="L1927" s="2">
        <f t="shared" si="244"/>
        <v>3</v>
      </c>
      <c r="M1927" s="3">
        <f t="shared" si="245"/>
        <v>334.76998900000001</v>
      </c>
      <c r="N1927" s="1">
        <f t="shared" ca="1" si="246"/>
        <v>334.76998900000001</v>
      </c>
      <c r="O1927" s="5">
        <f t="shared" si="247"/>
        <v>-4.391077600447657E-3</v>
      </c>
    </row>
    <row r="1928" spans="1:15" s="2" customFormat="1" x14ac:dyDescent="0.5">
      <c r="A1928" s="6">
        <v>43153</v>
      </c>
      <c r="B1928" s="1">
        <v>335.52999899999998</v>
      </c>
      <c r="C1928" s="1">
        <v>347.44000199999999</v>
      </c>
      <c r="D1928" s="1">
        <v>334.75</v>
      </c>
      <c r="E1928" s="1">
        <v>346.17001299999998</v>
      </c>
      <c r="F1928" s="1">
        <v>346.17001299999998</v>
      </c>
      <c r="G1928" s="2">
        <v>6969800</v>
      </c>
      <c r="H1928" s="2">
        <f t="shared" si="240"/>
        <v>2018</v>
      </c>
      <c r="I1928" s="2">
        <f t="shared" si="241"/>
        <v>2</v>
      </c>
      <c r="J1928" s="2">
        <f t="shared" si="242"/>
        <v>22</v>
      </c>
      <c r="K1928" s="2">
        <f t="shared" si="243"/>
        <v>5</v>
      </c>
      <c r="L1928" s="2">
        <f t="shared" si="244"/>
        <v>3</v>
      </c>
      <c r="M1928" s="3">
        <f t="shared" si="245"/>
        <v>333.29998799999998</v>
      </c>
      <c r="N1928" s="1">
        <f t="shared" ca="1" si="246"/>
        <v>333.29998799999998</v>
      </c>
      <c r="O1928" s="5">
        <f t="shared" si="247"/>
        <v>3.8613937783880115E-2</v>
      </c>
    </row>
    <row r="1929" spans="1:15" s="2" customFormat="1" x14ac:dyDescent="0.5">
      <c r="A1929" s="6">
        <v>43154</v>
      </c>
      <c r="B1929" s="1">
        <v>347.82998700000002</v>
      </c>
      <c r="C1929" s="1">
        <v>354.98998999999998</v>
      </c>
      <c r="D1929" s="1">
        <v>347.10000600000001</v>
      </c>
      <c r="E1929" s="1">
        <v>352.04998799999998</v>
      </c>
      <c r="F1929" s="1">
        <v>352.04998799999998</v>
      </c>
      <c r="G1929" s="2">
        <v>5817400</v>
      </c>
      <c r="H1929" s="2">
        <f t="shared" si="240"/>
        <v>2018</v>
      </c>
      <c r="I1929" s="2">
        <f t="shared" si="241"/>
        <v>2</v>
      </c>
      <c r="J1929" s="2">
        <f t="shared" si="242"/>
        <v>23</v>
      </c>
      <c r="K1929" s="2">
        <f t="shared" si="243"/>
        <v>6</v>
      </c>
      <c r="L1929" s="2">
        <f t="shared" si="244"/>
        <v>3</v>
      </c>
      <c r="M1929" s="3">
        <f t="shared" si="245"/>
        <v>346.17001299999998</v>
      </c>
      <c r="N1929" s="1">
        <f t="shared" ca="1" si="246"/>
        <v>346.17001299999998</v>
      </c>
      <c r="O1929" s="5">
        <f t="shared" si="247"/>
        <v>1.6985801135813494E-2</v>
      </c>
    </row>
    <row r="1930" spans="1:15" s="2" customFormat="1" x14ac:dyDescent="0.5">
      <c r="A1930" s="6">
        <v>43157</v>
      </c>
      <c r="B1930" s="1">
        <v>353.5</v>
      </c>
      <c r="C1930" s="1">
        <v>359</v>
      </c>
      <c r="D1930" s="1">
        <v>352.35998499999999</v>
      </c>
      <c r="E1930" s="1">
        <v>357.42001299999998</v>
      </c>
      <c r="F1930" s="1">
        <v>357.42001299999998</v>
      </c>
      <c r="G1930" s="2">
        <v>4340000</v>
      </c>
      <c r="H1930" s="2">
        <f t="shared" si="240"/>
        <v>2018</v>
      </c>
      <c r="I1930" s="2">
        <f t="shared" si="241"/>
        <v>2</v>
      </c>
      <c r="J1930" s="2">
        <f t="shared" si="242"/>
        <v>26</v>
      </c>
      <c r="K1930" s="2">
        <f t="shared" si="243"/>
        <v>2</v>
      </c>
      <c r="L1930" s="2">
        <f t="shared" si="244"/>
        <v>3</v>
      </c>
      <c r="M1930" s="3">
        <f t="shared" si="245"/>
        <v>352.04998799999998</v>
      </c>
      <c r="N1930" s="1">
        <f t="shared" ca="1" si="246"/>
        <v>352.04998799999998</v>
      </c>
      <c r="O1930" s="5">
        <f t="shared" si="247"/>
        <v>1.5253586658267482E-2</v>
      </c>
    </row>
    <row r="1931" spans="1:15" s="2" customFormat="1" x14ac:dyDescent="0.5">
      <c r="A1931" s="6">
        <v>43158</v>
      </c>
      <c r="B1931" s="1">
        <v>356.25</v>
      </c>
      <c r="C1931" s="1">
        <v>359.98998999999998</v>
      </c>
      <c r="D1931" s="1">
        <v>350.01001000000002</v>
      </c>
      <c r="E1931" s="1">
        <v>350.98998999999998</v>
      </c>
      <c r="F1931" s="1">
        <v>350.98998999999998</v>
      </c>
      <c r="G1931" s="2">
        <v>4797400</v>
      </c>
      <c r="H1931" s="2">
        <f t="shared" si="240"/>
        <v>2018</v>
      </c>
      <c r="I1931" s="2">
        <f t="shared" si="241"/>
        <v>2</v>
      </c>
      <c r="J1931" s="2">
        <f t="shared" si="242"/>
        <v>27</v>
      </c>
      <c r="K1931" s="2">
        <f t="shared" si="243"/>
        <v>3</v>
      </c>
      <c r="L1931" s="2">
        <f t="shared" si="244"/>
        <v>3</v>
      </c>
      <c r="M1931" s="3">
        <f t="shared" si="245"/>
        <v>357.42001299999998</v>
      </c>
      <c r="N1931" s="1">
        <f t="shared" ca="1" si="246"/>
        <v>357.42001299999998</v>
      </c>
      <c r="O1931" s="5">
        <f t="shared" si="247"/>
        <v>-1.7990103424902482E-2</v>
      </c>
    </row>
    <row r="1932" spans="1:15" s="2" customFormat="1" x14ac:dyDescent="0.5">
      <c r="A1932" s="6">
        <v>43159</v>
      </c>
      <c r="B1932" s="1">
        <v>352.57000699999998</v>
      </c>
      <c r="C1932" s="1">
        <v>355.23998999999998</v>
      </c>
      <c r="D1932" s="1">
        <v>342.22000100000002</v>
      </c>
      <c r="E1932" s="1">
        <v>343.05999800000001</v>
      </c>
      <c r="F1932" s="1">
        <v>343.05999800000001</v>
      </c>
      <c r="G1932" s="2">
        <v>6069700</v>
      </c>
      <c r="H1932" s="2">
        <f t="shared" si="240"/>
        <v>2018</v>
      </c>
      <c r="I1932" s="2">
        <f t="shared" si="241"/>
        <v>2</v>
      </c>
      <c r="J1932" s="2">
        <f t="shared" si="242"/>
        <v>28</v>
      </c>
      <c r="K1932" s="2">
        <f t="shared" si="243"/>
        <v>4</v>
      </c>
      <c r="L1932" s="2">
        <f t="shared" si="244"/>
        <v>3</v>
      </c>
      <c r="M1932" s="3">
        <f t="shared" si="245"/>
        <v>350.98998999999998</v>
      </c>
      <c r="N1932" s="1">
        <f t="shared" ca="1" si="246"/>
        <v>350.98998999999998</v>
      </c>
      <c r="O1932" s="5">
        <f t="shared" si="247"/>
        <v>-2.2593214125565142E-2</v>
      </c>
    </row>
    <row r="1933" spans="1:15" s="2" customFormat="1" x14ac:dyDescent="0.5">
      <c r="A1933" s="6">
        <v>43160</v>
      </c>
      <c r="B1933" s="1">
        <v>345.01001000000002</v>
      </c>
      <c r="C1933" s="1">
        <v>348.67001299999998</v>
      </c>
      <c r="D1933" s="1">
        <v>330.07000699999998</v>
      </c>
      <c r="E1933" s="1">
        <v>330.92999300000002</v>
      </c>
      <c r="F1933" s="1">
        <v>330.92999300000002</v>
      </c>
      <c r="G1933" s="2">
        <v>6885600</v>
      </c>
      <c r="H1933" s="2">
        <f t="shared" si="240"/>
        <v>2018</v>
      </c>
      <c r="I1933" s="2">
        <f t="shared" si="241"/>
        <v>3</v>
      </c>
      <c r="J1933" s="2">
        <f t="shared" si="242"/>
        <v>1</v>
      </c>
      <c r="K1933" s="2">
        <f t="shared" si="243"/>
        <v>5</v>
      </c>
      <c r="L1933" s="2">
        <f t="shared" si="244"/>
        <v>4</v>
      </c>
      <c r="M1933" s="3">
        <f t="shared" si="245"/>
        <v>343.05999800000001</v>
      </c>
      <c r="N1933" s="1">
        <f t="shared" ca="1" si="246"/>
        <v>343.05999800000001</v>
      </c>
      <c r="O1933" s="5">
        <f t="shared" si="247"/>
        <v>-3.5358261151741677E-2</v>
      </c>
    </row>
    <row r="1934" spans="1:15" s="2" customFormat="1" x14ac:dyDescent="0.5">
      <c r="A1934" s="6">
        <v>43161</v>
      </c>
      <c r="B1934" s="1">
        <v>326.98001099999999</v>
      </c>
      <c r="C1934" s="1">
        <v>335.22000100000002</v>
      </c>
      <c r="D1934" s="1">
        <v>322.97000100000002</v>
      </c>
      <c r="E1934" s="1">
        <v>335.11999500000002</v>
      </c>
      <c r="F1934" s="1">
        <v>335.11999500000002</v>
      </c>
      <c r="G1934" s="2">
        <v>5092800</v>
      </c>
      <c r="H1934" s="2">
        <f t="shared" si="240"/>
        <v>2018</v>
      </c>
      <c r="I1934" s="2">
        <f t="shared" si="241"/>
        <v>3</v>
      </c>
      <c r="J1934" s="2">
        <f t="shared" si="242"/>
        <v>2</v>
      </c>
      <c r="K1934" s="2">
        <f t="shared" si="243"/>
        <v>6</v>
      </c>
      <c r="L1934" s="2">
        <f t="shared" si="244"/>
        <v>4</v>
      </c>
      <c r="M1934" s="3">
        <f t="shared" si="245"/>
        <v>330.92999300000002</v>
      </c>
      <c r="N1934" s="1">
        <f t="shared" ca="1" si="246"/>
        <v>330.92999300000002</v>
      </c>
      <c r="O1934" s="5">
        <f t="shared" si="247"/>
        <v>1.2661294197047868E-2</v>
      </c>
    </row>
    <row r="1935" spans="1:15" s="2" customFormat="1" x14ac:dyDescent="0.5">
      <c r="A1935" s="6">
        <v>43164</v>
      </c>
      <c r="B1935" s="1">
        <v>332.39001500000001</v>
      </c>
      <c r="C1935" s="1">
        <v>337.75</v>
      </c>
      <c r="D1935" s="1">
        <v>329.290009</v>
      </c>
      <c r="E1935" s="1">
        <v>333.35000600000001</v>
      </c>
      <c r="F1935" s="1">
        <v>333.35000600000001</v>
      </c>
      <c r="G1935" s="2">
        <v>3823800</v>
      </c>
      <c r="H1935" s="2">
        <f t="shared" si="240"/>
        <v>2018</v>
      </c>
      <c r="I1935" s="2">
        <f t="shared" si="241"/>
        <v>3</v>
      </c>
      <c r="J1935" s="2">
        <f t="shared" si="242"/>
        <v>5</v>
      </c>
      <c r="K1935" s="2">
        <f t="shared" si="243"/>
        <v>2</v>
      </c>
      <c r="L1935" s="2">
        <f t="shared" si="244"/>
        <v>4</v>
      </c>
      <c r="M1935" s="3">
        <f t="shared" si="245"/>
        <v>335.11999500000002</v>
      </c>
      <c r="N1935" s="1">
        <f t="shared" ca="1" si="246"/>
        <v>335.11999500000002</v>
      </c>
      <c r="O1935" s="5">
        <f t="shared" si="247"/>
        <v>-5.2816573955845048E-3</v>
      </c>
    </row>
    <row r="1936" spans="1:15" s="2" customFormat="1" x14ac:dyDescent="0.5">
      <c r="A1936" s="6">
        <v>43165</v>
      </c>
      <c r="B1936" s="1">
        <v>333.75</v>
      </c>
      <c r="C1936" s="1">
        <v>336.36999500000002</v>
      </c>
      <c r="D1936" s="1">
        <v>327.02999899999998</v>
      </c>
      <c r="E1936" s="1">
        <v>328.20001200000002</v>
      </c>
      <c r="F1936" s="1">
        <v>328.20001200000002</v>
      </c>
      <c r="G1936" s="2">
        <v>4285700</v>
      </c>
      <c r="H1936" s="2">
        <f t="shared" si="240"/>
        <v>2018</v>
      </c>
      <c r="I1936" s="2">
        <f t="shared" si="241"/>
        <v>3</v>
      </c>
      <c r="J1936" s="2">
        <f t="shared" si="242"/>
        <v>6</v>
      </c>
      <c r="K1936" s="2">
        <f t="shared" si="243"/>
        <v>3</v>
      </c>
      <c r="L1936" s="2">
        <f t="shared" si="244"/>
        <v>4</v>
      </c>
      <c r="M1936" s="3">
        <f t="shared" si="245"/>
        <v>333.35000600000001</v>
      </c>
      <c r="N1936" s="1">
        <f t="shared" ca="1" si="246"/>
        <v>333.35000600000001</v>
      </c>
      <c r="O1936" s="5">
        <f t="shared" si="247"/>
        <v>-1.5449209261451102E-2</v>
      </c>
    </row>
    <row r="1937" spans="1:15" s="2" customFormat="1" x14ac:dyDescent="0.5">
      <c r="A1937" s="6">
        <v>43166</v>
      </c>
      <c r="B1937" s="1">
        <v>325.44000199999999</v>
      </c>
      <c r="C1937" s="1">
        <v>332.5</v>
      </c>
      <c r="D1937" s="1">
        <v>321.73998999999998</v>
      </c>
      <c r="E1937" s="1">
        <v>332.29998799999998</v>
      </c>
      <c r="F1937" s="1">
        <v>332.29998799999998</v>
      </c>
      <c r="G1937" s="2">
        <v>5007300</v>
      </c>
      <c r="H1937" s="2">
        <f t="shared" si="240"/>
        <v>2018</v>
      </c>
      <c r="I1937" s="2">
        <f t="shared" si="241"/>
        <v>3</v>
      </c>
      <c r="J1937" s="2">
        <f t="shared" si="242"/>
        <v>7</v>
      </c>
      <c r="K1937" s="2">
        <f t="shared" si="243"/>
        <v>4</v>
      </c>
      <c r="L1937" s="2">
        <f t="shared" si="244"/>
        <v>4</v>
      </c>
      <c r="M1937" s="3">
        <f t="shared" si="245"/>
        <v>328.20001200000002</v>
      </c>
      <c r="N1937" s="1">
        <f t="shared" ca="1" si="246"/>
        <v>328.20001200000002</v>
      </c>
      <c r="O1937" s="5">
        <f t="shared" si="247"/>
        <v>1.2492309110579747E-2</v>
      </c>
    </row>
    <row r="1938" spans="1:15" s="2" customFormat="1" x14ac:dyDescent="0.5">
      <c r="A1938" s="6">
        <v>43167</v>
      </c>
      <c r="B1938" s="1">
        <v>332.85998499999999</v>
      </c>
      <c r="C1938" s="1">
        <v>333.29998799999998</v>
      </c>
      <c r="D1938" s="1">
        <v>326.26998900000001</v>
      </c>
      <c r="E1938" s="1">
        <v>329.10000600000001</v>
      </c>
      <c r="F1938" s="1">
        <v>329.10000600000001</v>
      </c>
      <c r="G1938" s="2">
        <v>3566200</v>
      </c>
      <c r="H1938" s="2">
        <f t="shared" si="240"/>
        <v>2018</v>
      </c>
      <c r="I1938" s="2">
        <f t="shared" si="241"/>
        <v>3</v>
      </c>
      <c r="J1938" s="2">
        <f t="shared" si="242"/>
        <v>8</v>
      </c>
      <c r="K1938" s="2">
        <f t="shared" si="243"/>
        <v>5</v>
      </c>
      <c r="L1938" s="2">
        <f t="shared" si="244"/>
        <v>4</v>
      </c>
      <c r="M1938" s="3">
        <f t="shared" si="245"/>
        <v>332.29998799999998</v>
      </c>
      <c r="N1938" s="1">
        <f t="shared" ca="1" si="246"/>
        <v>332.29998799999998</v>
      </c>
      <c r="O1938" s="5">
        <f t="shared" si="247"/>
        <v>-9.6297987227130788E-3</v>
      </c>
    </row>
    <row r="1939" spans="1:15" s="2" customFormat="1" x14ac:dyDescent="0.5">
      <c r="A1939" s="6">
        <v>43168</v>
      </c>
      <c r="B1939" s="1">
        <v>324.10000600000001</v>
      </c>
      <c r="C1939" s="1">
        <v>328.48998999999998</v>
      </c>
      <c r="D1939" s="1">
        <v>322.36999500000002</v>
      </c>
      <c r="E1939" s="1">
        <v>327.17001299999998</v>
      </c>
      <c r="F1939" s="1">
        <v>327.17001299999998</v>
      </c>
      <c r="G1939" s="2">
        <v>5506800</v>
      </c>
      <c r="H1939" s="2">
        <f t="shared" si="240"/>
        <v>2018</v>
      </c>
      <c r="I1939" s="2">
        <f t="shared" si="241"/>
        <v>3</v>
      </c>
      <c r="J1939" s="2">
        <f t="shared" si="242"/>
        <v>9</v>
      </c>
      <c r="K1939" s="2">
        <f t="shared" si="243"/>
        <v>6</v>
      </c>
      <c r="L1939" s="2">
        <f t="shared" si="244"/>
        <v>4</v>
      </c>
      <c r="M1939" s="3">
        <f t="shared" si="245"/>
        <v>329.10000600000001</v>
      </c>
      <c r="N1939" s="1">
        <f t="shared" ca="1" si="246"/>
        <v>329.10000600000001</v>
      </c>
      <c r="O1939" s="5">
        <f t="shared" si="247"/>
        <v>-5.8644575047501757E-3</v>
      </c>
    </row>
    <row r="1940" spans="1:15" s="2" customFormat="1" x14ac:dyDescent="0.5">
      <c r="A1940" s="6">
        <v>43171</v>
      </c>
      <c r="B1940" s="1">
        <v>328.60998499999999</v>
      </c>
      <c r="C1940" s="1">
        <v>347.209991</v>
      </c>
      <c r="D1940" s="1">
        <v>326.5</v>
      </c>
      <c r="E1940" s="1">
        <v>345.51001000000002</v>
      </c>
      <c r="F1940" s="1">
        <v>345.51001000000002</v>
      </c>
      <c r="G1940" s="2">
        <v>8264000</v>
      </c>
      <c r="H1940" s="2">
        <f t="shared" si="240"/>
        <v>2018</v>
      </c>
      <c r="I1940" s="2">
        <f t="shared" si="241"/>
        <v>3</v>
      </c>
      <c r="J1940" s="2">
        <f t="shared" si="242"/>
        <v>12</v>
      </c>
      <c r="K1940" s="2">
        <f t="shared" si="243"/>
        <v>2</v>
      </c>
      <c r="L1940" s="2">
        <f t="shared" si="244"/>
        <v>4</v>
      </c>
      <c r="M1940" s="3">
        <f t="shared" si="245"/>
        <v>327.17001299999998</v>
      </c>
      <c r="N1940" s="1">
        <f t="shared" ca="1" si="246"/>
        <v>327.17001299999998</v>
      </c>
      <c r="O1940" s="5">
        <f t="shared" si="247"/>
        <v>5.6056472999559626E-2</v>
      </c>
    </row>
    <row r="1941" spans="1:15" s="2" customFormat="1" x14ac:dyDescent="0.5">
      <c r="A1941" s="6">
        <v>43172</v>
      </c>
      <c r="B1941" s="1">
        <v>328.60998499999999</v>
      </c>
      <c r="C1941" s="1">
        <v>347.209991</v>
      </c>
      <c r="D1941" s="1">
        <v>326.5</v>
      </c>
      <c r="E1941" s="1">
        <v>341.83999599999999</v>
      </c>
      <c r="F1941" s="1">
        <v>341.83999599999999</v>
      </c>
      <c r="G1941" s="2">
        <v>5965800</v>
      </c>
      <c r="H1941" s="2">
        <f t="shared" si="240"/>
        <v>2018</v>
      </c>
      <c r="I1941" s="2">
        <f t="shared" si="241"/>
        <v>3</v>
      </c>
      <c r="J1941" s="2">
        <f t="shared" si="242"/>
        <v>13</v>
      </c>
      <c r="K1941" s="2">
        <f t="shared" si="243"/>
        <v>3</v>
      </c>
      <c r="L1941" s="2">
        <f t="shared" si="244"/>
        <v>4</v>
      </c>
      <c r="M1941" s="3">
        <f t="shared" si="245"/>
        <v>345.51001000000002</v>
      </c>
      <c r="N1941" s="1">
        <f t="shared" ca="1" si="246"/>
        <v>345.51001000000002</v>
      </c>
      <c r="O1941" s="5">
        <f t="shared" si="247"/>
        <v>-1.0622019315735698E-2</v>
      </c>
    </row>
    <row r="1942" spans="1:15" s="2" customFormat="1" x14ac:dyDescent="0.5">
      <c r="A1942" s="6">
        <v>43173</v>
      </c>
      <c r="B1942" s="1">
        <v>336.76001000000002</v>
      </c>
      <c r="C1942" s="1">
        <v>339.80999800000001</v>
      </c>
      <c r="D1942" s="1">
        <v>323.92999300000002</v>
      </c>
      <c r="E1942" s="1">
        <v>326.63000499999998</v>
      </c>
      <c r="F1942" s="1">
        <v>326.63000499999998</v>
      </c>
      <c r="G1942" s="2">
        <v>7967400</v>
      </c>
      <c r="H1942" s="2">
        <f t="shared" si="240"/>
        <v>2018</v>
      </c>
      <c r="I1942" s="2">
        <f t="shared" si="241"/>
        <v>3</v>
      </c>
      <c r="J1942" s="2">
        <f t="shared" si="242"/>
        <v>14</v>
      </c>
      <c r="K1942" s="2">
        <f t="shared" si="243"/>
        <v>4</v>
      </c>
      <c r="L1942" s="2">
        <f t="shared" si="244"/>
        <v>4</v>
      </c>
      <c r="M1942" s="3">
        <f t="shared" si="245"/>
        <v>341.83999599999999</v>
      </c>
      <c r="N1942" s="1">
        <f t="shared" ca="1" si="246"/>
        <v>341.83999599999999</v>
      </c>
      <c r="O1942" s="5">
        <f t="shared" si="247"/>
        <v>-4.4494474543581464E-2</v>
      </c>
    </row>
    <row r="1943" spans="1:15" s="2" customFormat="1" x14ac:dyDescent="0.5">
      <c r="A1943" s="6">
        <v>43174</v>
      </c>
      <c r="B1943" s="1">
        <v>329.38000499999998</v>
      </c>
      <c r="C1943" s="1">
        <v>332.85000600000001</v>
      </c>
      <c r="D1943" s="1">
        <v>321.10000600000001</v>
      </c>
      <c r="E1943" s="1">
        <v>325.60000600000001</v>
      </c>
      <c r="F1943" s="1">
        <v>325.60000600000001</v>
      </c>
      <c r="G1943" s="2">
        <v>6564800</v>
      </c>
      <c r="H1943" s="2">
        <f t="shared" si="240"/>
        <v>2018</v>
      </c>
      <c r="I1943" s="2">
        <f t="shared" si="241"/>
        <v>3</v>
      </c>
      <c r="J1943" s="2">
        <f t="shared" si="242"/>
        <v>15</v>
      </c>
      <c r="K1943" s="2">
        <f t="shared" si="243"/>
        <v>5</v>
      </c>
      <c r="L1943" s="2">
        <f t="shared" si="244"/>
        <v>4</v>
      </c>
      <c r="M1943" s="3">
        <f t="shared" si="245"/>
        <v>326.63000499999998</v>
      </c>
      <c r="N1943" s="1">
        <f t="shared" ca="1" si="246"/>
        <v>326.63000499999998</v>
      </c>
      <c r="O1943" s="5">
        <f t="shared" si="247"/>
        <v>-3.1534120694146628E-3</v>
      </c>
    </row>
    <row r="1944" spans="1:15" s="2" customFormat="1" x14ac:dyDescent="0.5">
      <c r="A1944" s="6">
        <v>43175</v>
      </c>
      <c r="B1944" s="1">
        <v>322.92999300000002</v>
      </c>
      <c r="C1944" s="1">
        <v>327.39999399999999</v>
      </c>
      <c r="D1944" s="1">
        <v>319.07000699999998</v>
      </c>
      <c r="E1944" s="1">
        <v>321.35000600000001</v>
      </c>
      <c r="F1944" s="1">
        <v>321.35000600000001</v>
      </c>
      <c r="G1944" s="2">
        <v>6117300</v>
      </c>
      <c r="H1944" s="2">
        <f t="shared" si="240"/>
        <v>2018</v>
      </c>
      <c r="I1944" s="2">
        <f t="shared" si="241"/>
        <v>3</v>
      </c>
      <c r="J1944" s="2">
        <f t="shared" si="242"/>
        <v>16</v>
      </c>
      <c r="K1944" s="2">
        <f t="shared" si="243"/>
        <v>6</v>
      </c>
      <c r="L1944" s="2">
        <f t="shared" si="244"/>
        <v>4</v>
      </c>
      <c r="M1944" s="3">
        <f t="shared" si="245"/>
        <v>325.60000600000001</v>
      </c>
      <c r="N1944" s="1">
        <f t="shared" ca="1" si="246"/>
        <v>325.60000600000001</v>
      </c>
      <c r="O1944" s="5">
        <f t="shared" si="247"/>
        <v>-1.3052825312294347E-2</v>
      </c>
    </row>
    <row r="1945" spans="1:15" s="2" customFormat="1" x14ac:dyDescent="0.5">
      <c r="A1945" s="6">
        <v>43178</v>
      </c>
      <c r="B1945" s="1">
        <v>316.5</v>
      </c>
      <c r="C1945" s="1">
        <v>320.75</v>
      </c>
      <c r="D1945" s="1">
        <v>309.67001299999998</v>
      </c>
      <c r="E1945" s="1">
        <v>313.55999800000001</v>
      </c>
      <c r="F1945" s="1">
        <v>313.55999800000001</v>
      </c>
      <c r="G1945" s="2">
        <v>7484300</v>
      </c>
      <c r="H1945" s="2">
        <f t="shared" si="240"/>
        <v>2018</v>
      </c>
      <c r="I1945" s="2">
        <f t="shared" si="241"/>
        <v>3</v>
      </c>
      <c r="J1945" s="2">
        <f t="shared" si="242"/>
        <v>19</v>
      </c>
      <c r="K1945" s="2">
        <f t="shared" si="243"/>
        <v>2</v>
      </c>
      <c r="L1945" s="2">
        <f t="shared" si="244"/>
        <v>4</v>
      </c>
      <c r="M1945" s="3">
        <f t="shared" si="245"/>
        <v>321.35000600000001</v>
      </c>
      <c r="N1945" s="1">
        <f t="shared" ca="1" si="246"/>
        <v>321.35000600000001</v>
      </c>
      <c r="O1945" s="5">
        <f t="shared" si="247"/>
        <v>-2.4241505693328058E-2</v>
      </c>
    </row>
    <row r="1946" spans="1:15" s="2" customFormat="1" x14ac:dyDescent="0.5">
      <c r="A1946" s="6">
        <v>43179</v>
      </c>
      <c r="B1946" s="1">
        <v>314.86999500000002</v>
      </c>
      <c r="C1946" s="1">
        <v>316.25</v>
      </c>
      <c r="D1946" s="1">
        <v>308.76001000000002</v>
      </c>
      <c r="E1946" s="1">
        <v>310.54998799999998</v>
      </c>
      <c r="F1946" s="1">
        <v>310.54998799999998</v>
      </c>
      <c r="G1946" s="2">
        <v>4764300</v>
      </c>
      <c r="H1946" s="2">
        <f t="shared" si="240"/>
        <v>2018</v>
      </c>
      <c r="I1946" s="2">
        <f t="shared" si="241"/>
        <v>3</v>
      </c>
      <c r="J1946" s="2">
        <f t="shared" si="242"/>
        <v>20</v>
      </c>
      <c r="K1946" s="2">
        <f t="shared" si="243"/>
        <v>3</v>
      </c>
      <c r="L1946" s="2">
        <f t="shared" si="244"/>
        <v>4</v>
      </c>
      <c r="M1946" s="3">
        <f t="shared" si="245"/>
        <v>313.55999800000001</v>
      </c>
      <c r="N1946" s="1">
        <f t="shared" ca="1" si="246"/>
        <v>313.55999800000001</v>
      </c>
      <c r="O1946" s="5">
        <f t="shared" si="247"/>
        <v>-9.5994706569682009E-3</v>
      </c>
    </row>
    <row r="1947" spans="1:15" s="2" customFormat="1" x14ac:dyDescent="0.5">
      <c r="A1947" s="6">
        <v>43180</v>
      </c>
      <c r="B1947" s="1">
        <v>310.25</v>
      </c>
      <c r="C1947" s="1">
        <v>322.44000199999999</v>
      </c>
      <c r="D1947" s="1">
        <v>310.19000199999999</v>
      </c>
      <c r="E1947" s="1">
        <v>316.52999899999998</v>
      </c>
      <c r="F1947" s="1">
        <v>316.52999899999998</v>
      </c>
      <c r="G1947" s="2">
        <v>5958400</v>
      </c>
      <c r="H1947" s="2">
        <f t="shared" si="240"/>
        <v>2018</v>
      </c>
      <c r="I1947" s="2">
        <f t="shared" si="241"/>
        <v>3</v>
      </c>
      <c r="J1947" s="2">
        <f t="shared" si="242"/>
        <v>21</v>
      </c>
      <c r="K1947" s="2">
        <f t="shared" si="243"/>
        <v>4</v>
      </c>
      <c r="L1947" s="2">
        <f t="shared" si="244"/>
        <v>4</v>
      </c>
      <c r="M1947" s="3">
        <f t="shared" si="245"/>
        <v>310.54998799999998</v>
      </c>
      <c r="N1947" s="1">
        <f t="shared" ca="1" si="246"/>
        <v>310.54998799999998</v>
      </c>
      <c r="O1947" s="5">
        <f t="shared" si="247"/>
        <v>1.9256194593702647E-2</v>
      </c>
    </row>
    <row r="1948" spans="1:15" s="2" customFormat="1" x14ac:dyDescent="0.5">
      <c r="A1948" s="6">
        <v>43181</v>
      </c>
      <c r="B1948" s="1">
        <v>313.89001500000001</v>
      </c>
      <c r="C1948" s="1">
        <v>318.82000699999998</v>
      </c>
      <c r="D1948" s="1">
        <v>308.17999300000002</v>
      </c>
      <c r="E1948" s="1">
        <v>309.10000600000001</v>
      </c>
      <c r="F1948" s="1">
        <v>309.10000600000001</v>
      </c>
      <c r="G1948" s="2">
        <v>4939800</v>
      </c>
      <c r="H1948" s="2">
        <f t="shared" si="240"/>
        <v>2018</v>
      </c>
      <c r="I1948" s="2">
        <f t="shared" si="241"/>
        <v>3</v>
      </c>
      <c r="J1948" s="2">
        <f t="shared" si="242"/>
        <v>22</v>
      </c>
      <c r="K1948" s="2">
        <f t="shared" si="243"/>
        <v>5</v>
      </c>
      <c r="L1948" s="2">
        <f t="shared" si="244"/>
        <v>4</v>
      </c>
      <c r="M1948" s="3">
        <f t="shared" si="245"/>
        <v>316.52999899999998</v>
      </c>
      <c r="N1948" s="1">
        <f t="shared" ca="1" si="246"/>
        <v>316.52999899999998</v>
      </c>
      <c r="O1948" s="5">
        <f t="shared" si="247"/>
        <v>-2.3473266431217388E-2</v>
      </c>
    </row>
    <row r="1949" spans="1:15" s="2" customFormat="1" x14ac:dyDescent="0.5">
      <c r="A1949" s="6">
        <v>43182</v>
      </c>
      <c r="B1949" s="1">
        <v>311.25</v>
      </c>
      <c r="C1949" s="1">
        <v>311.25</v>
      </c>
      <c r="D1949" s="1">
        <v>300.45001200000002</v>
      </c>
      <c r="E1949" s="1">
        <v>301.540009</v>
      </c>
      <c r="F1949" s="1">
        <v>301.540009</v>
      </c>
      <c r="G1949" s="2">
        <v>6654900</v>
      </c>
      <c r="H1949" s="2">
        <f t="shared" si="240"/>
        <v>2018</v>
      </c>
      <c r="I1949" s="2">
        <f t="shared" si="241"/>
        <v>3</v>
      </c>
      <c r="J1949" s="2">
        <f t="shared" si="242"/>
        <v>23</v>
      </c>
      <c r="K1949" s="2">
        <f t="shared" si="243"/>
        <v>6</v>
      </c>
      <c r="L1949" s="2">
        <f t="shared" si="244"/>
        <v>4</v>
      </c>
      <c r="M1949" s="3">
        <f t="shared" si="245"/>
        <v>309.10000600000001</v>
      </c>
      <c r="N1949" s="1">
        <f t="shared" ca="1" si="246"/>
        <v>309.10000600000001</v>
      </c>
      <c r="O1949" s="5">
        <f t="shared" si="247"/>
        <v>-2.445809399304899E-2</v>
      </c>
    </row>
    <row r="1950" spans="1:15" s="2" customFormat="1" x14ac:dyDescent="0.5">
      <c r="A1950" s="6">
        <v>43185</v>
      </c>
      <c r="B1950" s="1">
        <v>307.33999599999999</v>
      </c>
      <c r="C1950" s="1">
        <v>307.58999599999999</v>
      </c>
      <c r="D1950" s="1">
        <v>291.35998499999999</v>
      </c>
      <c r="E1950" s="1">
        <v>304.17999300000002</v>
      </c>
      <c r="F1950" s="1">
        <v>304.17999300000002</v>
      </c>
      <c r="G1950" s="2">
        <v>8375200</v>
      </c>
      <c r="H1950" s="2">
        <f t="shared" si="240"/>
        <v>2018</v>
      </c>
      <c r="I1950" s="2">
        <f t="shared" si="241"/>
        <v>3</v>
      </c>
      <c r="J1950" s="2">
        <f t="shared" si="242"/>
        <v>26</v>
      </c>
      <c r="K1950" s="2">
        <f t="shared" si="243"/>
        <v>2</v>
      </c>
      <c r="L1950" s="2">
        <f t="shared" si="244"/>
        <v>4</v>
      </c>
      <c r="M1950" s="3">
        <f t="shared" si="245"/>
        <v>301.540009</v>
      </c>
      <c r="N1950" s="1">
        <f t="shared" ca="1" si="246"/>
        <v>301.540009</v>
      </c>
      <c r="O1950" s="5">
        <f t="shared" si="247"/>
        <v>8.755004049893822E-3</v>
      </c>
    </row>
    <row r="1951" spans="1:15" s="2" customFormat="1" x14ac:dyDescent="0.5">
      <c r="A1951" s="6">
        <v>43186</v>
      </c>
      <c r="B1951" s="1">
        <v>304</v>
      </c>
      <c r="C1951" s="1">
        <v>304.26998900000001</v>
      </c>
      <c r="D1951" s="1">
        <v>277.17999300000002</v>
      </c>
      <c r="E1951" s="1">
        <v>279.17999300000002</v>
      </c>
      <c r="F1951" s="1">
        <v>279.17999300000002</v>
      </c>
      <c r="G1951" s="2">
        <v>13872000</v>
      </c>
      <c r="H1951" s="2">
        <f t="shared" si="240"/>
        <v>2018</v>
      </c>
      <c r="I1951" s="2">
        <f t="shared" si="241"/>
        <v>3</v>
      </c>
      <c r="J1951" s="2">
        <f t="shared" si="242"/>
        <v>27</v>
      </c>
      <c r="K1951" s="2">
        <f t="shared" si="243"/>
        <v>3</v>
      </c>
      <c r="L1951" s="2">
        <f t="shared" si="244"/>
        <v>4</v>
      </c>
      <c r="M1951" s="3">
        <f t="shared" si="245"/>
        <v>304.17999300000002</v>
      </c>
      <c r="N1951" s="1">
        <f t="shared" ca="1" si="246"/>
        <v>304.17999300000002</v>
      </c>
      <c r="O1951" s="5">
        <f t="shared" si="247"/>
        <v>-8.2188179943839978E-2</v>
      </c>
    </row>
    <row r="1952" spans="1:15" s="2" customFormat="1" x14ac:dyDescent="0.5">
      <c r="A1952" s="6">
        <v>43187</v>
      </c>
      <c r="B1952" s="1">
        <v>264.57998700000002</v>
      </c>
      <c r="C1952" s="1">
        <v>268.67999300000002</v>
      </c>
      <c r="D1952" s="1">
        <v>252.10000600000001</v>
      </c>
      <c r="E1952" s="1">
        <v>257.77999899999998</v>
      </c>
      <c r="F1952" s="1">
        <v>257.77999899999998</v>
      </c>
      <c r="G1952" s="2">
        <v>21001400</v>
      </c>
      <c r="H1952" s="2">
        <f t="shared" si="240"/>
        <v>2018</v>
      </c>
      <c r="I1952" s="2">
        <f t="shared" si="241"/>
        <v>3</v>
      </c>
      <c r="J1952" s="2">
        <f t="shared" si="242"/>
        <v>28</v>
      </c>
      <c r="K1952" s="2">
        <f t="shared" si="243"/>
        <v>4</v>
      </c>
      <c r="L1952" s="2">
        <f t="shared" si="244"/>
        <v>4</v>
      </c>
      <c r="M1952" s="3">
        <f t="shared" si="245"/>
        <v>279.17999300000002</v>
      </c>
      <c r="N1952" s="1">
        <f t="shared" ca="1" si="246"/>
        <v>279.17999300000002</v>
      </c>
      <c r="O1952" s="5">
        <f t="shared" si="247"/>
        <v>-7.6653035806903413E-2</v>
      </c>
    </row>
    <row r="1953" spans="1:15" s="2" customFormat="1" x14ac:dyDescent="0.5">
      <c r="A1953" s="6">
        <v>43188</v>
      </c>
      <c r="B1953" s="1">
        <v>256.48998999999998</v>
      </c>
      <c r="C1953" s="1">
        <v>270.959991</v>
      </c>
      <c r="D1953" s="1">
        <v>248.21000699999999</v>
      </c>
      <c r="E1953" s="1">
        <v>266.13000499999998</v>
      </c>
      <c r="F1953" s="1">
        <v>266.13000499999998</v>
      </c>
      <c r="G1953" s="2">
        <v>15170700</v>
      </c>
      <c r="H1953" s="2">
        <f t="shared" si="240"/>
        <v>2018</v>
      </c>
      <c r="I1953" s="2">
        <f t="shared" si="241"/>
        <v>3</v>
      </c>
      <c r="J1953" s="2">
        <f t="shared" si="242"/>
        <v>29</v>
      </c>
      <c r="K1953" s="2">
        <f t="shared" si="243"/>
        <v>5</v>
      </c>
      <c r="L1953" s="2">
        <f t="shared" si="244"/>
        <v>4</v>
      </c>
      <c r="M1953" s="3">
        <f t="shared" si="245"/>
        <v>257.77999899999998</v>
      </c>
      <c r="N1953" s="1">
        <f t="shared" ca="1" si="246"/>
        <v>257.77999899999998</v>
      </c>
      <c r="O1953" s="5">
        <f t="shared" si="247"/>
        <v>3.2391985539576451E-2</v>
      </c>
    </row>
    <row r="1954" spans="1:15" s="2" customFormat="1" x14ac:dyDescent="0.5">
      <c r="A1954" s="6">
        <v>43192</v>
      </c>
      <c r="B1954" s="1">
        <v>256.26001000000002</v>
      </c>
      <c r="C1954" s="1">
        <v>260.32998700000002</v>
      </c>
      <c r="D1954" s="1">
        <v>244.58999600000001</v>
      </c>
      <c r="E1954" s="1">
        <v>252.479996</v>
      </c>
      <c r="F1954" s="1">
        <v>252.479996</v>
      </c>
      <c r="G1954" s="2">
        <v>16114000</v>
      </c>
      <c r="H1954" s="2">
        <f t="shared" si="240"/>
        <v>2018</v>
      </c>
      <c r="I1954" s="2">
        <f t="shared" si="241"/>
        <v>4</v>
      </c>
      <c r="J1954" s="2">
        <f t="shared" si="242"/>
        <v>2</v>
      </c>
      <c r="K1954" s="2">
        <f t="shared" si="243"/>
        <v>2</v>
      </c>
      <c r="L1954" s="2">
        <f t="shared" si="244"/>
        <v>5</v>
      </c>
      <c r="M1954" s="3">
        <f t="shared" si="245"/>
        <v>266.13000499999998</v>
      </c>
      <c r="N1954" s="1">
        <f t="shared" ca="1" si="246"/>
        <v>266.13000499999998</v>
      </c>
      <c r="O1954" s="5">
        <f t="shared" si="247"/>
        <v>-5.1290755433608393E-2</v>
      </c>
    </row>
    <row r="1955" spans="1:15" s="2" customFormat="1" x14ac:dyDescent="0.5">
      <c r="A1955" s="6">
        <v>43193</v>
      </c>
      <c r="B1955" s="1">
        <v>269.82000699999998</v>
      </c>
      <c r="C1955" s="1">
        <v>273.35000600000001</v>
      </c>
      <c r="D1955" s="1">
        <v>254.490005</v>
      </c>
      <c r="E1955" s="1">
        <v>267.52999899999998</v>
      </c>
      <c r="F1955" s="1">
        <v>267.52999899999998</v>
      </c>
      <c r="G1955" s="2">
        <v>18844400</v>
      </c>
      <c r="H1955" s="2">
        <f t="shared" si="240"/>
        <v>2018</v>
      </c>
      <c r="I1955" s="2">
        <f t="shared" si="241"/>
        <v>4</v>
      </c>
      <c r="J1955" s="2">
        <f t="shared" si="242"/>
        <v>3</v>
      </c>
      <c r="K1955" s="2">
        <f t="shared" si="243"/>
        <v>3</v>
      </c>
      <c r="L1955" s="2">
        <f t="shared" si="244"/>
        <v>5</v>
      </c>
      <c r="M1955" s="3">
        <f t="shared" si="245"/>
        <v>252.479996</v>
      </c>
      <c r="N1955" s="1">
        <f t="shared" ca="1" si="246"/>
        <v>252.479996</v>
      </c>
      <c r="O1955" s="5">
        <f t="shared" si="247"/>
        <v>5.9608694702292242E-2</v>
      </c>
    </row>
    <row r="1956" spans="1:15" s="2" customFormat="1" x14ac:dyDescent="0.5">
      <c r="A1956" s="6">
        <v>43194</v>
      </c>
      <c r="B1956" s="1">
        <v>252.779999</v>
      </c>
      <c r="C1956" s="1">
        <v>288.36999500000002</v>
      </c>
      <c r="D1956" s="1">
        <v>252</v>
      </c>
      <c r="E1956" s="1">
        <v>286.94000199999999</v>
      </c>
      <c r="F1956" s="1">
        <v>286.94000199999999</v>
      </c>
      <c r="G1956" s="2">
        <v>19896700</v>
      </c>
      <c r="H1956" s="2">
        <f t="shared" si="240"/>
        <v>2018</v>
      </c>
      <c r="I1956" s="2">
        <f t="shared" si="241"/>
        <v>4</v>
      </c>
      <c r="J1956" s="2">
        <f t="shared" si="242"/>
        <v>4</v>
      </c>
      <c r="K1956" s="2">
        <f t="shared" si="243"/>
        <v>4</v>
      </c>
      <c r="L1956" s="2">
        <f t="shared" si="244"/>
        <v>5</v>
      </c>
      <c r="M1956" s="3">
        <f t="shared" si="245"/>
        <v>267.52999899999998</v>
      </c>
      <c r="N1956" s="1">
        <f t="shared" ca="1" si="246"/>
        <v>267.52999899999998</v>
      </c>
      <c r="O1956" s="5">
        <f t="shared" si="247"/>
        <v>7.2552622407029643E-2</v>
      </c>
    </row>
    <row r="1957" spans="1:15" s="2" customFormat="1" x14ac:dyDescent="0.5">
      <c r="A1957" s="6">
        <v>43195</v>
      </c>
      <c r="B1957" s="1">
        <v>289.33999599999999</v>
      </c>
      <c r="C1957" s="1">
        <v>306.26001000000002</v>
      </c>
      <c r="D1957" s="1">
        <v>288.20001200000002</v>
      </c>
      <c r="E1957" s="1">
        <v>305.72000100000002</v>
      </c>
      <c r="F1957" s="1">
        <v>305.72000100000002</v>
      </c>
      <c r="G1957" s="2">
        <v>19121100</v>
      </c>
      <c r="H1957" s="2">
        <f t="shared" si="240"/>
        <v>2018</v>
      </c>
      <c r="I1957" s="2">
        <f t="shared" si="241"/>
        <v>4</v>
      </c>
      <c r="J1957" s="2">
        <f t="shared" si="242"/>
        <v>5</v>
      </c>
      <c r="K1957" s="2">
        <f t="shared" si="243"/>
        <v>5</v>
      </c>
      <c r="L1957" s="2">
        <f t="shared" si="244"/>
        <v>5</v>
      </c>
      <c r="M1957" s="3">
        <f t="shared" si="245"/>
        <v>286.94000199999999</v>
      </c>
      <c r="N1957" s="1">
        <f t="shared" ca="1" si="246"/>
        <v>286.94000199999999</v>
      </c>
      <c r="O1957" s="5">
        <f t="shared" si="247"/>
        <v>6.5449218892805527E-2</v>
      </c>
    </row>
    <row r="1958" spans="1:15" s="2" customFormat="1" x14ac:dyDescent="0.5">
      <c r="A1958" s="6">
        <v>43196</v>
      </c>
      <c r="B1958" s="1">
        <v>301</v>
      </c>
      <c r="C1958" s="1">
        <v>309.27999899999998</v>
      </c>
      <c r="D1958" s="1">
        <v>295.5</v>
      </c>
      <c r="E1958" s="1">
        <v>299.29998799999998</v>
      </c>
      <c r="F1958" s="1">
        <v>299.29998799999998</v>
      </c>
      <c r="G1958" s="2">
        <v>13520300</v>
      </c>
      <c r="H1958" s="2">
        <f t="shared" si="240"/>
        <v>2018</v>
      </c>
      <c r="I1958" s="2">
        <f t="shared" si="241"/>
        <v>4</v>
      </c>
      <c r="J1958" s="2">
        <f t="shared" si="242"/>
        <v>6</v>
      </c>
      <c r="K1958" s="2">
        <f t="shared" si="243"/>
        <v>6</v>
      </c>
      <c r="L1958" s="2">
        <f t="shared" si="244"/>
        <v>5</v>
      </c>
      <c r="M1958" s="3">
        <f t="shared" si="245"/>
        <v>305.72000100000002</v>
      </c>
      <c r="N1958" s="1">
        <f t="shared" ca="1" si="246"/>
        <v>305.72000100000002</v>
      </c>
      <c r="O1958" s="5">
        <f t="shared" si="247"/>
        <v>-2.099964993785286E-2</v>
      </c>
    </row>
    <row r="1959" spans="1:15" s="2" customFormat="1" x14ac:dyDescent="0.5">
      <c r="A1959" s="6">
        <v>43199</v>
      </c>
      <c r="B1959" s="1">
        <v>300.36999500000002</v>
      </c>
      <c r="C1959" s="1">
        <v>309.5</v>
      </c>
      <c r="D1959" s="1">
        <v>289.209991</v>
      </c>
      <c r="E1959" s="1">
        <v>289.66000400000001</v>
      </c>
      <c r="F1959" s="1">
        <v>289.66000400000001</v>
      </c>
      <c r="G1959" s="2">
        <v>10249800</v>
      </c>
      <c r="H1959" s="2">
        <f t="shared" si="240"/>
        <v>2018</v>
      </c>
      <c r="I1959" s="2">
        <f t="shared" si="241"/>
        <v>4</v>
      </c>
      <c r="J1959" s="2">
        <f t="shared" si="242"/>
        <v>9</v>
      </c>
      <c r="K1959" s="2">
        <f t="shared" si="243"/>
        <v>2</v>
      </c>
      <c r="L1959" s="2">
        <f t="shared" si="244"/>
        <v>5</v>
      </c>
      <c r="M1959" s="3">
        <f t="shared" si="245"/>
        <v>299.29998799999998</v>
      </c>
      <c r="N1959" s="1">
        <f t="shared" ca="1" si="246"/>
        <v>299.29998799999998</v>
      </c>
      <c r="O1959" s="5">
        <f t="shared" si="247"/>
        <v>-3.2208434301707944E-2</v>
      </c>
    </row>
    <row r="1960" spans="1:15" s="2" customFormat="1" x14ac:dyDescent="0.5">
      <c r="A1960" s="6">
        <v>43200</v>
      </c>
      <c r="B1960" s="1">
        <v>298.97000100000002</v>
      </c>
      <c r="C1960" s="1">
        <v>307.10000600000001</v>
      </c>
      <c r="D1960" s="1">
        <v>293.67999300000002</v>
      </c>
      <c r="E1960" s="1">
        <v>304.70001200000002</v>
      </c>
      <c r="F1960" s="1">
        <v>304.70001200000002</v>
      </c>
      <c r="G1960" s="2">
        <v>10989800</v>
      </c>
      <c r="H1960" s="2">
        <f t="shared" si="240"/>
        <v>2018</v>
      </c>
      <c r="I1960" s="2">
        <f t="shared" si="241"/>
        <v>4</v>
      </c>
      <c r="J1960" s="2">
        <f t="shared" si="242"/>
        <v>10</v>
      </c>
      <c r="K1960" s="2">
        <f t="shared" si="243"/>
        <v>3</v>
      </c>
      <c r="L1960" s="2">
        <f t="shared" si="244"/>
        <v>5</v>
      </c>
      <c r="M1960" s="3">
        <f t="shared" si="245"/>
        <v>289.66000400000001</v>
      </c>
      <c r="N1960" s="1">
        <f t="shared" ca="1" si="246"/>
        <v>289.66000400000001</v>
      </c>
      <c r="O1960" s="5">
        <f t="shared" si="247"/>
        <v>5.1922971042974941E-2</v>
      </c>
    </row>
    <row r="1961" spans="1:15" s="2" customFormat="1" x14ac:dyDescent="0.5">
      <c r="A1961" s="6">
        <v>43201</v>
      </c>
      <c r="B1961" s="1">
        <v>300.73998999999998</v>
      </c>
      <c r="C1961" s="1">
        <v>308.98001099999999</v>
      </c>
      <c r="D1961" s="1">
        <v>299.66000400000001</v>
      </c>
      <c r="E1961" s="1">
        <v>300.92999300000002</v>
      </c>
      <c r="F1961" s="1">
        <v>300.92999300000002</v>
      </c>
      <c r="G1961" s="2">
        <v>7482900</v>
      </c>
      <c r="H1961" s="2">
        <f t="shared" si="240"/>
        <v>2018</v>
      </c>
      <c r="I1961" s="2">
        <f t="shared" si="241"/>
        <v>4</v>
      </c>
      <c r="J1961" s="2">
        <f t="shared" si="242"/>
        <v>11</v>
      </c>
      <c r="K1961" s="2">
        <f t="shared" si="243"/>
        <v>4</v>
      </c>
      <c r="L1961" s="2">
        <f t="shared" si="244"/>
        <v>5</v>
      </c>
      <c r="M1961" s="3">
        <f t="shared" si="245"/>
        <v>304.70001200000002</v>
      </c>
      <c r="N1961" s="1">
        <f t="shared" ca="1" si="246"/>
        <v>304.70001200000002</v>
      </c>
      <c r="O1961" s="5">
        <f t="shared" si="247"/>
        <v>-1.2372887599361171E-2</v>
      </c>
    </row>
    <row r="1962" spans="1:15" s="2" customFormat="1" x14ac:dyDescent="0.5">
      <c r="A1962" s="6">
        <v>43202</v>
      </c>
      <c r="B1962" s="1">
        <v>302.32000699999998</v>
      </c>
      <c r="C1962" s="1">
        <v>303.95001200000002</v>
      </c>
      <c r="D1962" s="1">
        <v>293.67999300000002</v>
      </c>
      <c r="E1962" s="1">
        <v>294.07998700000002</v>
      </c>
      <c r="F1962" s="1">
        <v>294.07998700000002</v>
      </c>
      <c r="G1962" s="2">
        <v>7608800</v>
      </c>
      <c r="H1962" s="2">
        <f t="shared" si="240"/>
        <v>2018</v>
      </c>
      <c r="I1962" s="2">
        <f t="shared" si="241"/>
        <v>4</v>
      </c>
      <c r="J1962" s="2">
        <f t="shared" si="242"/>
        <v>12</v>
      </c>
      <c r="K1962" s="2">
        <f t="shared" si="243"/>
        <v>5</v>
      </c>
      <c r="L1962" s="2">
        <f t="shared" si="244"/>
        <v>5</v>
      </c>
      <c r="M1962" s="3">
        <f t="shared" si="245"/>
        <v>300.92999300000002</v>
      </c>
      <c r="N1962" s="1">
        <f t="shared" ca="1" si="246"/>
        <v>300.92999300000002</v>
      </c>
      <c r="O1962" s="5">
        <f t="shared" si="247"/>
        <v>-2.2762789217889656E-2</v>
      </c>
    </row>
    <row r="1963" spans="1:15" s="2" customFormat="1" x14ac:dyDescent="0.5">
      <c r="A1963" s="6">
        <v>43203</v>
      </c>
      <c r="B1963" s="1">
        <v>303.60000600000001</v>
      </c>
      <c r="C1963" s="1">
        <v>303.95001200000002</v>
      </c>
      <c r="D1963" s="1">
        <v>295.98001099999999</v>
      </c>
      <c r="E1963" s="1">
        <v>300.33999599999999</v>
      </c>
      <c r="F1963" s="1">
        <v>300.33999599999999</v>
      </c>
      <c r="G1963" s="2">
        <v>7327200</v>
      </c>
      <c r="H1963" s="2">
        <f t="shared" si="240"/>
        <v>2018</v>
      </c>
      <c r="I1963" s="2">
        <f t="shared" si="241"/>
        <v>4</v>
      </c>
      <c r="J1963" s="2">
        <f t="shared" si="242"/>
        <v>13</v>
      </c>
      <c r="K1963" s="2">
        <f t="shared" si="243"/>
        <v>6</v>
      </c>
      <c r="L1963" s="2">
        <f t="shared" si="244"/>
        <v>5</v>
      </c>
      <c r="M1963" s="3">
        <f t="shared" si="245"/>
        <v>294.07998700000002</v>
      </c>
      <c r="N1963" s="1">
        <f t="shared" ca="1" si="246"/>
        <v>294.07998700000002</v>
      </c>
      <c r="O1963" s="5">
        <f t="shared" si="247"/>
        <v>2.1286756245673999E-2</v>
      </c>
    </row>
    <row r="1964" spans="1:15" s="2" customFormat="1" x14ac:dyDescent="0.5">
      <c r="A1964" s="6">
        <v>43206</v>
      </c>
      <c r="B1964" s="1">
        <v>299</v>
      </c>
      <c r="C1964" s="1">
        <v>299.66000400000001</v>
      </c>
      <c r="D1964" s="1">
        <v>289.01001000000002</v>
      </c>
      <c r="E1964" s="1">
        <v>291.209991</v>
      </c>
      <c r="F1964" s="1">
        <v>291.209991</v>
      </c>
      <c r="G1964" s="2">
        <v>6338500</v>
      </c>
      <c r="H1964" s="2">
        <f t="shared" si="240"/>
        <v>2018</v>
      </c>
      <c r="I1964" s="2">
        <f t="shared" si="241"/>
        <v>4</v>
      </c>
      <c r="J1964" s="2">
        <f t="shared" si="242"/>
        <v>16</v>
      </c>
      <c r="K1964" s="2">
        <f t="shared" si="243"/>
        <v>2</v>
      </c>
      <c r="L1964" s="2">
        <f t="shared" si="244"/>
        <v>5</v>
      </c>
      <c r="M1964" s="3">
        <f t="shared" si="245"/>
        <v>300.33999599999999</v>
      </c>
      <c r="N1964" s="1">
        <f t="shared" ca="1" si="246"/>
        <v>300.33999599999999</v>
      </c>
      <c r="O1964" s="5">
        <f t="shared" si="247"/>
        <v>-3.0398898320555312E-2</v>
      </c>
    </row>
    <row r="1965" spans="1:15" s="2" customFormat="1" x14ac:dyDescent="0.5">
      <c r="A1965" s="6">
        <v>43207</v>
      </c>
      <c r="B1965" s="1">
        <v>288.86999500000002</v>
      </c>
      <c r="C1965" s="1">
        <v>292.17001299999998</v>
      </c>
      <c r="D1965" s="1">
        <v>282.51001000000002</v>
      </c>
      <c r="E1965" s="1">
        <v>287.69000199999999</v>
      </c>
      <c r="F1965" s="1">
        <v>287.69000199999999</v>
      </c>
      <c r="G1965" s="4" t="s">
        <v>7</v>
      </c>
      <c r="H1965" s="2">
        <f t="shared" si="240"/>
        <v>2018</v>
      </c>
      <c r="I1965" s="2">
        <f t="shared" si="241"/>
        <v>4</v>
      </c>
      <c r="J1965" s="2">
        <f t="shared" si="242"/>
        <v>17</v>
      </c>
      <c r="K1965" s="2">
        <f t="shared" si="243"/>
        <v>3</v>
      </c>
      <c r="L1965" s="2">
        <f t="shared" si="244"/>
        <v>5</v>
      </c>
      <c r="M1965" s="3">
        <f t="shared" si="245"/>
        <v>291.209991</v>
      </c>
      <c r="N1965" s="1">
        <f t="shared" ca="1" si="246"/>
        <v>291.209991</v>
      </c>
      <c r="O1965" s="5">
        <f t="shared" si="247"/>
        <v>-1.2087459595436778E-2</v>
      </c>
    </row>
    <row r="1966" spans="1:15" s="2" customFormat="1" x14ac:dyDescent="0.5">
      <c r="A1966" s="6">
        <v>43208</v>
      </c>
      <c r="B1966" s="1">
        <v>291.07998700000002</v>
      </c>
      <c r="C1966" s="1">
        <v>300.23998999999998</v>
      </c>
      <c r="D1966" s="1">
        <v>288.16000400000001</v>
      </c>
      <c r="E1966" s="1">
        <v>293.35000600000001</v>
      </c>
      <c r="F1966" s="1">
        <v>293.35000600000001</v>
      </c>
      <c r="G1966" s="2">
        <v>6557700</v>
      </c>
      <c r="H1966" s="2">
        <f t="shared" si="240"/>
        <v>2018</v>
      </c>
      <c r="I1966" s="2">
        <f t="shared" si="241"/>
        <v>4</v>
      </c>
      <c r="J1966" s="2">
        <f t="shared" si="242"/>
        <v>18</v>
      </c>
      <c r="K1966" s="2">
        <f t="shared" si="243"/>
        <v>4</v>
      </c>
      <c r="L1966" s="2">
        <f t="shared" si="244"/>
        <v>5</v>
      </c>
      <c r="M1966" s="3">
        <f t="shared" si="245"/>
        <v>287.69000199999999</v>
      </c>
      <c r="N1966" s="1">
        <f t="shared" ca="1" si="246"/>
        <v>287.69000199999999</v>
      </c>
      <c r="O1966" s="5">
        <f t="shared" si="247"/>
        <v>1.9673968370996775E-2</v>
      </c>
    </row>
    <row r="1967" spans="1:15" s="2" customFormat="1" x14ac:dyDescent="0.5">
      <c r="A1967" s="6">
        <v>43209</v>
      </c>
      <c r="B1967" s="1">
        <v>291.07998700000002</v>
      </c>
      <c r="C1967" s="1">
        <v>301.01001000000002</v>
      </c>
      <c r="D1967" s="1">
        <v>288.54998799999998</v>
      </c>
      <c r="E1967" s="1">
        <v>300.07998700000002</v>
      </c>
      <c r="F1967" s="1">
        <v>300.07998700000002</v>
      </c>
      <c r="G1967" s="2">
        <v>6090600</v>
      </c>
      <c r="H1967" s="2">
        <f t="shared" si="240"/>
        <v>2018</v>
      </c>
      <c r="I1967" s="2">
        <f t="shared" si="241"/>
        <v>4</v>
      </c>
      <c r="J1967" s="2">
        <f t="shared" si="242"/>
        <v>19</v>
      </c>
      <c r="K1967" s="2">
        <f t="shared" si="243"/>
        <v>5</v>
      </c>
      <c r="L1967" s="2">
        <f t="shared" si="244"/>
        <v>5</v>
      </c>
      <c r="M1967" s="3">
        <f t="shared" si="245"/>
        <v>293.35000600000001</v>
      </c>
      <c r="N1967" s="1">
        <f t="shared" ca="1" si="246"/>
        <v>293.35000600000001</v>
      </c>
      <c r="O1967" s="5">
        <f t="shared" si="247"/>
        <v>2.2941813064084382E-2</v>
      </c>
    </row>
    <row r="1968" spans="1:15" s="2" customFormat="1" x14ac:dyDescent="0.5">
      <c r="A1968" s="6">
        <v>43210</v>
      </c>
      <c r="B1968" s="1">
        <v>295.17001299999998</v>
      </c>
      <c r="C1968" s="1">
        <v>299.98001099999999</v>
      </c>
      <c r="D1968" s="1">
        <v>289.75</v>
      </c>
      <c r="E1968" s="1">
        <v>290.23998999999998</v>
      </c>
      <c r="F1968" s="1">
        <v>290.23998999999998</v>
      </c>
      <c r="G1968" s="2">
        <v>5627900</v>
      </c>
      <c r="H1968" s="2">
        <f t="shared" si="240"/>
        <v>2018</v>
      </c>
      <c r="I1968" s="2">
        <f t="shared" si="241"/>
        <v>4</v>
      </c>
      <c r="J1968" s="2">
        <f t="shared" si="242"/>
        <v>20</v>
      </c>
      <c r="K1968" s="2">
        <f t="shared" si="243"/>
        <v>6</v>
      </c>
      <c r="L1968" s="2">
        <f t="shared" si="244"/>
        <v>5</v>
      </c>
      <c r="M1968" s="3">
        <f t="shared" si="245"/>
        <v>300.07998700000002</v>
      </c>
      <c r="N1968" s="1">
        <f t="shared" ca="1" si="246"/>
        <v>300.07998700000002</v>
      </c>
      <c r="O1968" s="5">
        <f t="shared" si="247"/>
        <v>-3.2791247088397313E-2</v>
      </c>
    </row>
    <row r="1969" spans="1:15" s="2" customFormat="1" x14ac:dyDescent="0.5">
      <c r="A1969" s="6">
        <v>43213</v>
      </c>
      <c r="B1969" s="1">
        <v>291.290009</v>
      </c>
      <c r="C1969" s="1">
        <v>291.61999500000002</v>
      </c>
      <c r="D1969" s="1">
        <v>282.32998700000002</v>
      </c>
      <c r="E1969" s="1">
        <v>283.36999500000002</v>
      </c>
      <c r="F1969" s="1">
        <v>283.36999500000002</v>
      </c>
      <c r="G1969" s="2">
        <v>4893400</v>
      </c>
      <c r="H1969" s="2">
        <f t="shared" si="240"/>
        <v>2018</v>
      </c>
      <c r="I1969" s="2">
        <f t="shared" si="241"/>
        <v>4</v>
      </c>
      <c r="J1969" s="2">
        <f t="shared" si="242"/>
        <v>23</v>
      </c>
      <c r="K1969" s="2">
        <f t="shared" si="243"/>
        <v>2</v>
      </c>
      <c r="L1969" s="2">
        <f t="shared" si="244"/>
        <v>5</v>
      </c>
      <c r="M1969" s="3">
        <f t="shared" si="245"/>
        <v>290.23998999999998</v>
      </c>
      <c r="N1969" s="1">
        <f t="shared" ca="1" si="246"/>
        <v>290.23998999999998</v>
      </c>
      <c r="O1969" s="5">
        <f t="shared" si="247"/>
        <v>-2.3670049740561083E-2</v>
      </c>
    </row>
    <row r="1970" spans="1:15" s="2" customFormat="1" x14ac:dyDescent="0.5">
      <c r="A1970" s="6">
        <v>43214</v>
      </c>
      <c r="B1970" s="1">
        <v>285</v>
      </c>
      <c r="C1970" s="1">
        <v>287.08999599999999</v>
      </c>
      <c r="D1970" s="1">
        <v>278.459991</v>
      </c>
      <c r="E1970" s="1">
        <v>283.459991</v>
      </c>
      <c r="F1970" s="1">
        <v>283.459991</v>
      </c>
      <c r="G1970" s="2">
        <v>5685300</v>
      </c>
      <c r="H1970" s="2">
        <f t="shared" si="240"/>
        <v>2018</v>
      </c>
      <c r="I1970" s="2">
        <f t="shared" si="241"/>
        <v>4</v>
      </c>
      <c r="J1970" s="2">
        <f t="shared" si="242"/>
        <v>24</v>
      </c>
      <c r="K1970" s="2">
        <f t="shared" si="243"/>
        <v>3</v>
      </c>
      <c r="L1970" s="2">
        <f t="shared" si="244"/>
        <v>5</v>
      </c>
      <c r="M1970" s="3">
        <f t="shared" si="245"/>
        <v>283.36999500000002</v>
      </c>
      <c r="N1970" s="1">
        <f t="shared" ca="1" si="246"/>
        <v>283.36999500000002</v>
      </c>
      <c r="O1970" s="5">
        <f t="shared" si="247"/>
        <v>3.1759184665958173E-4</v>
      </c>
    </row>
    <row r="1971" spans="1:15" s="2" customFormat="1" x14ac:dyDescent="0.5">
      <c r="A1971" s="6">
        <v>43215</v>
      </c>
      <c r="B1971" s="1">
        <v>283.5</v>
      </c>
      <c r="C1971" s="1">
        <v>285.16000400000001</v>
      </c>
      <c r="D1971" s="1">
        <v>277.25</v>
      </c>
      <c r="E1971" s="1">
        <v>280.69000199999999</v>
      </c>
      <c r="F1971" s="1">
        <v>280.69000199999999</v>
      </c>
      <c r="G1971" s="2">
        <v>4013600</v>
      </c>
      <c r="H1971" s="2">
        <f t="shared" si="240"/>
        <v>2018</v>
      </c>
      <c r="I1971" s="2">
        <f t="shared" si="241"/>
        <v>4</v>
      </c>
      <c r="J1971" s="2">
        <f t="shared" si="242"/>
        <v>25</v>
      </c>
      <c r="K1971" s="2">
        <f t="shared" si="243"/>
        <v>4</v>
      </c>
      <c r="L1971" s="2">
        <f t="shared" si="244"/>
        <v>5</v>
      </c>
      <c r="M1971" s="3">
        <f t="shared" si="245"/>
        <v>283.459991</v>
      </c>
      <c r="N1971" s="1">
        <f t="shared" ca="1" si="246"/>
        <v>283.459991</v>
      </c>
      <c r="O1971" s="5">
        <f t="shared" si="247"/>
        <v>-9.7720633879510022E-3</v>
      </c>
    </row>
    <row r="1972" spans="1:15" s="2" customFormat="1" x14ac:dyDescent="0.5">
      <c r="A1972" s="6">
        <v>43216</v>
      </c>
      <c r="B1972" s="1">
        <v>278.75</v>
      </c>
      <c r="C1972" s="1">
        <v>285.790009</v>
      </c>
      <c r="D1972" s="1">
        <v>276.5</v>
      </c>
      <c r="E1972" s="1">
        <v>285.48001099999999</v>
      </c>
      <c r="F1972" s="1">
        <v>285.48001099999999</v>
      </c>
      <c r="G1972" s="2">
        <v>4356000</v>
      </c>
      <c r="H1972" s="2">
        <f t="shared" si="240"/>
        <v>2018</v>
      </c>
      <c r="I1972" s="2">
        <f t="shared" si="241"/>
        <v>4</v>
      </c>
      <c r="J1972" s="2">
        <f t="shared" si="242"/>
        <v>26</v>
      </c>
      <c r="K1972" s="2">
        <f t="shared" si="243"/>
        <v>5</v>
      </c>
      <c r="L1972" s="2">
        <f t="shared" si="244"/>
        <v>5</v>
      </c>
      <c r="M1972" s="3">
        <f t="shared" si="245"/>
        <v>280.69000199999999</v>
      </c>
      <c r="N1972" s="1">
        <f t="shared" ca="1" si="246"/>
        <v>280.69000199999999</v>
      </c>
      <c r="O1972" s="5">
        <f t="shared" si="247"/>
        <v>1.706512154287565E-2</v>
      </c>
    </row>
    <row r="1973" spans="1:15" s="2" customFormat="1" x14ac:dyDescent="0.5">
      <c r="A1973" s="6">
        <v>43217</v>
      </c>
      <c r="B1973" s="1">
        <v>285.36999500000002</v>
      </c>
      <c r="C1973" s="1">
        <v>294.47000100000002</v>
      </c>
      <c r="D1973" s="1">
        <v>283.82998700000002</v>
      </c>
      <c r="E1973" s="1">
        <v>294.07998700000002</v>
      </c>
      <c r="F1973" s="1">
        <v>294.07998700000002</v>
      </c>
      <c r="G1973" s="2">
        <v>4364600</v>
      </c>
      <c r="H1973" s="2">
        <f t="shared" si="240"/>
        <v>2018</v>
      </c>
      <c r="I1973" s="2">
        <f t="shared" si="241"/>
        <v>4</v>
      </c>
      <c r="J1973" s="2">
        <f t="shared" si="242"/>
        <v>27</v>
      </c>
      <c r="K1973" s="2">
        <f t="shared" si="243"/>
        <v>6</v>
      </c>
      <c r="L1973" s="2">
        <f t="shared" si="244"/>
        <v>5</v>
      </c>
      <c r="M1973" s="3">
        <f t="shared" si="245"/>
        <v>285.48001099999999</v>
      </c>
      <c r="N1973" s="1">
        <f t="shared" ca="1" si="246"/>
        <v>285.48001099999999</v>
      </c>
      <c r="O1973" s="5">
        <f t="shared" si="247"/>
        <v>3.0124617026163758E-2</v>
      </c>
    </row>
    <row r="1974" spans="1:15" s="2" customFormat="1" x14ac:dyDescent="0.5">
      <c r="A1974" s="6">
        <v>43220</v>
      </c>
      <c r="B1974" s="1">
        <v>293.60998499999999</v>
      </c>
      <c r="C1974" s="1">
        <v>298.73001099999999</v>
      </c>
      <c r="D1974" s="1">
        <v>292.5</v>
      </c>
      <c r="E1974" s="1">
        <v>293.89999399999999</v>
      </c>
      <c r="F1974" s="1">
        <v>293.89999399999999</v>
      </c>
      <c r="G1974" s="2">
        <v>4228200</v>
      </c>
      <c r="H1974" s="2">
        <f t="shared" si="240"/>
        <v>2018</v>
      </c>
      <c r="I1974" s="2">
        <f t="shared" si="241"/>
        <v>4</v>
      </c>
      <c r="J1974" s="2">
        <f t="shared" si="242"/>
        <v>30</v>
      </c>
      <c r="K1974" s="2">
        <f t="shared" si="243"/>
        <v>2</v>
      </c>
      <c r="L1974" s="2">
        <f t="shared" si="244"/>
        <v>5</v>
      </c>
      <c r="M1974" s="3">
        <f t="shared" si="245"/>
        <v>294.07998700000002</v>
      </c>
      <c r="N1974" s="1">
        <f t="shared" ca="1" si="246"/>
        <v>294.07998700000002</v>
      </c>
      <c r="O1974" s="5">
        <f t="shared" si="247"/>
        <v>-6.1205457003787878E-4</v>
      </c>
    </row>
    <row r="1975" spans="1:15" s="2" customFormat="1" x14ac:dyDescent="0.5">
      <c r="A1975" s="6">
        <v>43221</v>
      </c>
      <c r="B1975" s="1">
        <v>293.51001000000002</v>
      </c>
      <c r="C1975" s="1">
        <v>300.82000699999998</v>
      </c>
      <c r="D1975" s="1">
        <v>293.22000100000002</v>
      </c>
      <c r="E1975" s="1">
        <v>299.92001299999998</v>
      </c>
      <c r="F1975" s="1">
        <v>299.92001299999998</v>
      </c>
      <c r="G1975" s="2">
        <v>4625600</v>
      </c>
      <c r="H1975" s="2">
        <f t="shared" si="240"/>
        <v>2018</v>
      </c>
      <c r="I1975" s="2">
        <f t="shared" si="241"/>
        <v>5</v>
      </c>
      <c r="J1975" s="2">
        <f t="shared" si="242"/>
        <v>1</v>
      </c>
      <c r="K1975" s="2">
        <f t="shared" si="243"/>
        <v>3</v>
      </c>
      <c r="L1975" s="2">
        <f t="shared" si="244"/>
        <v>6</v>
      </c>
      <c r="M1975" s="3">
        <f t="shared" si="245"/>
        <v>293.89999399999999</v>
      </c>
      <c r="N1975" s="1">
        <f t="shared" ca="1" si="246"/>
        <v>293.89999399999999</v>
      </c>
      <c r="O1975" s="5">
        <f t="shared" si="247"/>
        <v>2.0483222602583728E-2</v>
      </c>
    </row>
    <row r="1976" spans="1:15" s="2" customFormat="1" x14ac:dyDescent="0.5">
      <c r="A1976" s="6">
        <v>43222</v>
      </c>
      <c r="B1976" s="1">
        <v>298.57000699999998</v>
      </c>
      <c r="C1976" s="1">
        <v>306.85000600000001</v>
      </c>
      <c r="D1976" s="1">
        <v>297.77999899999998</v>
      </c>
      <c r="E1976" s="1">
        <v>301.14999399999999</v>
      </c>
      <c r="F1976" s="1">
        <v>301.14999399999999</v>
      </c>
      <c r="G1976" s="2">
        <v>8970400</v>
      </c>
      <c r="H1976" s="2">
        <f t="shared" si="240"/>
        <v>2018</v>
      </c>
      <c r="I1976" s="2">
        <f t="shared" si="241"/>
        <v>5</v>
      </c>
      <c r="J1976" s="2">
        <f t="shared" si="242"/>
        <v>2</v>
      </c>
      <c r="K1976" s="2">
        <f t="shared" si="243"/>
        <v>4</v>
      </c>
      <c r="L1976" s="2">
        <f t="shared" si="244"/>
        <v>6</v>
      </c>
      <c r="M1976" s="3">
        <f t="shared" si="245"/>
        <v>299.92001299999998</v>
      </c>
      <c r="N1976" s="1">
        <f t="shared" ca="1" si="246"/>
        <v>299.92001299999998</v>
      </c>
      <c r="O1976" s="5">
        <f t="shared" si="247"/>
        <v>4.1010300969812619E-3</v>
      </c>
    </row>
    <row r="1977" spans="1:15" s="2" customFormat="1" x14ac:dyDescent="0.5">
      <c r="A1977" s="6">
        <v>43223</v>
      </c>
      <c r="B1977" s="1">
        <v>278.790009</v>
      </c>
      <c r="C1977" s="1">
        <v>288.040009</v>
      </c>
      <c r="D1977" s="1">
        <v>275.23001099999999</v>
      </c>
      <c r="E1977" s="1">
        <v>284.45001200000002</v>
      </c>
      <c r="F1977" s="1">
        <v>284.45001200000002</v>
      </c>
      <c r="G1977" s="2">
        <v>17352100</v>
      </c>
      <c r="H1977" s="2">
        <f t="shared" si="240"/>
        <v>2018</v>
      </c>
      <c r="I1977" s="2">
        <f t="shared" si="241"/>
        <v>5</v>
      </c>
      <c r="J1977" s="2">
        <f t="shared" si="242"/>
        <v>3</v>
      </c>
      <c r="K1977" s="2">
        <f t="shared" si="243"/>
        <v>5</v>
      </c>
      <c r="L1977" s="2">
        <f t="shared" si="244"/>
        <v>6</v>
      </c>
      <c r="M1977" s="3">
        <f t="shared" si="245"/>
        <v>301.14999399999999</v>
      </c>
      <c r="N1977" s="1">
        <f t="shared" ca="1" si="246"/>
        <v>301.14999399999999</v>
      </c>
      <c r="O1977" s="5">
        <f t="shared" si="247"/>
        <v>-5.5454033978828421E-2</v>
      </c>
    </row>
    <row r="1978" spans="1:15" s="2" customFormat="1" x14ac:dyDescent="0.5">
      <c r="A1978" s="6">
        <v>43224</v>
      </c>
      <c r="B1978" s="1">
        <v>283</v>
      </c>
      <c r="C1978" s="1">
        <v>296.85998499999999</v>
      </c>
      <c r="D1978" s="1">
        <v>279.51998900000001</v>
      </c>
      <c r="E1978" s="1">
        <v>294.08999599999999</v>
      </c>
      <c r="F1978" s="1">
        <v>294.08999599999999</v>
      </c>
      <c r="G1978" s="2">
        <v>8569400</v>
      </c>
      <c r="H1978" s="2">
        <f t="shared" si="240"/>
        <v>2018</v>
      </c>
      <c r="I1978" s="2">
        <f t="shared" si="241"/>
        <v>5</v>
      </c>
      <c r="J1978" s="2">
        <f t="shared" si="242"/>
        <v>4</v>
      </c>
      <c r="K1978" s="2">
        <f t="shared" si="243"/>
        <v>6</v>
      </c>
      <c r="L1978" s="2">
        <f t="shared" si="244"/>
        <v>6</v>
      </c>
      <c r="M1978" s="3">
        <f t="shared" si="245"/>
        <v>284.45001200000002</v>
      </c>
      <c r="N1978" s="1">
        <f t="shared" ca="1" si="246"/>
        <v>284.45001200000002</v>
      </c>
      <c r="O1978" s="5">
        <f t="shared" si="247"/>
        <v>3.3889905408054588E-2</v>
      </c>
    </row>
    <row r="1979" spans="1:15" s="2" customFormat="1" x14ac:dyDescent="0.5">
      <c r="A1979" s="6">
        <v>43227</v>
      </c>
      <c r="B1979" s="1">
        <v>297.5</v>
      </c>
      <c r="C1979" s="1">
        <v>305.959991</v>
      </c>
      <c r="D1979" s="1">
        <v>295.17001299999998</v>
      </c>
      <c r="E1979" s="1">
        <v>302.76998900000001</v>
      </c>
      <c r="F1979" s="1">
        <v>302.76998900000001</v>
      </c>
      <c r="G1979" s="2">
        <v>8678200</v>
      </c>
      <c r="H1979" s="2">
        <f t="shared" si="240"/>
        <v>2018</v>
      </c>
      <c r="I1979" s="2">
        <f t="shared" si="241"/>
        <v>5</v>
      </c>
      <c r="J1979" s="2">
        <f t="shared" si="242"/>
        <v>7</v>
      </c>
      <c r="K1979" s="2">
        <f t="shared" si="243"/>
        <v>2</v>
      </c>
      <c r="L1979" s="2">
        <f t="shared" si="244"/>
        <v>6</v>
      </c>
      <c r="M1979" s="3">
        <f t="shared" si="245"/>
        <v>294.08999599999999</v>
      </c>
      <c r="N1979" s="1">
        <f t="shared" ca="1" si="246"/>
        <v>294.08999599999999</v>
      </c>
      <c r="O1979" s="5">
        <f t="shared" si="247"/>
        <v>2.951475098799361E-2</v>
      </c>
    </row>
    <row r="1980" spans="1:15" s="2" customFormat="1" x14ac:dyDescent="0.5">
      <c r="A1980" s="6">
        <v>43228</v>
      </c>
      <c r="B1980" s="1">
        <v>300.79998799999998</v>
      </c>
      <c r="C1980" s="1">
        <v>307.75</v>
      </c>
      <c r="D1980" s="1">
        <v>299</v>
      </c>
      <c r="E1980" s="1">
        <v>301.97000100000002</v>
      </c>
      <c r="F1980" s="1">
        <v>301.97000100000002</v>
      </c>
      <c r="G1980" s="2">
        <v>5930000</v>
      </c>
      <c r="H1980" s="2">
        <f t="shared" si="240"/>
        <v>2018</v>
      </c>
      <c r="I1980" s="2">
        <f t="shared" si="241"/>
        <v>5</v>
      </c>
      <c r="J1980" s="2">
        <f t="shared" si="242"/>
        <v>8</v>
      </c>
      <c r="K1980" s="2">
        <f t="shared" si="243"/>
        <v>3</v>
      </c>
      <c r="L1980" s="2">
        <f t="shared" si="244"/>
        <v>6</v>
      </c>
      <c r="M1980" s="3">
        <f t="shared" si="245"/>
        <v>302.76998900000001</v>
      </c>
      <c r="N1980" s="1">
        <f t="shared" ca="1" si="246"/>
        <v>302.76998900000001</v>
      </c>
      <c r="O1980" s="5">
        <f t="shared" si="247"/>
        <v>-2.6422301716303442E-3</v>
      </c>
    </row>
    <row r="1981" spans="1:15" s="2" customFormat="1" x14ac:dyDescent="0.5">
      <c r="A1981" s="6">
        <v>43229</v>
      </c>
      <c r="B1981" s="1">
        <v>300.41000400000001</v>
      </c>
      <c r="C1981" s="1">
        <v>307.01001000000002</v>
      </c>
      <c r="D1981" s="1">
        <v>300.04998799999998</v>
      </c>
      <c r="E1981" s="1">
        <v>306.85000600000001</v>
      </c>
      <c r="F1981" s="1">
        <v>306.85000600000001</v>
      </c>
      <c r="G1981" s="2">
        <v>5727400</v>
      </c>
      <c r="H1981" s="2">
        <f t="shared" si="240"/>
        <v>2018</v>
      </c>
      <c r="I1981" s="2">
        <f t="shared" si="241"/>
        <v>5</v>
      </c>
      <c r="J1981" s="2">
        <f t="shared" si="242"/>
        <v>9</v>
      </c>
      <c r="K1981" s="2">
        <f t="shared" si="243"/>
        <v>4</v>
      </c>
      <c r="L1981" s="2">
        <f t="shared" si="244"/>
        <v>6</v>
      </c>
      <c r="M1981" s="3">
        <f t="shared" si="245"/>
        <v>301.97000100000002</v>
      </c>
      <c r="N1981" s="1">
        <f t="shared" ca="1" si="246"/>
        <v>301.97000100000002</v>
      </c>
      <c r="O1981" s="5">
        <f t="shared" si="247"/>
        <v>1.6160562253996869E-2</v>
      </c>
    </row>
    <row r="1982" spans="1:15" s="2" customFormat="1" x14ac:dyDescent="0.5">
      <c r="A1982" s="6">
        <v>43230</v>
      </c>
      <c r="B1982" s="1">
        <v>307.5</v>
      </c>
      <c r="C1982" s="1">
        <v>312.98998999999998</v>
      </c>
      <c r="D1982" s="1">
        <v>304.10998499999999</v>
      </c>
      <c r="E1982" s="1">
        <v>305.01998900000001</v>
      </c>
      <c r="F1982" s="1">
        <v>305.01998900000001</v>
      </c>
      <c r="G1982" s="2">
        <v>5651600</v>
      </c>
      <c r="H1982" s="2">
        <f t="shared" si="240"/>
        <v>2018</v>
      </c>
      <c r="I1982" s="2">
        <f t="shared" si="241"/>
        <v>5</v>
      </c>
      <c r="J1982" s="2">
        <f t="shared" si="242"/>
        <v>10</v>
      </c>
      <c r="K1982" s="2">
        <f t="shared" si="243"/>
        <v>5</v>
      </c>
      <c r="L1982" s="2">
        <f t="shared" si="244"/>
        <v>6</v>
      </c>
      <c r="M1982" s="3">
        <f t="shared" si="245"/>
        <v>306.85000600000001</v>
      </c>
      <c r="N1982" s="1">
        <f t="shared" ca="1" si="246"/>
        <v>306.85000600000001</v>
      </c>
      <c r="O1982" s="5">
        <f t="shared" si="247"/>
        <v>-5.9638812586498835E-3</v>
      </c>
    </row>
    <row r="1983" spans="1:15" s="2" customFormat="1" x14ac:dyDescent="0.5">
      <c r="A1983" s="6">
        <v>43231</v>
      </c>
      <c r="B1983" s="1">
        <v>307.70001200000002</v>
      </c>
      <c r="C1983" s="1">
        <v>308.88000499999998</v>
      </c>
      <c r="D1983" s="1">
        <v>299.07998700000002</v>
      </c>
      <c r="E1983" s="1">
        <v>301.05999800000001</v>
      </c>
      <c r="F1983" s="1">
        <v>301.05999800000001</v>
      </c>
      <c r="G1983" s="2">
        <v>4679600</v>
      </c>
      <c r="H1983" s="2">
        <f t="shared" si="240"/>
        <v>2018</v>
      </c>
      <c r="I1983" s="2">
        <f t="shared" si="241"/>
        <v>5</v>
      </c>
      <c r="J1983" s="2">
        <f t="shared" si="242"/>
        <v>11</v>
      </c>
      <c r="K1983" s="2">
        <f t="shared" si="243"/>
        <v>6</v>
      </c>
      <c r="L1983" s="2">
        <f t="shared" si="244"/>
        <v>6</v>
      </c>
      <c r="M1983" s="3">
        <f t="shared" si="245"/>
        <v>305.01998900000001</v>
      </c>
      <c r="N1983" s="1">
        <f t="shared" ca="1" si="246"/>
        <v>305.01998900000001</v>
      </c>
      <c r="O1983" s="5">
        <f t="shared" si="247"/>
        <v>-1.298272619110219E-2</v>
      </c>
    </row>
    <row r="1984" spans="1:15" s="2" customFormat="1" x14ac:dyDescent="0.5">
      <c r="A1984" s="6">
        <v>43234</v>
      </c>
      <c r="B1984" s="1">
        <v>303.32000699999998</v>
      </c>
      <c r="C1984" s="1">
        <v>304.94000199999999</v>
      </c>
      <c r="D1984" s="1">
        <v>291.61999500000002</v>
      </c>
      <c r="E1984" s="1">
        <v>291.97000100000002</v>
      </c>
      <c r="F1984" s="1">
        <v>291.97000100000002</v>
      </c>
      <c r="G1984" s="2">
        <v>7286800</v>
      </c>
      <c r="H1984" s="2">
        <f t="shared" si="240"/>
        <v>2018</v>
      </c>
      <c r="I1984" s="2">
        <f t="shared" si="241"/>
        <v>5</v>
      </c>
      <c r="J1984" s="2">
        <f t="shared" si="242"/>
        <v>14</v>
      </c>
      <c r="K1984" s="2">
        <f t="shared" si="243"/>
        <v>2</v>
      </c>
      <c r="L1984" s="2">
        <f t="shared" si="244"/>
        <v>6</v>
      </c>
      <c r="M1984" s="3">
        <f t="shared" si="245"/>
        <v>301.05999800000001</v>
      </c>
      <c r="N1984" s="1">
        <f t="shared" ca="1" si="246"/>
        <v>301.05999800000001</v>
      </c>
      <c r="O1984" s="5">
        <f t="shared" si="247"/>
        <v>-3.0193307182576845E-2</v>
      </c>
    </row>
    <row r="1985" spans="1:15" s="2" customFormat="1" x14ac:dyDescent="0.5">
      <c r="A1985" s="6">
        <v>43235</v>
      </c>
      <c r="B1985" s="1">
        <v>285.01001000000002</v>
      </c>
      <c r="C1985" s="1">
        <v>286.959991</v>
      </c>
      <c r="D1985" s="1">
        <v>280.5</v>
      </c>
      <c r="E1985" s="1">
        <v>284.17999300000002</v>
      </c>
      <c r="F1985" s="1">
        <v>284.17999300000002</v>
      </c>
      <c r="G1985" s="2">
        <v>9519200</v>
      </c>
      <c r="H1985" s="2">
        <f t="shared" si="240"/>
        <v>2018</v>
      </c>
      <c r="I1985" s="2">
        <f t="shared" si="241"/>
        <v>5</v>
      </c>
      <c r="J1985" s="2">
        <f t="shared" si="242"/>
        <v>15</v>
      </c>
      <c r="K1985" s="2">
        <f t="shared" si="243"/>
        <v>3</v>
      </c>
      <c r="L1985" s="2">
        <f t="shared" si="244"/>
        <v>6</v>
      </c>
      <c r="M1985" s="3">
        <f t="shared" si="245"/>
        <v>291.97000100000002</v>
      </c>
      <c r="N1985" s="1">
        <f t="shared" ca="1" si="246"/>
        <v>291.97000100000002</v>
      </c>
      <c r="O1985" s="5">
        <f t="shared" si="247"/>
        <v>-2.6680850680957491E-2</v>
      </c>
    </row>
    <row r="1986" spans="1:15" s="2" customFormat="1" x14ac:dyDescent="0.5">
      <c r="A1986" s="6">
        <v>43236</v>
      </c>
      <c r="B1986" s="1">
        <v>283.82998700000002</v>
      </c>
      <c r="C1986" s="1">
        <v>288.80999800000001</v>
      </c>
      <c r="D1986" s="1">
        <v>281.55999800000001</v>
      </c>
      <c r="E1986" s="1">
        <v>286.48001099999999</v>
      </c>
      <c r="F1986" s="1">
        <v>286.48001099999999</v>
      </c>
      <c r="G1986" s="2">
        <v>5674000</v>
      </c>
      <c r="H1986" s="2">
        <f t="shared" ref="H1986:H2049" si="248">YEAR(A1986)</f>
        <v>2018</v>
      </c>
      <c r="I1986" s="2">
        <f t="shared" ref="I1986:I2049" si="249">MONTH(A1986)</f>
        <v>5</v>
      </c>
      <c r="J1986" s="2">
        <f t="shared" ref="J1986:J2049" si="250">DAY(A1986)</f>
        <v>16</v>
      </c>
      <c r="K1986" s="2">
        <f t="shared" ref="K1986:K2049" si="251">WEEKDAY(A1986)</f>
        <v>4</v>
      </c>
      <c r="L1986" s="2">
        <f t="shared" si="244"/>
        <v>6</v>
      </c>
      <c r="M1986" s="3">
        <f t="shared" si="245"/>
        <v>284.17999300000002</v>
      </c>
      <c r="N1986" s="1">
        <f t="shared" ca="1" si="246"/>
        <v>284.17999300000002</v>
      </c>
      <c r="O1986" s="5">
        <f t="shared" si="247"/>
        <v>8.0935254298495352E-3</v>
      </c>
    </row>
    <row r="1987" spans="1:15" s="2" customFormat="1" x14ac:dyDescent="0.5">
      <c r="A1987" s="6">
        <v>43237</v>
      </c>
      <c r="B1987" s="1">
        <v>285.89999399999999</v>
      </c>
      <c r="C1987" s="1">
        <v>289.19000199999999</v>
      </c>
      <c r="D1987" s="1">
        <v>283.97000100000002</v>
      </c>
      <c r="E1987" s="1">
        <v>284.540009</v>
      </c>
      <c r="F1987" s="1">
        <v>284.540009</v>
      </c>
      <c r="G1987" s="2">
        <v>4420600</v>
      </c>
      <c r="H1987" s="2">
        <f t="shared" si="248"/>
        <v>2018</v>
      </c>
      <c r="I1987" s="2">
        <f t="shared" si="249"/>
        <v>5</v>
      </c>
      <c r="J1987" s="2">
        <f t="shared" si="250"/>
        <v>17</v>
      </c>
      <c r="K1987" s="2">
        <f t="shared" si="251"/>
        <v>5</v>
      </c>
      <c r="L1987" s="2">
        <f t="shared" ref="L1987:L2050" si="252">I1987+1</f>
        <v>6</v>
      </c>
      <c r="M1987" s="3">
        <f t="shared" ref="M1987:M2050" si="253">F1986</f>
        <v>286.48001099999999</v>
      </c>
      <c r="N1987" s="1">
        <f t="shared" ref="N1987:N2050" ca="1" si="254">OFFSET(F1987, -1, 0)</f>
        <v>286.48001099999999</v>
      </c>
      <c r="O1987" s="5">
        <f t="shared" ref="O1987:O2050" si="255">(F1987/M1987)-1</f>
        <v>-6.7718581594161664E-3</v>
      </c>
    </row>
    <row r="1988" spans="1:15" s="2" customFormat="1" x14ac:dyDescent="0.5">
      <c r="A1988" s="6">
        <v>43238</v>
      </c>
      <c r="B1988" s="1">
        <v>284.64999399999999</v>
      </c>
      <c r="C1988" s="1">
        <v>284.64999399999999</v>
      </c>
      <c r="D1988" s="1">
        <v>274</v>
      </c>
      <c r="E1988" s="1">
        <v>276.82000699999998</v>
      </c>
      <c r="F1988" s="1">
        <v>276.82000699999998</v>
      </c>
      <c r="G1988" s="2">
        <v>7251900</v>
      </c>
      <c r="H1988" s="2">
        <f t="shared" si="248"/>
        <v>2018</v>
      </c>
      <c r="I1988" s="2">
        <f t="shared" si="249"/>
        <v>5</v>
      </c>
      <c r="J1988" s="2">
        <f t="shared" si="250"/>
        <v>18</v>
      </c>
      <c r="K1988" s="2">
        <f t="shared" si="251"/>
        <v>6</v>
      </c>
      <c r="L1988" s="2">
        <f t="shared" si="252"/>
        <v>6</v>
      </c>
      <c r="M1988" s="3">
        <f t="shared" si="253"/>
        <v>284.540009</v>
      </c>
      <c r="N1988" s="1">
        <f t="shared" ca="1" si="254"/>
        <v>284.540009</v>
      </c>
      <c r="O1988" s="5">
        <f t="shared" si="255"/>
        <v>-2.7131516678907563E-2</v>
      </c>
    </row>
    <row r="1989" spans="1:15" s="2" customFormat="1" x14ac:dyDescent="0.5">
      <c r="A1989" s="6">
        <v>43241</v>
      </c>
      <c r="B1989" s="1">
        <v>281.32998700000002</v>
      </c>
      <c r="C1989" s="1">
        <v>291.48998999999998</v>
      </c>
      <c r="D1989" s="1">
        <v>281.29998799999998</v>
      </c>
      <c r="E1989" s="1">
        <v>284.48998999999998</v>
      </c>
      <c r="F1989" s="1">
        <v>284.48998999999998</v>
      </c>
      <c r="G1989" s="2">
        <v>9182600</v>
      </c>
      <c r="H1989" s="2">
        <f t="shared" si="248"/>
        <v>2018</v>
      </c>
      <c r="I1989" s="2">
        <f t="shared" si="249"/>
        <v>5</v>
      </c>
      <c r="J1989" s="2">
        <f t="shared" si="250"/>
        <v>21</v>
      </c>
      <c r="K1989" s="2">
        <f t="shared" si="251"/>
        <v>2</v>
      </c>
      <c r="L1989" s="2">
        <f t="shared" si="252"/>
        <v>6</v>
      </c>
      <c r="M1989" s="3">
        <f t="shared" si="253"/>
        <v>276.82000699999998</v>
      </c>
      <c r="N1989" s="1">
        <f t="shared" ca="1" si="254"/>
        <v>276.82000699999998</v>
      </c>
      <c r="O1989" s="5">
        <f t="shared" si="255"/>
        <v>2.7707473470297339E-2</v>
      </c>
    </row>
    <row r="1990" spans="1:15" s="2" customFormat="1" x14ac:dyDescent="0.5">
      <c r="A1990" s="6">
        <v>43242</v>
      </c>
      <c r="B1990" s="1">
        <v>287.76001000000002</v>
      </c>
      <c r="C1990" s="1">
        <v>288</v>
      </c>
      <c r="D1990" s="1">
        <v>273.42001299999998</v>
      </c>
      <c r="E1990" s="1">
        <v>275.01001000000002</v>
      </c>
      <c r="F1990" s="1">
        <v>275.01001000000002</v>
      </c>
      <c r="G1990" s="2">
        <v>8945800</v>
      </c>
      <c r="H1990" s="2">
        <f t="shared" si="248"/>
        <v>2018</v>
      </c>
      <c r="I1990" s="2">
        <f t="shared" si="249"/>
        <v>5</v>
      </c>
      <c r="J1990" s="2">
        <f t="shared" si="250"/>
        <v>22</v>
      </c>
      <c r="K1990" s="2">
        <f t="shared" si="251"/>
        <v>3</v>
      </c>
      <c r="L1990" s="2">
        <f t="shared" si="252"/>
        <v>6</v>
      </c>
      <c r="M1990" s="3">
        <f t="shared" si="253"/>
        <v>284.48998999999998</v>
      </c>
      <c r="N1990" s="1">
        <f t="shared" ca="1" si="254"/>
        <v>284.48998999999998</v>
      </c>
      <c r="O1990" s="5">
        <f t="shared" si="255"/>
        <v>-3.3322719017284119E-2</v>
      </c>
    </row>
    <row r="1991" spans="1:15" s="2" customFormat="1" x14ac:dyDescent="0.5">
      <c r="A1991" s="6">
        <v>43243</v>
      </c>
      <c r="B1991" s="1">
        <v>277.76001000000002</v>
      </c>
      <c r="C1991" s="1">
        <v>279.91000400000001</v>
      </c>
      <c r="D1991" s="1">
        <v>274</v>
      </c>
      <c r="E1991" s="1">
        <v>279.07000699999998</v>
      </c>
      <c r="F1991" s="1">
        <v>279.07000699999998</v>
      </c>
      <c r="G1991" s="2">
        <v>5953100</v>
      </c>
      <c r="H1991" s="2">
        <f t="shared" si="248"/>
        <v>2018</v>
      </c>
      <c r="I1991" s="2">
        <f t="shared" si="249"/>
        <v>5</v>
      </c>
      <c r="J1991" s="2">
        <f t="shared" si="250"/>
        <v>23</v>
      </c>
      <c r="K1991" s="2">
        <f t="shared" si="251"/>
        <v>4</v>
      </c>
      <c r="L1991" s="2">
        <f t="shared" si="252"/>
        <v>6</v>
      </c>
      <c r="M1991" s="3">
        <f t="shared" si="253"/>
        <v>275.01001000000002</v>
      </c>
      <c r="N1991" s="1">
        <f t="shared" ca="1" si="254"/>
        <v>275.01001000000002</v>
      </c>
      <c r="O1991" s="5">
        <f t="shared" si="255"/>
        <v>1.4763088078139308E-2</v>
      </c>
    </row>
    <row r="1992" spans="1:15" s="2" customFormat="1" x14ac:dyDescent="0.5">
      <c r="A1992" s="6">
        <v>43244</v>
      </c>
      <c r="B1992" s="1">
        <v>278.39999399999999</v>
      </c>
      <c r="C1992" s="1">
        <v>281.10998499999999</v>
      </c>
      <c r="D1992" s="1">
        <v>274.89001500000001</v>
      </c>
      <c r="E1992" s="1">
        <v>277.85000600000001</v>
      </c>
      <c r="F1992" s="1">
        <v>277.85000600000001</v>
      </c>
      <c r="G1992" s="2">
        <v>4193000</v>
      </c>
      <c r="H1992" s="2">
        <f t="shared" si="248"/>
        <v>2018</v>
      </c>
      <c r="I1992" s="2">
        <f t="shared" si="249"/>
        <v>5</v>
      </c>
      <c r="J1992" s="2">
        <f t="shared" si="250"/>
        <v>24</v>
      </c>
      <c r="K1992" s="2">
        <f t="shared" si="251"/>
        <v>5</v>
      </c>
      <c r="L1992" s="2">
        <f t="shared" si="252"/>
        <v>6</v>
      </c>
      <c r="M1992" s="3">
        <f t="shared" si="253"/>
        <v>279.07000699999998</v>
      </c>
      <c r="N1992" s="1">
        <f t="shared" ca="1" si="254"/>
        <v>279.07000699999998</v>
      </c>
      <c r="O1992" s="5">
        <f t="shared" si="255"/>
        <v>-4.3716664972884844E-3</v>
      </c>
    </row>
    <row r="1993" spans="1:15" s="2" customFormat="1" x14ac:dyDescent="0.5">
      <c r="A1993" s="6">
        <v>43245</v>
      </c>
      <c r="B1993" s="1">
        <v>277.63000499999998</v>
      </c>
      <c r="C1993" s="1">
        <v>279.64001500000001</v>
      </c>
      <c r="D1993" s="1">
        <v>275.60998499999999</v>
      </c>
      <c r="E1993" s="1">
        <v>278.85000600000001</v>
      </c>
      <c r="F1993" s="1">
        <v>278.85000600000001</v>
      </c>
      <c r="G1993" s="2">
        <v>3875100</v>
      </c>
      <c r="H1993" s="2">
        <f t="shared" si="248"/>
        <v>2018</v>
      </c>
      <c r="I1993" s="2">
        <f t="shared" si="249"/>
        <v>5</v>
      </c>
      <c r="J1993" s="2">
        <f t="shared" si="250"/>
        <v>25</v>
      </c>
      <c r="K1993" s="2">
        <f t="shared" si="251"/>
        <v>6</v>
      </c>
      <c r="L1993" s="2">
        <f t="shared" si="252"/>
        <v>6</v>
      </c>
      <c r="M1993" s="3">
        <f t="shared" si="253"/>
        <v>277.85000600000001</v>
      </c>
      <c r="N1993" s="1">
        <f t="shared" ca="1" si="254"/>
        <v>277.85000600000001</v>
      </c>
      <c r="O1993" s="5">
        <f t="shared" si="255"/>
        <v>3.5990641655772038E-3</v>
      </c>
    </row>
    <row r="1994" spans="1:15" s="2" customFormat="1" x14ac:dyDescent="0.5">
      <c r="A1994" s="6">
        <v>43249</v>
      </c>
      <c r="B1994" s="1">
        <v>278.51001000000002</v>
      </c>
      <c r="C1994" s="1">
        <v>286.5</v>
      </c>
      <c r="D1994" s="1">
        <v>276.14999399999999</v>
      </c>
      <c r="E1994" s="1">
        <v>283.76001000000002</v>
      </c>
      <c r="F1994" s="1">
        <v>283.76001000000002</v>
      </c>
      <c r="G1994" s="2">
        <v>5651100</v>
      </c>
      <c r="H1994" s="2">
        <f t="shared" si="248"/>
        <v>2018</v>
      </c>
      <c r="I1994" s="2">
        <f t="shared" si="249"/>
        <v>5</v>
      </c>
      <c r="J1994" s="2">
        <f t="shared" si="250"/>
        <v>29</v>
      </c>
      <c r="K1994" s="2">
        <f t="shared" si="251"/>
        <v>3</v>
      </c>
      <c r="L1994" s="2">
        <f t="shared" si="252"/>
        <v>6</v>
      </c>
      <c r="M1994" s="3">
        <f t="shared" si="253"/>
        <v>278.85000600000001</v>
      </c>
      <c r="N1994" s="1">
        <f t="shared" ca="1" si="254"/>
        <v>278.85000600000001</v>
      </c>
      <c r="O1994" s="5">
        <f t="shared" si="255"/>
        <v>1.7608046958406787E-2</v>
      </c>
    </row>
    <row r="1995" spans="1:15" s="2" customFormat="1" x14ac:dyDescent="0.5">
      <c r="A1995" s="6">
        <v>43250</v>
      </c>
      <c r="B1995" s="1">
        <v>283.290009</v>
      </c>
      <c r="C1995" s="1">
        <v>295.01001000000002</v>
      </c>
      <c r="D1995" s="1">
        <v>281.60000600000001</v>
      </c>
      <c r="E1995" s="1">
        <v>291.72000100000002</v>
      </c>
      <c r="F1995" s="1">
        <v>291.72000100000002</v>
      </c>
      <c r="G1995" s="2">
        <v>7489700</v>
      </c>
      <c r="H1995" s="2">
        <f t="shared" si="248"/>
        <v>2018</v>
      </c>
      <c r="I1995" s="2">
        <f t="shared" si="249"/>
        <v>5</v>
      </c>
      <c r="J1995" s="2">
        <f t="shared" si="250"/>
        <v>30</v>
      </c>
      <c r="K1995" s="2">
        <f t="shared" si="251"/>
        <v>4</v>
      </c>
      <c r="L1995" s="2">
        <f t="shared" si="252"/>
        <v>6</v>
      </c>
      <c r="M1995" s="3">
        <f t="shared" si="253"/>
        <v>283.76001000000002</v>
      </c>
      <c r="N1995" s="1">
        <f t="shared" ca="1" si="254"/>
        <v>283.76001000000002</v>
      </c>
      <c r="O1995" s="5">
        <f t="shared" si="255"/>
        <v>2.8051842118274495E-2</v>
      </c>
    </row>
    <row r="1996" spans="1:15" s="2" customFormat="1" x14ac:dyDescent="0.5">
      <c r="A1996" s="6">
        <v>43251</v>
      </c>
      <c r="B1996" s="1">
        <v>287.209991</v>
      </c>
      <c r="C1996" s="1">
        <v>290.36999500000002</v>
      </c>
      <c r="D1996" s="1">
        <v>282.92999300000002</v>
      </c>
      <c r="E1996" s="1">
        <v>284.73001099999999</v>
      </c>
      <c r="F1996" s="1">
        <v>284.73001099999999</v>
      </c>
      <c r="G1996" s="2">
        <v>5919700</v>
      </c>
      <c r="H1996" s="2">
        <f t="shared" si="248"/>
        <v>2018</v>
      </c>
      <c r="I1996" s="2">
        <f t="shared" si="249"/>
        <v>5</v>
      </c>
      <c r="J1996" s="2">
        <f t="shared" si="250"/>
        <v>31</v>
      </c>
      <c r="K1996" s="2">
        <f t="shared" si="251"/>
        <v>5</v>
      </c>
      <c r="L1996" s="2">
        <f t="shared" si="252"/>
        <v>6</v>
      </c>
      <c r="M1996" s="3">
        <f t="shared" si="253"/>
        <v>291.72000100000002</v>
      </c>
      <c r="N1996" s="1">
        <f t="shared" ca="1" si="254"/>
        <v>291.72000100000002</v>
      </c>
      <c r="O1996" s="5">
        <f t="shared" si="255"/>
        <v>-2.396129842327821E-2</v>
      </c>
    </row>
    <row r="1997" spans="1:15" s="2" customFormat="1" x14ac:dyDescent="0.5">
      <c r="A1997" s="6">
        <v>43252</v>
      </c>
      <c r="B1997" s="1">
        <v>285.85998499999999</v>
      </c>
      <c r="C1997" s="1">
        <v>291.95001200000002</v>
      </c>
      <c r="D1997" s="1">
        <v>283.83999599999999</v>
      </c>
      <c r="E1997" s="1">
        <v>291.82000699999998</v>
      </c>
      <c r="F1997" s="1">
        <v>291.82000699999998</v>
      </c>
      <c r="G1997" s="2">
        <v>5411400</v>
      </c>
      <c r="H1997" s="2">
        <f t="shared" si="248"/>
        <v>2018</v>
      </c>
      <c r="I1997" s="2">
        <f t="shared" si="249"/>
        <v>6</v>
      </c>
      <c r="J1997" s="2">
        <f t="shared" si="250"/>
        <v>1</v>
      </c>
      <c r="K1997" s="2">
        <f t="shared" si="251"/>
        <v>6</v>
      </c>
      <c r="L1997" s="2">
        <f t="shared" si="252"/>
        <v>7</v>
      </c>
      <c r="M1997" s="3">
        <f t="shared" si="253"/>
        <v>284.73001099999999</v>
      </c>
      <c r="N1997" s="1">
        <f t="shared" ca="1" si="254"/>
        <v>284.73001099999999</v>
      </c>
      <c r="O1997" s="5">
        <f t="shared" si="255"/>
        <v>2.4900768187727129E-2</v>
      </c>
    </row>
    <row r="1998" spans="1:15" s="2" customFormat="1" x14ac:dyDescent="0.5">
      <c r="A1998" s="6">
        <v>43255</v>
      </c>
      <c r="B1998" s="1">
        <v>294.33999599999999</v>
      </c>
      <c r="C1998" s="1">
        <v>299</v>
      </c>
      <c r="D1998" s="1">
        <v>293.54998799999998</v>
      </c>
      <c r="E1998" s="1">
        <v>296.73998999999998</v>
      </c>
      <c r="F1998" s="1">
        <v>296.73998999999998</v>
      </c>
      <c r="G1998" s="2">
        <v>4767300</v>
      </c>
      <c r="H1998" s="2">
        <f t="shared" si="248"/>
        <v>2018</v>
      </c>
      <c r="I1998" s="2">
        <f t="shared" si="249"/>
        <v>6</v>
      </c>
      <c r="J1998" s="2">
        <f t="shared" si="250"/>
        <v>4</v>
      </c>
      <c r="K1998" s="2">
        <f t="shared" si="251"/>
        <v>2</v>
      </c>
      <c r="L1998" s="2">
        <f t="shared" si="252"/>
        <v>7</v>
      </c>
      <c r="M1998" s="3">
        <f t="shared" si="253"/>
        <v>291.82000699999998</v>
      </c>
      <c r="N1998" s="1">
        <f t="shared" ca="1" si="254"/>
        <v>291.82000699999998</v>
      </c>
      <c r="O1998" s="5">
        <f t="shared" si="255"/>
        <v>1.6859649379694419E-2</v>
      </c>
    </row>
    <row r="1999" spans="1:15" s="2" customFormat="1" x14ac:dyDescent="0.5">
      <c r="A1999" s="6">
        <v>43256</v>
      </c>
      <c r="B1999" s="1">
        <v>297.70001200000002</v>
      </c>
      <c r="C1999" s="1">
        <v>297.79998799999998</v>
      </c>
      <c r="D1999" s="1">
        <v>286.73998999999998</v>
      </c>
      <c r="E1999" s="1">
        <v>291.13000499999998</v>
      </c>
      <c r="F1999" s="1">
        <v>291.13000499999998</v>
      </c>
      <c r="G1999" s="2">
        <v>5995200</v>
      </c>
      <c r="H1999" s="2">
        <f t="shared" si="248"/>
        <v>2018</v>
      </c>
      <c r="I1999" s="2">
        <f t="shared" si="249"/>
        <v>6</v>
      </c>
      <c r="J1999" s="2">
        <f t="shared" si="250"/>
        <v>5</v>
      </c>
      <c r="K1999" s="2">
        <f t="shared" si="251"/>
        <v>3</v>
      </c>
      <c r="L1999" s="2">
        <f t="shared" si="252"/>
        <v>7</v>
      </c>
      <c r="M1999" s="3">
        <f t="shared" si="253"/>
        <v>296.73998999999998</v>
      </c>
      <c r="N1999" s="1">
        <f t="shared" ca="1" si="254"/>
        <v>296.73998999999998</v>
      </c>
      <c r="O1999" s="5">
        <f t="shared" si="255"/>
        <v>-1.8905389192740762E-2</v>
      </c>
    </row>
    <row r="2000" spans="1:15" s="2" customFormat="1" x14ac:dyDescent="0.5">
      <c r="A2000" s="6">
        <v>43257</v>
      </c>
      <c r="B2000" s="1">
        <v>300.5</v>
      </c>
      <c r="C2000" s="1">
        <v>322.17001299999998</v>
      </c>
      <c r="D2000" s="1">
        <v>297.48001099999999</v>
      </c>
      <c r="E2000" s="1">
        <v>319.5</v>
      </c>
      <c r="F2000" s="1">
        <v>319.5</v>
      </c>
      <c r="G2000" s="2">
        <v>18767300</v>
      </c>
      <c r="H2000" s="2">
        <f t="shared" si="248"/>
        <v>2018</v>
      </c>
      <c r="I2000" s="2">
        <f t="shared" si="249"/>
        <v>6</v>
      </c>
      <c r="J2000" s="2">
        <f t="shared" si="250"/>
        <v>6</v>
      </c>
      <c r="K2000" s="2">
        <f t="shared" si="251"/>
        <v>4</v>
      </c>
      <c r="L2000" s="2">
        <f t="shared" si="252"/>
        <v>7</v>
      </c>
      <c r="M2000" s="3">
        <f t="shared" si="253"/>
        <v>291.13000499999998</v>
      </c>
      <c r="N2000" s="1">
        <f t="shared" ca="1" si="254"/>
        <v>291.13000499999998</v>
      </c>
      <c r="O2000" s="5">
        <f t="shared" si="255"/>
        <v>9.7447856671455169E-2</v>
      </c>
    </row>
    <row r="2001" spans="1:15" s="2" customFormat="1" x14ac:dyDescent="0.5">
      <c r="A2001" s="6">
        <v>43258</v>
      </c>
      <c r="B2001" s="1">
        <v>316.14999399999999</v>
      </c>
      <c r="C2001" s="1">
        <v>330</v>
      </c>
      <c r="D2001" s="1">
        <v>313.57998700000002</v>
      </c>
      <c r="E2001" s="1">
        <v>316.08999599999999</v>
      </c>
      <c r="F2001" s="1">
        <v>316.08999599999999</v>
      </c>
      <c r="G2001" s="2">
        <v>14345300</v>
      </c>
      <c r="H2001" s="2">
        <f t="shared" si="248"/>
        <v>2018</v>
      </c>
      <c r="I2001" s="2">
        <f t="shared" si="249"/>
        <v>6</v>
      </c>
      <c r="J2001" s="2">
        <f t="shared" si="250"/>
        <v>7</v>
      </c>
      <c r="K2001" s="2">
        <f t="shared" si="251"/>
        <v>5</v>
      </c>
      <c r="L2001" s="2">
        <f t="shared" si="252"/>
        <v>7</v>
      </c>
      <c r="M2001" s="3">
        <f t="shared" si="253"/>
        <v>319.5</v>
      </c>
      <c r="N2001" s="1">
        <f t="shared" ca="1" si="254"/>
        <v>319.5</v>
      </c>
      <c r="O2001" s="5">
        <f t="shared" si="255"/>
        <v>-1.067293896713617E-2</v>
      </c>
    </row>
    <row r="2002" spans="1:15" s="2" customFormat="1" x14ac:dyDescent="0.5">
      <c r="A2002" s="6">
        <v>43259</v>
      </c>
      <c r="B2002" s="1">
        <v>319</v>
      </c>
      <c r="C2002" s="1">
        <v>324.48001099999999</v>
      </c>
      <c r="D2002" s="1">
        <v>317.14999399999999</v>
      </c>
      <c r="E2002" s="1">
        <v>317.66000400000001</v>
      </c>
      <c r="F2002" s="1">
        <v>317.66000400000001</v>
      </c>
      <c r="G2002" s="2">
        <v>8205200</v>
      </c>
      <c r="H2002" s="2">
        <f t="shared" si="248"/>
        <v>2018</v>
      </c>
      <c r="I2002" s="2">
        <f t="shared" si="249"/>
        <v>6</v>
      </c>
      <c r="J2002" s="2">
        <f t="shared" si="250"/>
        <v>8</v>
      </c>
      <c r="K2002" s="2">
        <f t="shared" si="251"/>
        <v>6</v>
      </c>
      <c r="L2002" s="2">
        <f t="shared" si="252"/>
        <v>7</v>
      </c>
      <c r="M2002" s="3">
        <f t="shared" si="253"/>
        <v>316.08999599999999</v>
      </c>
      <c r="N2002" s="1">
        <f t="shared" ca="1" si="254"/>
        <v>316.08999599999999</v>
      </c>
      <c r="O2002" s="5">
        <f t="shared" si="255"/>
        <v>4.9669651677304305E-3</v>
      </c>
    </row>
    <row r="2003" spans="1:15" s="2" customFormat="1" x14ac:dyDescent="0.5">
      <c r="A2003" s="6">
        <v>43262</v>
      </c>
      <c r="B2003" s="1">
        <v>322.51001000000002</v>
      </c>
      <c r="C2003" s="1">
        <v>334.66000400000001</v>
      </c>
      <c r="D2003" s="1">
        <v>322.5</v>
      </c>
      <c r="E2003" s="1">
        <v>332.10000600000001</v>
      </c>
      <c r="F2003" s="1">
        <v>332.10000600000001</v>
      </c>
      <c r="G2003" s="2">
        <v>13183500</v>
      </c>
      <c r="H2003" s="2">
        <f t="shared" si="248"/>
        <v>2018</v>
      </c>
      <c r="I2003" s="2">
        <f t="shared" si="249"/>
        <v>6</v>
      </c>
      <c r="J2003" s="2">
        <f t="shared" si="250"/>
        <v>11</v>
      </c>
      <c r="K2003" s="2">
        <f t="shared" si="251"/>
        <v>2</v>
      </c>
      <c r="L2003" s="2">
        <f t="shared" si="252"/>
        <v>7</v>
      </c>
      <c r="M2003" s="3">
        <f t="shared" si="253"/>
        <v>317.66000400000001</v>
      </c>
      <c r="N2003" s="1">
        <f t="shared" ca="1" si="254"/>
        <v>317.66000400000001</v>
      </c>
      <c r="O2003" s="5">
        <f t="shared" si="255"/>
        <v>4.5457413014450498E-2</v>
      </c>
    </row>
    <row r="2004" spans="1:15" s="2" customFormat="1" x14ac:dyDescent="0.5">
      <c r="A2004" s="6">
        <v>43263</v>
      </c>
      <c r="B2004" s="1">
        <v>344.70001200000002</v>
      </c>
      <c r="C2004" s="1">
        <v>354.97000100000002</v>
      </c>
      <c r="D2004" s="1">
        <v>338</v>
      </c>
      <c r="E2004" s="1">
        <v>342.76998900000001</v>
      </c>
      <c r="F2004" s="1">
        <v>342.76998900000001</v>
      </c>
      <c r="G2004" s="2">
        <v>22347400</v>
      </c>
      <c r="H2004" s="2">
        <f t="shared" si="248"/>
        <v>2018</v>
      </c>
      <c r="I2004" s="2">
        <f t="shared" si="249"/>
        <v>6</v>
      </c>
      <c r="J2004" s="2">
        <f t="shared" si="250"/>
        <v>12</v>
      </c>
      <c r="K2004" s="2">
        <f t="shared" si="251"/>
        <v>3</v>
      </c>
      <c r="L2004" s="2">
        <f t="shared" si="252"/>
        <v>7</v>
      </c>
      <c r="M2004" s="3">
        <f t="shared" si="253"/>
        <v>332.10000600000001</v>
      </c>
      <c r="N2004" s="1">
        <f t="shared" ca="1" si="254"/>
        <v>332.10000600000001</v>
      </c>
      <c r="O2004" s="5">
        <f t="shared" si="255"/>
        <v>3.2128825074456691E-2</v>
      </c>
    </row>
    <row r="2005" spans="1:15" s="2" customFormat="1" x14ac:dyDescent="0.5">
      <c r="A2005" s="6">
        <v>43264</v>
      </c>
      <c r="B2005" s="1">
        <v>346.709991</v>
      </c>
      <c r="C2005" s="1">
        <v>347.20001200000002</v>
      </c>
      <c r="D2005" s="1">
        <v>339.79998799999998</v>
      </c>
      <c r="E2005" s="1">
        <v>344.77999899999998</v>
      </c>
      <c r="F2005" s="1">
        <v>344.77999899999998</v>
      </c>
      <c r="G2005" s="2">
        <v>9469800</v>
      </c>
      <c r="H2005" s="2">
        <f t="shared" si="248"/>
        <v>2018</v>
      </c>
      <c r="I2005" s="2">
        <f t="shared" si="249"/>
        <v>6</v>
      </c>
      <c r="J2005" s="2">
        <f t="shared" si="250"/>
        <v>13</v>
      </c>
      <c r="K2005" s="2">
        <f t="shared" si="251"/>
        <v>4</v>
      </c>
      <c r="L2005" s="2">
        <f t="shared" si="252"/>
        <v>7</v>
      </c>
      <c r="M2005" s="3">
        <f t="shared" si="253"/>
        <v>342.76998900000001</v>
      </c>
      <c r="N2005" s="1">
        <f t="shared" ca="1" si="254"/>
        <v>342.76998900000001</v>
      </c>
      <c r="O2005" s="5">
        <f t="shared" si="255"/>
        <v>5.8640197931678628E-3</v>
      </c>
    </row>
    <row r="2006" spans="1:15" s="2" customFormat="1" x14ac:dyDescent="0.5">
      <c r="A2006" s="6">
        <v>43265</v>
      </c>
      <c r="B2006" s="1">
        <v>347.63000499999998</v>
      </c>
      <c r="C2006" s="1">
        <v>358.75</v>
      </c>
      <c r="D2006" s="1">
        <v>346.60000600000001</v>
      </c>
      <c r="E2006" s="1">
        <v>357.72000100000002</v>
      </c>
      <c r="F2006" s="1">
        <v>357.72000100000002</v>
      </c>
      <c r="G2006" s="2">
        <v>10981000</v>
      </c>
      <c r="H2006" s="2">
        <f t="shared" si="248"/>
        <v>2018</v>
      </c>
      <c r="I2006" s="2">
        <f t="shared" si="249"/>
        <v>6</v>
      </c>
      <c r="J2006" s="2">
        <f t="shared" si="250"/>
        <v>14</v>
      </c>
      <c r="K2006" s="2">
        <f t="shared" si="251"/>
        <v>5</v>
      </c>
      <c r="L2006" s="2">
        <f t="shared" si="252"/>
        <v>7</v>
      </c>
      <c r="M2006" s="3">
        <f t="shared" si="253"/>
        <v>344.77999899999998</v>
      </c>
      <c r="N2006" s="1">
        <f t="shared" ca="1" si="254"/>
        <v>344.77999899999998</v>
      </c>
      <c r="O2006" s="5">
        <f t="shared" si="255"/>
        <v>3.7531185212399842E-2</v>
      </c>
    </row>
    <row r="2007" spans="1:15" s="2" customFormat="1" x14ac:dyDescent="0.5">
      <c r="A2007" s="6">
        <v>43266</v>
      </c>
      <c r="B2007" s="1">
        <v>353.83999599999999</v>
      </c>
      <c r="C2007" s="1">
        <v>364.67001299999998</v>
      </c>
      <c r="D2007" s="1">
        <v>351.25</v>
      </c>
      <c r="E2007" s="1">
        <v>358.17001299999998</v>
      </c>
      <c r="F2007" s="1">
        <v>358.17001299999998</v>
      </c>
      <c r="G2007" s="2">
        <v>10848300</v>
      </c>
      <c r="H2007" s="2">
        <f t="shared" si="248"/>
        <v>2018</v>
      </c>
      <c r="I2007" s="2">
        <f t="shared" si="249"/>
        <v>6</v>
      </c>
      <c r="J2007" s="2">
        <f t="shared" si="250"/>
        <v>15</v>
      </c>
      <c r="K2007" s="2">
        <f t="shared" si="251"/>
        <v>6</v>
      </c>
      <c r="L2007" s="2">
        <f t="shared" si="252"/>
        <v>7</v>
      </c>
      <c r="M2007" s="3">
        <f t="shared" si="253"/>
        <v>357.72000100000002</v>
      </c>
      <c r="N2007" s="1">
        <f t="shared" ca="1" si="254"/>
        <v>357.72000100000002</v>
      </c>
      <c r="O2007" s="5">
        <f t="shared" si="255"/>
        <v>1.2580006673990063E-3</v>
      </c>
    </row>
    <row r="2008" spans="1:15" s="2" customFormat="1" x14ac:dyDescent="0.5">
      <c r="A2008" s="6">
        <v>43269</v>
      </c>
      <c r="B2008" s="1">
        <v>355.39999399999999</v>
      </c>
      <c r="C2008" s="1">
        <v>373.73001099999999</v>
      </c>
      <c r="D2008" s="1">
        <v>354.5</v>
      </c>
      <c r="E2008" s="1">
        <v>370.82998700000002</v>
      </c>
      <c r="F2008" s="1">
        <v>370.82998700000002</v>
      </c>
      <c r="G2008" s="2">
        <v>12073200</v>
      </c>
      <c r="H2008" s="2">
        <f t="shared" si="248"/>
        <v>2018</v>
      </c>
      <c r="I2008" s="2">
        <f t="shared" si="249"/>
        <v>6</v>
      </c>
      <c r="J2008" s="2">
        <f t="shared" si="250"/>
        <v>18</v>
      </c>
      <c r="K2008" s="2">
        <f t="shared" si="251"/>
        <v>2</v>
      </c>
      <c r="L2008" s="2">
        <f t="shared" si="252"/>
        <v>7</v>
      </c>
      <c r="M2008" s="3">
        <f t="shared" si="253"/>
        <v>358.17001299999998</v>
      </c>
      <c r="N2008" s="1">
        <f t="shared" ca="1" si="254"/>
        <v>358.17001299999998</v>
      </c>
      <c r="O2008" s="5">
        <f t="shared" si="255"/>
        <v>3.5346270040758743E-2</v>
      </c>
    </row>
    <row r="2009" spans="1:15" s="2" customFormat="1" x14ac:dyDescent="0.5">
      <c r="A2009" s="6">
        <v>43270</v>
      </c>
      <c r="B2009" s="1">
        <v>365.16000400000001</v>
      </c>
      <c r="C2009" s="1">
        <v>370</v>
      </c>
      <c r="D2009" s="1">
        <v>346.25</v>
      </c>
      <c r="E2009" s="1">
        <v>352.54998799999998</v>
      </c>
      <c r="F2009" s="1">
        <v>352.54998799999998</v>
      </c>
      <c r="G2009" s="2">
        <v>12761900</v>
      </c>
      <c r="H2009" s="2">
        <f t="shared" si="248"/>
        <v>2018</v>
      </c>
      <c r="I2009" s="2">
        <f t="shared" si="249"/>
        <v>6</v>
      </c>
      <c r="J2009" s="2">
        <f t="shared" si="250"/>
        <v>19</v>
      </c>
      <c r="K2009" s="2">
        <f t="shared" si="251"/>
        <v>3</v>
      </c>
      <c r="L2009" s="2">
        <f t="shared" si="252"/>
        <v>7</v>
      </c>
      <c r="M2009" s="3">
        <f t="shared" si="253"/>
        <v>370.82998700000002</v>
      </c>
      <c r="N2009" s="1">
        <f t="shared" ca="1" si="254"/>
        <v>370.82998700000002</v>
      </c>
      <c r="O2009" s="5">
        <f t="shared" si="255"/>
        <v>-4.9294824153473971E-2</v>
      </c>
    </row>
    <row r="2010" spans="1:15" s="2" customFormat="1" x14ac:dyDescent="0.5">
      <c r="A2010" s="6">
        <v>43271</v>
      </c>
      <c r="B2010" s="1">
        <v>358.040009</v>
      </c>
      <c r="C2010" s="1">
        <v>364.38000499999998</v>
      </c>
      <c r="D2010" s="1">
        <v>352</v>
      </c>
      <c r="E2010" s="1">
        <v>362.22000100000002</v>
      </c>
      <c r="F2010" s="1">
        <v>362.22000100000002</v>
      </c>
      <c r="G2010" s="2">
        <v>8383700</v>
      </c>
      <c r="H2010" s="2">
        <f t="shared" si="248"/>
        <v>2018</v>
      </c>
      <c r="I2010" s="2">
        <f t="shared" si="249"/>
        <v>6</v>
      </c>
      <c r="J2010" s="2">
        <f t="shared" si="250"/>
        <v>20</v>
      </c>
      <c r="K2010" s="2">
        <f t="shared" si="251"/>
        <v>4</v>
      </c>
      <c r="L2010" s="2">
        <f t="shared" si="252"/>
        <v>7</v>
      </c>
      <c r="M2010" s="3">
        <f t="shared" si="253"/>
        <v>352.54998799999998</v>
      </c>
      <c r="N2010" s="1">
        <f t="shared" ca="1" si="254"/>
        <v>352.54998799999998</v>
      </c>
      <c r="O2010" s="5">
        <f t="shared" si="255"/>
        <v>2.7428771320792134E-2</v>
      </c>
    </row>
    <row r="2011" spans="1:15" s="2" customFormat="1" x14ac:dyDescent="0.5">
      <c r="A2011" s="6">
        <v>43272</v>
      </c>
      <c r="B2011" s="1">
        <v>362</v>
      </c>
      <c r="C2011" s="1">
        <v>366.209991</v>
      </c>
      <c r="D2011" s="1">
        <v>346.26998900000001</v>
      </c>
      <c r="E2011" s="1">
        <v>347.51001000000002</v>
      </c>
      <c r="F2011" s="1">
        <v>347.51001000000002</v>
      </c>
      <c r="G2011" s="2">
        <v>7967100</v>
      </c>
      <c r="H2011" s="2">
        <f t="shared" si="248"/>
        <v>2018</v>
      </c>
      <c r="I2011" s="2">
        <f t="shared" si="249"/>
        <v>6</v>
      </c>
      <c r="J2011" s="2">
        <f t="shared" si="250"/>
        <v>21</v>
      </c>
      <c r="K2011" s="2">
        <f t="shared" si="251"/>
        <v>5</v>
      </c>
      <c r="L2011" s="2">
        <f t="shared" si="252"/>
        <v>7</v>
      </c>
      <c r="M2011" s="3">
        <f t="shared" si="253"/>
        <v>362.22000100000002</v>
      </c>
      <c r="N2011" s="1">
        <f t="shared" ca="1" si="254"/>
        <v>362.22000100000002</v>
      </c>
      <c r="O2011" s="5">
        <f t="shared" si="255"/>
        <v>-4.0610653634226002E-2</v>
      </c>
    </row>
    <row r="2012" spans="1:15" s="2" customFormat="1" x14ac:dyDescent="0.5">
      <c r="A2012" s="6">
        <v>43273</v>
      </c>
      <c r="B2012" s="1">
        <v>351.540009</v>
      </c>
      <c r="C2012" s="1">
        <v>352.25</v>
      </c>
      <c r="D2012" s="1">
        <v>332</v>
      </c>
      <c r="E2012" s="1">
        <v>333.63000499999998</v>
      </c>
      <c r="F2012" s="1">
        <v>333.63000499999998</v>
      </c>
      <c r="G2012" s="2">
        <v>10266100</v>
      </c>
      <c r="H2012" s="2">
        <f t="shared" si="248"/>
        <v>2018</v>
      </c>
      <c r="I2012" s="2">
        <f t="shared" si="249"/>
        <v>6</v>
      </c>
      <c r="J2012" s="2">
        <f t="shared" si="250"/>
        <v>22</v>
      </c>
      <c r="K2012" s="2">
        <f t="shared" si="251"/>
        <v>6</v>
      </c>
      <c r="L2012" s="2">
        <f t="shared" si="252"/>
        <v>7</v>
      </c>
      <c r="M2012" s="3">
        <f t="shared" si="253"/>
        <v>347.51001000000002</v>
      </c>
      <c r="N2012" s="1">
        <f t="shared" ca="1" si="254"/>
        <v>347.51001000000002</v>
      </c>
      <c r="O2012" s="5">
        <f t="shared" si="255"/>
        <v>-3.9941309892051802E-2</v>
      </c>
    </row>
    <row r="2013" spans="1:15" s="2" customFormat="1" x14ac:dyDescent="0.5">
      <c r="A2013" s="6">
        <v>43276</v>
      </c>
      <c r="B2013" s="1">
        <v>330.11999500000002</v>
      </c>
      <c r="C2013" s="1">
        <v>338.47000100000002</v>
      </c>
      <c r="D2013" s="1">
        <v>327.5</v>
      </c>
      <c r="E2013" s="1">
        <v>333.01001000000002</v>
      </c>
      <c r="F2013" s="1">
        <v>333.01001000000002</v>
      </c>
      <c r="G2013" s="2">
        <v>6931300</v>
      </c>
      <c r="H2013" s="2">
        <f t="shared" si="248"/>
        <v>2018</v>
      </c>
      <c r="I2013" s="2">
        <f t="shared" si="249"/>
        <v>6</v>
      </c>
      <c r="J2013" s="2">
        <f t="shared" si="250"/>
        <v>25</v>
      </c>
      <c r="K2013" s="2">
        <f t="shared" si="251"/>
        <v>2</v>
      </c>
      <c r="L2013" s="2">
        <f t="shared" si="252"/>
        <v>7</v>
      </c>
      <c r="M2013" s="3">
        <f t="shared" si="253"/>
        <v>333.63000499999998</v>
      </c>
      <c r="N2013" s="1">
        <f t="shared" ca="1" si="254"/>
        <v>333.63000499999998</v>
      </c>
      <c r="O2013" s="5">
        <f t="shared" si="255"/>
        <v>-1.8583310574837864E-3</v>
      </c>
    </row>
    <row r="2014" spans="1:15" s="2" customFormat="1" x14ac:dyDescent="0.5">
      <c r="A2014" s="6">
        <v>43277</v>
      </c>
      <c r="B2014" s="1">
        <v>336.04998799999998</v>
      </c>
      <c r="C2014" s="1">
        <v>343.54998799999998</v>
      </c>
      <c r="D2014" s="1">
        <v>325.79998799999998</v>
      </c>
      <c r="E2014" s="1">
        <v>342</v>
      </c>
      <c r="F2014" s="1">
        <v>342</v>
      </c>
      <c r="G2014" s="2">
        <v>7452500</v>
      </c>
      <c r="H2014" s="2">
        <f t="shared" si="248"/>
        <v>2018</v>
      </c>
      <c r="I2014" s="2">
        <f t="shared" si="249"/>
        <v>6</v>
      </c>
      <c r="J2014" s="2">
        <f t="shared" si="250"/>
        <v>26</v>
      </c>
      <c r="K2014" s="2">
        <f t="shared" si="251"/>
        <v>3</v>
      </c>
      <c r="L2014" s="2">
        <f t="shared" si="252"/>
        <v>7</v>
      </c>
      <c r="M2014" s="3">
        <f t="shared" si="253"/>
        <v>333.01001000000002</v>
      </c>
      <c r="N2014" s="1">
        <f t="shared" ca="1" si="254"/>
        <v>333.01001000000002</v>
      </c>
      <c r="O2014" s="5">
        <f t="shared" si="255"/>
        <v>2.6996155460912385E-2</v>
      </c>
    </row>
    <row r="2015" spans="1:15" s="2" customFormat="1" x14ac:dyDescent="0.5">
      <c r="A2015" s="6">
        <v>43278</v>
      </c>
      <c r="B2015" s="1">
        <v>345</v>
      </c>
      <c r="C2015" s="1">
        <v>350.790009</v>
      </c>
      <c r="D2015" s="1">
        <v>339.5</v>
      </c>
      <c r="E2015" s="1">
        <v>344.5</v>
      </c>
      <c r="F2015" s="1">
        <v>344.5</v>
      </c>
      <c r="G2015" s="2">
        <v>8333700</v>
      </c>
      <c r="H2015" s="2">
        <f t="shared" si="248"/>
        <v>2018</v>
      </c>
      <c r="I2015" s="2">
        <f t="shared" si="249"/>
        <v>6</v>
      </c>
      <c r="J2015" s="2">
        <f t="shared" si="250"/>
        <v>27</v>
      </c>
      <c r="K2015" s="2">
        <f t="shared" si="251"/>
        <v>4</v>
      </c>
      <c r="L2015" s="2">
        <f t="shared" si="252"/>
        <v>7</v>
      </c>
      <c r="M2015" s="3">
        <f t="shared" si="253"/>
        <v>342</v>
      </c>
      <c r="N2015" s="1">
        <f t="shared" ca="1" si="254"/>
        <v>342</v>
      </c>
      <c r="O2015" s="5">
        <f t="shared" si="255"/>
        <v>7.309941520467822E-3</v>
      </c>
    </row>
    <row r="2016" spans="1:15" s="2" customFormat="1" x14ac:dyDescent="0.5">
      <c r="A2016" s="6">
        <v>43279</v>
      </c>
      <c r="B2016" s="1">
        <v>348.66000400000001</v>
      </c>
      <c r="C2016" s="1">
        <v>357.01998900000001</v>
      </c>
      <c r="D2016" s="1">
        <v>346.10998499999999</v>
      </c>
      <c r="E2016" s="1">
        <v>349.92999300000002</v>
      </c>
      <c r="F2016" s="1">
        <v>349.92999300000002</v>
      </c>
      <c r="G2016" s="2">
        <v>8398000</v>
      </c>
      <c r="H2016" s="2">
        <f t="shared" si="248"/>
        <v>2018</v>
      </c>
      <c r="I2016" s="2">
        <f t="shared" si="249"/>
        <v>6</v>
      </c>
      <c r="J2016" s="2">
        <f t="shared" si="250"/>
        <v>28</v>
      </c>
      <c r="K2016" s="2">
        <f t="shared" si="251"/>
        <v>5</v>
      </c>
      <c r="L2016" s="2">
        <f t="shared" si="252"/>
        <v>7</v>
      </c>
      <c r="M2016" s="3">
        <f t="shared" si="253"/>
        <v>344.5</v>
      </c>
      <c r="N2016" s="1">
        <f t="shared" ca="1" si="254"/>
        <v>344.5</v>
      </c>
      <c r="O2016" s="5">
        <f t="shared" si="255"/>
        <v>1.5761953555878172E-2</v>
      </c>
    </row>
    <row r="2017" spans="1:15" s="2" customFormat="1" x14ac:dyDescent="0.5">
      <c r="A2017" s="6">
        <v>43280</v>
      </c>
      <c r="B2017" s="1">
        <v>353.32998700000002</v>
      </c>
      <c r="C2017" s="1">
        <v>353.85998499999999</v>
      </c>
      <c r="D2017" s="1">
        <v>342.41000400000001</v>
      </c>
      <c r="E2017" s="1">
        <v>342.95001200000002</v>
      </c>
      <c r="F2017" s="1">
        <v>342.95001200000002</v>
      </c>
      <c r="G2017" s="2">
        <v>6492400</v>
      </c>
      <c r="H2017" s="2">
        <f t="shared" si="248"/>
        <v>2018</v>
      </c>
      <c r="I2017" s="2">
        <f t="shared" si="249"/>
        <v>6</v>
      </c>
      <c r="J2017" s="2">
        <f t="shared" si="250"/>
        <v>29</v>
      </c>
      <c r="K2017" s="2">
        <f t="shared" si="251"/>
        <v>6</v>
      </c>
      <c r="L2017" s="2">
        <f t="shared" si="252"/>
        <v>7</v>
      </c>
      <c r="M2017" s="3">
        <f t="shared" si="253"/>
        <v>349.92999300000002</v>
      </c>
      <c r="N2017" s="1">
        <f t="shared" ca="1" si="254"/>
        <v>349.92999300000002</v>
      </c>
      <c r="O2017" s="5">
        <f t="shared" si="255"/>
        <v>-1.9946792614601638E-2</v>
      </c>
    </row>
    <row r="2018" spans="1:15" s="2" customFormat="1" x14ac:dyDescent="0.5">
      <c r="A2018" s="6">
        <v>43283</v>
      </c>
      <c r="B2018" s="1">
        <v>360.07000699999998</v>
      </c>
      <c r="C2018" s="1">
        <v>364.77999899999998</v>
      </c>
      <c r="D2018" s="1">
        <v>329.85000600000001</v>
      </c>
      <c r="E2018" s="1">
        <v>335.07000699999998</v>
      </c>
      <c r="F2018" s="1">
        <v>335.07000699999998</v>
      </c>
      <c r="G2018" s="2">
        <v>18759800</v>
      </c>
      <c r="H2018" s="2">
        <f t="shared" si="248"/>
        <v>2018</v>
      </c>
      <c r="I2018" s="2">
        <f t="shared" si="249"/>
        <v>7</v>
      </c>
      <c r="J2018" s="2">
        <f t="shared" si="250"/>
        <v>2</v>
      </c>
      <c r="K2018" s="2">
        <f t="shared" si="251"/>
        <v>2</v>
      </c>
      <c r="L2018" s="2">
        <f t="shared" si="252"/>
        <v>8</v>
      </c>
      <c r="M2018" s="3">
        <f t="shared" si="253"/>
        <v>342.95001200000002</v>
      </c>
      <c r="N2018" s="1">
        <f t="shared" ca="1" si="254"/>
        <v>342.95001200000002</v>
      </c>
      <c r="O2018" s="5">
        <f t="shared" si="255"/>
        <v>-2.2977124141345784E-2</v>
      </c>
    </row>
    <row r="2019" spans="1:15" s="2" customFormat="1" x14ac:dyDescent="0.5">
      <c r="A2019" s="6">
        <v>43284</v>
      </c>
      <c r="B2019" s="1">
        <v>331.75</v>
      </c>
      <c r="C2019" s="1">
        <v>332.48998999999998</v>
      </c>
      <c r="D2019" s="1">
        <v>309.69000199999999</v>
      </c>
      <c r="E2019" s="1">
        <v>310.85998499999999</v>
      </c>
      <c r="F2019" s="1">
        <v>310.85998499999999</v>
      </c>
      <c r="G2019" s="2">
        <v>12282600</v>
      </c>
      <c r="H2019" s="2">
        <f t="shared" si="248"/>
        <v>2018</v>
      </c>
      <c r="I2019" s="2">
        <f t="shared" si="249"/>
        <v>7</v>
      </c>
      <c r="J2019" s="2">
        <f t="shared" si="250"/>
        <v>3</v>
      </c>
      <c r="K2019" s="2">
        <f t="shared" si="251"/>
        <v>3</v>
      </c>
      <c r="L2019" s="2">
        <f t="shared" si="252"/>
        <v>8</v>
      </c>
      <c r="M2019" s="3">
        <f t="shared" si="253"/>
        <v>335.07000699999998</v>
      </c>
      <c r="N2019" s="1">
        <f t="shared" ca="1" si="254"/>
        <v>335.07000699999998</v>
      </c>
      <c r="O2019" s="5">
        <f t="shared" si="255"/>
        <v>-7.2253623106290132E-2</v>
      </c>
    </row>
    <row r="2020" spans="1:15" s="2" customFormat="1" x14ac:dyDescent="0.5">
      <c r="A2020" s="6">
        <v>43286</v>
      </c>
      <c r="B2020" s="1">
        <v>313.76001000000002</v>
      </c>
      <c r="C2020" s="1">
        <v>314.39001500000001</v>
      </c>
      <c r="D2020" s="1">
        <v>296.22000100000002</v>
      </c>
      <c r="E2020" s="1">
        <v>309.16000400000001</v>
      </c>
      <c r="F2020" s="1">
        <v>309.16000400000001</v>
      </c>
      <c r="G2020" s="2">
        <v>17476400</v>
      </c>
      <c r="H2020" s="2">
        <f t="shared" si="248"/>
        <v>2018</v>
      </c>
      <c r="I2020" s="2">
        <f t="shared" si="249"/>
        <v>7</v>
      </c>
      <c r="J2020" s="2">
        <f t="shared" si="250"/>
        <v>5</v>
      </c>
      <c r="K2020" s="2">
        <f t="shared" si="251"/>
        <v>5</v>
      </c>
      <c r="L2020" s="2">
        <f t="shared" si="252"/>
        <v>8</v>
      </c>
      <c r="M2020" s="3">
        <f t="shared" si="253"/>
        <v>310.85998499999999</v>
      </c>
      <c r="N2020" s="1">
        <f t="shared" ca="1" si="254"/>
        <v>310.85998499999999</v>
      </c>
      <c r="O2020" s="5">
        <f t="shared" si="255"/>
        <v>-5.468638879333354E-3</v>
      </c>
    </row>
    <row r="2021" spans="1:15" s="2" customFormat="1" x14ac:dyDescent="0.5">
      <c r="A2021" s="6">
        <v>43287</v>
      </c>
      <c r="B2021" s="1">
        <v>304.95001200000002</v>
      </c>
      <c r="C2021" s="1">
        <v>312.07000699999998</v>
      </c>
      <c r="D2021" s="1">
        <v>302</v>
      </c>
      <c r="E2021" s="1">
        <v>308.89999399999999</v>
      </c>
      <c r="F2021" s="1">
        <v>308.89999399999999</v>
      </c>
      <c r="G2021" s="2">
        <v>8865500</v>
      </c>
      <c r="H2021" s="2">
        <f t="shared" si="248"/>
        <v>2018</v>
      </c>
      <c r="I2021" s="2">
        <f t="shared" si="249"/>
        <v>7</v>
      </c>
      <c r="J2021" s="2">
        <f t="shared" si="250"/>
        <v>6</v>
      </c>
      <c r="K2021" s="2">
        <f t="shared" si="251"/>
        <v>6</v>
      </c>
      <c r="L2021" s="2">
        <f t="shared" si="252"/>
        <v>8</v>
      </c>
      <c r="M2021" s="3">
        <f t="shared" si="253"/>
        <v>309.16000400000001</v>
      </c>
      <c r="N2021" s="1">
        <f t="shared" ca="1" si="254"/>
        <v>309.16000400000001</v>
      </c>
      <c r="O2021" s="5">
        <f t="shared" si="255"/>
        <v>-8.4102081975656606E-4</v>
      </c>
    </row>
    <row r="2022" spans="1:15" s="2" customFormat="1" x14ac:dyDescent="0.5">
      <c r="A2022" s="6">
        <v>43290</v>
      </c>
      <c r="B2022" s="1">
        <v>311.98998999999998</v>
      </c>
      <c r="C2022" s="1">
        <v>318.51998900000001</v>
      </c>
      <c r="D2022" s="1">
        <v>308</v>
      </c>
      <c r="E2022" s="1">
        <v>318.51001000000002</v>
      </c>
      <c r="F2022" s="1">
        <v>318.51001000000002</v>
      </c>
      <c r="G2022" s="2">
        <v>7596800</v>
      </c>
      <c r="H2022" s="2">
        <f t="shared" si="248"/>
        <v>2018</v>
      </c>
      <c r="I2022" s="2">
        <f t="shared" si="249"/>
        <v>7</v>
      </c>
      <c r="J2022" s="2">
        <f t="shared" si="250"/>
        <v>9</v>
      </c>
      <c r="K2022" s="2">
        <f t="shared" si="251"/>
        <v>2</v>
      </c>
      <c r="L2022" s="2">
        <f t="shared" si="252"/>
        <v>8</v>
      </c>
      <c r="M2022" s="3">
        <f t="shared" si="253"/>
        <v>308.89999399999999</v>
      </c>
      <c r="N2022" s="1">
        <f t="shared" ca="1" si="254"/>
        <v>308.89999399999999</v>
      </c>
      <c r="O2022" s="5">
        <f t="shared" si="255"/>
        <v>3.1110444113508162E-2</v>
      </c>
    </row>
    <row r="2023" spans="1:15" s="2" customFormat="1" x14ac:dyDescent="0.5">
      <c r="A2023" s="6">
        <v>43291</v>
      </c>
      <c r="B2023" s="1">
        <v>324.55999800000001</v>
      </c>
      <c r="C2023" s="1">
        <v>327.67999300000002</v>
      </c>
      <c r="D2023" s="1">
        <v>319.20001200000002</v>
      </c>
      <c r="E2023" s="1">
        <v>322.47000100000002</v>
      </c>
      <c r="F2023" s="1">
        <v>322.47000100000002</v>
      </c>
      <c r="G2023" s="2">
        <v>9471500</v>
      </c>
      <c r="H2023" s="2">
        <f t="shared" si="248"/>
        <v>2018</v>
      </c>
      <c r="I2023" s="2">
        <f t="shared" si="249"/>
        <v>7</v>
      </c>
      <c r="J2023" s="2">
        <f t="shared" si="250"/>
        <v>10</v>
      </c>
      <c r="K2023" s="2">
        <f t="shared" si="251"/>
        <v>3</v>
      </c>
      <c r="L2023" s="2">
        <f t="shared" si="252"/>
        <v>8</v>
      </c>
      <c r="M2023" s="3">
        <f t="shared" si="253"/>
        <v>318.51001000000002</v>
      </c>
      <c r="N2023" s="1">
        <f t="shared" ca="1" si="254"/>
        <v>318.51001000000002</v>
      </c>
      <c r="O2023" s="5">
        <f t="shared" si="255"/>
        <v>1.2432862000161249E-2</v>
      </c>
    </row>
    <row r="2024" spans="1:15" s="2" customFormat="1" x14ac:dyDescent="0.5">
      <c r="A2024" s="6">
        <v>43292</v>
      </c>
      <c r="B2024" s="1">
        <v>315.79998799999998</v>
      </c>
      <c r="C2024" s="1">
        <v>321.94000199999999</v>
      </c>
      <c r="D2024" s="1">
        <v>315.07000699999998</v>
      </c>
      <c r="E2024" s="1">
        <v>318.959991</v>
      </c>
      <c r="F2024" s="1">
        <v>318.959991</v>
      </c>
      <c r="G2024" s="2">
        <v>4884100</v>
      </c>
      <c r="H2024" s="2">
        <f t="shared" si="248"/>
        <v>2018</v>
      </c>
      <c r="I2024" s="2">
        <f t="shared" si="249"/>
        <v>7</v>
      </c>
      <c r="J2024" s="2">
        <f t="shared" si="250"/>
        <v>11</v>
      </c>
      <c r="K2024" s="2">
        <f t="shared" si="251"/>
        <v>4</v>
      </c>
      <c r="L2024" s="2">
        <f t="shared" si="252"/>
        <v>8</v>
      </c>
      <c r="M2024" s="3">
        <f t="shared" si="253"/>
        <v>322.47000100000002</v>
      </c>
      <c r="N2024" s="1">
        <f t="shared" ca="1" si="254"/>
        <v>322.47000100000002</v>
      </c>
      <c r="O2024" s="5">
        <f t="shared" si="255"/>
        <v>-1.0884764440460382E-2</v>
      </c>
    </row>
    <row r="2025" spans="1:15" s="2" customFormat="1" x14ac:dyDescent="0.5">
      <c r="A2025" s="6">
        <v>43293</v>
      </c>
      <c r="B2025" s="1">
        <v>321.42999300000002</v>
      </c>
      <c r="C2025" s="1">
        <v>323.23001099999999</v>
      </c>
      <c r="D2025" s="1">
        <v>312.76998900000001</v>
      </c>
      <c r="E2025" s="1">
        <v>316.709991</v>
      </c>
      <c r="F2025" s="1">
        <v>316.709991</v>
      </c>
      <c r="G2025" s="2">
        <v>5721200</v>
      </c>
      <c r="H2025" s="2">
        <f t="shared" si="248"/>
        <v>2018</v>
      </c>
      <c r="I2025" s="2">
        <f t="shared" si="249"/>
        <v>7</v>
      </c>
      <c r="J2025" s="2">
        <f t="shared" si="250"/>
        <v>12</v>
      </c>
      <c r="K2025" s="2">
        <f t="shared" si="251"/>
        <v>5</v>
      </c>
      <c r="L2025" s="2">
        <f t="shared" si="252"/>
        <v>8</v>
      </c>
      <c r="M2025" s="3">
        <f t="shared" si="253"/>
        <v>318.959991</v>
      </c>
      <c r="N2025" s="1">
        <f t="shared" ca="1" si="254"/>
        <v>318.959991</v>
      </c>
      <c r="O2025" s="5">
        <f t="shared" si="255"/>
        <v>-7.0541762712803546E-3</v>
      </c>
    </row>
    <row r="2026" spans="1:15" s="2" customFormat="1" x14ac:dyDescent="0.5">
      <c r="A2026" s="6">
        <v>43294</v>
      </c>
      <c r="B2026" s="1">
        <v>315.57998700000002</v>
      </c>
      <c r="C2026" s="1">
        <v>319.57998700000002</v>
      </c>
      <c r="D2026" s="1">
        <v>309.25</v>
      </c>
      <c r="E2026" s="1">
        <v>318.86999500000002</v>
      </c>
      <c r="F2026" s="1">
        <v>318.86999500000002</v>
      </c>
      <c r="G2026" s="2">
        <v>5869800</v>
      </c>
      <c r="H2026" s="2">
        <f t="shared" si="248"/>
        <v>2018</v>
      </c>
      <c r="I2026" s="2">
        <f t="shared" si="249"/>
        <v>7</v>
      </c>
      <c r="J2026" s="2">
        <f t="shared" si="250"/>
        <v>13</v>
      </c>
      <c r="K2026" s="2">
        <f t="shared" si="251"/>
        <v>6</v>
      </c>
      <c r="L2026" s="2">
        <f t="shared" si="252"/>
        <v>8</v>
      </c>
      <c r="M2026" s="3">
        <f t="shared" si="253"/>
        <v>316.709991</v>
      </c>
      <c r="N2026" s="1">
        <f t="shared" ca="1" si="254"/>
        <v>316.709991</v>
      </c>
      <c r="O2026" s="5">
        <f t="shared" si="255"/>
        <v>6.8201321757481725E-3</v>
      </c>
    </row>
    <row r="2027" spans="1:15" s="2" customFormat="1" x14ac:dyDescent="0.5">
      <c r="A2027" s="6">
        <v>43297</v>
      </c>
      <c r="B2027" s="1">
        <v>311.709991</v>
      </c>
      <c r="C2027" s="1">
        <v>315.16000400000001</v>
      </c>
      <c r="D2027" s="1">
        <v>306.25</v>
      </c>
      <c r="E2027" s="1">
        <v>310.10000600000001</v>
      </c>
      <c r="F2027" s="1">
        <v>310.10000600000001</v>
      </c>
      <c r="G2027" s="2">
        <v>7818700</v>
      </c>
      <c r="H2027" s="2">
        <f t="shared" si="248"/>
        <v>2018</v>
      </c>
      <c r="I2027" s="2">
        <f t="shared" si="249"/>
        <v>7</v>
      </c>
      <c r="J2027" s="2">
        <f t="shared" si="250"/>
        <v>16</v>
      </c>
      <c r="K2027" s="2">
        <f t="shared" si="251"/>
        <v>2</v>
      </c>
      <c r="L2027" s="2">
        <f t="shared" si="252"/>
        <v>8</v>
      </c>
      <c r="M2027" s="3">
        <f t="shared" si="253"/>
        <v>318.86999500000002</v>
      </c>
      <c r="N2027" s="1">
        <f t="shared" ca="1" si="254"/>
        <v>318.86999500000002</v>
      </c>
      <c r="O2027" s="5">
        <f t="shared" si="255"/>
        <v>-2.7503337214277557E-2</v>
      </c>
    </row>
    <row r="2028" spans="1:15" s="2" customFormat="1" x14ac:dyDescent="0.5">
      <c r="A2028" s="6">
        <v>43298</v>
      </c>
      <c r="B2028" s="1">
        <v>308.80999800000001</v>
      </c>
      <c r="C2028" s="1">
        <v>324.73998999999998</v>
      </c>
      <c r="D2028" s="1">
        <v>308.5</v>
      </c>
      <c r="E2028" s="1">
        <v>322.69000199999999</v>
      </c>
      <c r="F2028" s="1">
        <v>322.69000199999999</v>
      </c>
      <c r="G2028" s="2">
        <v>6996200</v>
      </c>
      <c r="H2028" s="2">
        <f t="shared" si="248"/>
        <v>2018</v>
      </c>
      <c r="I2028" s="2">
        <f t="shared" si="249"/>
        <v>7</v>
      </c>
      <c r="J2028" s="2">
        <f t="shared" si="250"/>
        <v>17</v>
      </c>
      <c r="K2028" s="2">
        <f t="shared" si="251"/>
        <v>3</v>
      </c>
      <c r="L2028" s="2">
        <f t="shared" si="252"/>
        <v>8</v>
      </c>
      <c r="M2028" s="3">
        <f t="shared" si="253"/>
        <v>310.10000600000001</v>
      </c>
      <c r="N2028" s="1">
        <f t="shared" ca="1" si="254"/>
        <v>310.10000600000001</v>
      </c>
      <c r="O2028" s="5">
        <f t="shared" si="255"/>
        <v>4.0599792829413728E-2</v>
      </c>
    </row>
    <row r="2029" spans="1:15" s="2" customFormat="1" x14ac:dyDescent="0.5">
      <c r="A2029" s="6">
        <v>43299</v>
      </c>
      <c r="B2029" s="1">
        <v>325</v>
      </c>
      <c r="C2029" s="1">
        <v>325.5</v>
      </c>
      <c r="D2029" s="1">
        <v>316.25</v>
      </c>
      <c r="E2029" s="1">
        <v>323.85000600000001</v>
      </c>
      <c r="F2029" s="1">
        <v>323.85000600000001</v>
      </c>
      <c r="G2029" s="2">
        <v>5624200</v>
      </c>
      <c r="H2029" s="2">
        <f t="shared" si="248"/>
        <v>2018</v>
      </c>
      <c r="I2029" s="2">
        <f t="shared" si="249"/>
        <v>7</v>
      </c>
      <c r="J2029" s="2">
        <f t="shared" si="250"/>
        <v>18</v>
      </c>
      <c r="K2029" s="2">
        <f t="shared" si="251"/>
        <v>4</v>
      </c>
      <c r="L2029" s="2">
        <f t="shared" si="252"/>
        <v>8</v>
      </c>
      <c r="M2029" s="3">
        <f t="shared" si="253"/>
        <v>322.69000199999999</v>
      </c>
      <c r="N2029" s="1">
        <f t="shared" ca="1" si="254"/>
        <v>322.69000199999999</v>
      </c>
      <c r="O2029" s="5">
        <f t="shared" si="255"/>
        <v>3.5947937426334953E-3</v>
      </c>
    </row>
    <row r="2030" spans="1:15" s="2" customFormat="1" x14ac:dyDescent="0.5">
      <c r="A2030" s="6">
        <v>43300</v>
      </c>
      <c r="B2030" s="1">
        <v>316.32998700000002</v>
      </c>
      <c r="C2030" s="1">
        <v>323.540009</v>
      </c>
      <c r="D2030" s="1">
        <v>314.01001000000002</v>
      </c>
      <c r="E2030" s="1">
        <v>320.23001099999999</v>
      </c>
      <c r="F2030" s="1">
        <v>320.23001099999999</v>
      </c>
      <c r="G2030" s="2">
        <v>5915300</v>
      </c>
      <c r="H2030" s="2">
        <f t="shared" si="248"/>
        <v>2018</v>
      </c>
      <c r="I2030" s="2">
        <f t="shared" si="249"/>
        <v>7</v>
      </c>
      <c r="J2030" s="2">
        <f t="shared" si="250"/>
        <v>19</v>
      </c>
      <c r="K2030" s="2">
        <f t="shared" si="251"/>
        <v>5</v>
      </c>
      <c r="L2030" s="2">
        <f t="shared" si="252"/>
        <v>8</v>
      </c>
      <c r="M2030" s="3">
        <f t="shared" si="253"/>
        <v>323.85000600000001</v>
      </c>
      <c r="N2030" s="1">
        <f t="shared" ca="1" si="254"/>
        <v>323.85000600000001</v>
      </c>
      <c r="O2030" s="5">
        <f t="shared" si="255"/>
        <v>-1.1177998866549355E-2</v>
      </c>
    </row>
    <row r="2031" spans="1:15" s="2" customFormat="1" x14ac:dyDescent="0.5">
      <c r="A2031" s="6">
        <v>43301</v>
      </c>
      <c r="B2031" s="1">
        <v>321.23001099999999</v>
      </c>
      <c r="C2031" s="1">
        <v>323.23998999999998</v>
      </c>
      <c r="D2031" s="1">
        <v>311.709991</v>
      </c>
      <c r="E2031" s="1">
        <v>313.57998700000002</v>
      </c>
      <c r="F2031" s="1">
        <v>313.57998700000002</v>
      </c>
      <c r="G2031" s="2">
        <v>5162200</v>
      </c>
      <c r="H2031" s="2">
        <f t="shared" si="248"/>
        <v>2018</v>
      </c>
      <c r="I2031" s="2">
        <f t="shared" si="249"/>
        <v>7</v>
      </c>
      <c r="J2031" s="2">
        <f t="shared" si="250"/>
        <v>20</v>
      </c>
      <c r="K2031" s="2">
        <f t="shared" si="251"/>
        <v>6</v>
      </c>
      <c r="L2031" s="2">
        <f t="shared" si="252"/>
        <v>8</v>
      </c>
      <c r="M2031" s="3">
        <f t="shared" si="253"/>
        <v>320.23001099999999</v>
      </c>
      <c r="N2031" s="1">
        <f t="shared" ca="1" si="254"/>
        <v>320.23001099999999</v>
      </c>
      <c r="O2031" s="5">
        <f t="shared" si="255"/>
        <v>-2.0766398437278233E-2</v>
      </c>
    </row>
    <row r="2032" spans="1:15" s="2" customFormat="1" x14ac:dyDescent="0.5">
      <c r="A2032" s="6">
        <v>43304</v>
      </c>
      <c r="B2032" s="1">
        <v>301.83999599999999</v>
      </c>
      <c r="C2032" s="1">
        <v>305.5</v>
      </c>
      <c r="D2032" s="1">
        <v>292.85998499999999</v>
      </c>
      <c r="E2032" s="1">
        <v>303.20001200000002</v>
      </c>
      <c r="F2032" s="1">
        <v>303.20001200000002</v>
      </c>
      <c r="G2032" s="2">
        <v>10992900</v>
      </c>
      <c r="H2032" s="2">
        <f t="shared" si="248"/>
        <v>2018</v>
      </c>
      <c r="I2032" s="2">
        <f t="shared" si="249"/>
        <v>7</v>
      </c>
      <c r="J2032" s="2">
        <f t="shared" si="250"/>
        <v>23</v>
      </c>
      <c r="K2032" s="2">
        <f t="shared" si="251"/>
        <v>2</v>
      </c>
      <c r="L2032" s="2">
        <f t="shared" si="252"/>
        <v>8</v>
      </c>
      <c r="M2032" s="3">
        <f t="shared" si="253"/>
        <v>313.57998700000002</v>
      </c>
      <c r="N2032" s="1">
        <f t="shared" ca="1" si="254"/>
        <v>313.57998700000002</v>
      </c>
      <c r="O2032" s="5">
        <f t="shared" si="255"/>
        <v>-3.3101522515210813E-2</v>
      </c>
    </row>
    <row r="2033" spans="1:15" s="2" customFormat="1" x14ac:dyDescent="0.5">
      <c r="A2033" s="6">
        <v>43305</v>
      </c>
      <c r="B2033" s="1">
        <v>304.42001299999998</v>
      </c>
      <c r="C2033" s="1">
        <v>307.72000100000002</v>
      </c>
      <c r="D2033" s="1">
        <v>292.54998799999998</v>
      </c>
      <c r="E2033" s="1">
        <v>297.42999300000002</v>
      </c>
      <c r="F2033" s="1">
        <v>297.42999300000002</v>
      </c>
      <c r="G2033" s="2">
        <v>9590800</v>
      </c>
      <c r="H2033" s="2">
        <f t="shared" si="248"/>
        <v>2018</v>
      </c>
      <c r="I2033" s="2">
        <f t="shared" si="249"/>
        <v>7</v>
      </c>
      <c r="J2033" s="2">
        <f t="shared" si="250"/>
        <v>24</v>
      </c>
      <c r="K2033" s="2">
        <f t="shared" si="251"/>
        <v>3</v>
      </c>
      <c r="L2033" s="2">
        <f t="shared" si="252"/>
        <v>8</v>
      </c>
      <c r="M2033" s="3">
        <f t="shared" si="253"/>
        <v>303.20001200000002</v>
      </c>
      <c r="N2033" s="1">
        <f t="shared" ca="1" si="254"/>
        <v>303.20001200000002</v>
      </c>
      <c r="O2033" s="5">
        <f t="shared" si="255"/>
        <v>-1.903040491964092E-2</v>
      </c>
    </row>
    <row r="2034" spans="1:15" s="2" customFormat="1" x14ac:dyDescent="0.5">
      <c r="A2034" s="6">
        <v>43306</v>
      </c>
      <c r="B2034" s="1">
        <v>296.73998999999998</v>
      </c>
      <c r="C2034" s="1">
        <v>309.61999500000002</v>
      </c>
      <c r="D2034" s="1">
        <v>294.5</v>
      </c>
      <c r="E2034" s="1">
        <v>308.73998999999998</v>
      </c>
      <c r="F2034" s="1">
        <v>308.73998999999998</v>
      </c>
      <c r="G2034" s="2">
        <v>7075400</v>
      </c>
      <c r="H2034" s="2">
        <f t="shared" si="248"/>
        <v>2018</v>
      </c>
      <c r="I2034" s="2">
        <f t="shared" si="249"/>
        <v>7</v>
      </c>
      <c r="J2034" s="2">
        <f t="shared" si="250"/>
        <v>25</v>
      </c>
      <c r="K2034" s="2">
        <f t="shared" si="251"/>
        <v>4</v>
      </c>
      <c r="L2034" s="2">
        <f t="shared" si="252"/>
        <v>8</v>
      </c>
      <c r="M2034" s="3">
        <f t="shared" si="253"/>
        <v>297.42999300000002</v>
      </c>
      <c r="N2034" s="1">
        <f t="shared" ca="1" si="254"/>
        <v>297.42999300000002</v>
      </c>
      <c r="O2034" s="5">
        <f t="shared" si="255"/>
        <v>3.8025744767441694E-2</v>
      </c>
    </row>
    <row r="2035" spans="1:15" s="2" customFormat="1" x14ac:dyDescent="0.5">
      <c r="A2035" s="6">
        <v>43307</v>
      </c>
      <c r="B2035" s="1">
        <v>304.85000600000001</v>
      </c>
      <c r="C2035" s="1">
        <v>310.70001200000002</v>
      </c>
      <c r="D2035" s="1">
        <v>303.64001500000001</v>
      </c>
      <c r="E2035" s="1">
        <v>306.64999399999999</v>
      </c>
      <c r="F2035" s="1">
        <v>306.64999399999999</v>
      </c>
      <c r="G2035" s="2">
        <v>4630500</v>
      </c>
      <c r="H2035" s="2">
        <f t="shared" si="248"/>
        <v>2018</v>
      </c>
      <c r="I2035" s="2">
        <f t="shared" si="249"/>
        <v>7</v>
      </c>
      <c r="J2035" s="2">
        <f t="shared" si="250"/>
        <v>26</v>
      </c>
      <c r="K2035" s="2">
        <f t="shared" si="251"/>
        <v>5</v>
      </c>
      <c r="L2035" s="2">
        <f t="shared" si="252"/>
        <v>8</v>
      </c>
      <c r="M2035" s="3">
        <f t="shared" si="253"/>
        <v>308.73998999999998</v>
      </c>
      <c r="N2035" s="1">
        <f t="shared" ca="1" si="254"/>
        <v>308.73998999999998</v>
      </c>
      <c r="O2035" s="5">
        <f t="shared" si="255"/>
        <v>-6.7694372860476193E-3</v>
      </c>
    </row>
    <row r="2036" spans="1:15" s="2" customFormat="1" x14ac:dyDescent="0.5">
      <c r="A2036" s="6">
        <v>43308</v>
      </c>
      <c r="B2036" s="1">
        <v>307.25</v>
      </c>
      <c r="C2036" s="1">
        <v>307.69000199999999</v>
      </c>
      <c r="D2036" s="1">
        <v>295.33999599999999</v>
      </c>
      <c r="E2036" s="1">
        <v>297.17999300000002</v>
      </c>
      <c r="F2036" s="1">
        <v>297.17999300000002</v>
      </c>
      <c r="G2036" s="2">
        <v>5703300</v>
      </c>
      <c r="H2036" s="2">
        <f t="shared" si="248"/>
        <v>2018</v>
      </c>
      <c r="I2036" s="2">
        <f t="shared" si="249"/>
        <v>7</v>
      </c>
      <c r="J2036" s="2">
        <f t="shared" si="250"/>
        <v>27</v>
      </c>
      <c r="K2036" s="2">
        <f t="shared" si="251"/>
        <v>6</v>
      </c>
      <c r="L2036" s="2">
        <f t="shared" si="252"/>
        <v>8</v>
      </c>
      <c r="M2036" s="3">
        <f t="shared" si="253"/>
        <v>306.64999399999999</v>
      </c>
      <c r="N2036" s="1">
        <f t="shared" ca="1" si="254"/>
        <v>306.64999399999999</v>
      </c>
      <c r="O2036" s="5">
        <f t="shared" si="255"/>
        <v>-3.0882117023618649E-2</v>
      </c>
    </row>
    <row r="2037" spans="1:15" s="2" customFormat="1" x14ac:dyDescent="0.5">
      <c r="A2037" s="6">
        <v>43311</v>
      </c>
      <c r="B2037" s="1">
        <v>295.89999399999999</v>
      </c>
      <c r="C2037" s="1">
        <v>296.10000600000001</v>
      </c>
      <c r="D2037" s="1">
        <v>286.13000499999998</v>
      </c>
      <c r="E2037" s="1">
        <v>290.17001299999998</v>
      </c>
      <c r="F2037" s="1">
        <v>290.17001299999998</v>
      </c>
      <c r="G2037" s="2">
        <v>6814100</v>
      </c>
      <c r="H2037" s="2">
        <f t="shared" si="248"/>
        <v>2018</v>
      </c>
      <c r="I2037" s="2">
        <f t="shared" si="249"/>
        <v>7</v>
      </c>
      <c r="J2037" s="2">
        <f t="shared" si="250"/>
        <v>30</v>
      </c>
      <c r="K2037" s="2">
        <f t="shared" si="251"/>
        <v>2</v>
      </c>
      <c r="L2037" s="2">
        <f t="shared" si="252"/>
        <v>8</v>
      </c>
      <c r="M2037" s="3">
        <f t="shared" si="253"/>
        <v>297.17999300000002</v>
      </c>
      <c r="N2037" s="1">
        <f t="shared" ca="1" si="254"/>
        <v>297.17999300000002</v>
      </c>
      <c r="O2037" s="5">
        <f t="shared" si="255"/>
        <v>-2.3588330860483064E-2</v>
      </c>
    </row>
    <row r="2038" spans="1:15" s="2" customFormat="1" x14ac:dyDescent="0.5">
      <c r="A2038" s="6">
        <v>43312</v>
      </c>
      <c r="B2038" s="1">
        <v>292.25</v>
      </c>
      <c r="C2038" s="1">
        <v>298.32000699999998</v>
      </c>
      <c r="D2038" s="1">
        <v>289.07000699999998</v>
      </c>
      <c r="E2038" s="1">
        <v>298.14001500000001</v>
      </c>
      <c r="F2038" s="1">
        <v>298.14001500000001</v>
      </c>
      <c r="G2038" s="2">
        <v>5076900</v>
      </c>
      <c r="H2038" s="2">
        <f t="shared" si="248"/>
        <v>2018</v>
      </c>
      <c r="I2038" s="2">
        <f t="shared" si="249"/>
        <v>7</v>
      </c>
      <c r="J2038" s="2">
        <f t="shared" si="250"/>
        <v>31</v>
      </c>
      <c r="K2038" s="2">
        <f t="shared" si="251"/>
        <v>3</v>
      </c>
      <c r="L2038" s="2">
        <f t="shared" si="252"/>
        <v>8</v>
      </c>
      <c r="M2038" s="3">
        <f t="shared" si="253"/>
        <v>290.17001299999998</v>
      </c>
      <c r="N2038" s="1">
        <f t="shared" ca="1" si="254"/>
        <v>290.17001299999998</v>
      </c>
      <c r="O2038" s="5">
        <f t="shared" si="255"/>
        <v>2.7466663138620229E-2</v>
      </c>
    </row>
    <row r="2039" spans="1:15" s="2" customFormat="1" x14ac:dyDescent="0.5">
      <c r="A2039" s="6">
        <v>43313</v>
      </c>
      <c r="B2039" s="1">
        <v>297.98998999999998</v>
      </c>
      <c r="C2039" s="1">
        <v>303</v>
      </c>
      <c r="D2039" s="1">
        <v>293</v>
      </c>
      <c r="E2039" s="1">
        <v>300.83999599999999</v>
      </c>
      <c r="F2039" s="1">
        <v>300.83999599999999</v>
      </c>
      <c r="G2039" s="2">
        <v>10129400</v>
      </c>
      <c r="H2039" s="2">
        <f t="shared" si="248"/>
        <v>2018</v>
      </c>
      <c r="I2039" s="2">
        <f t="shared" si="249"/>
        <v>8</v>
      </c>
      <c r="J2039" s="2">
        <f t="shared" si="250"/>
        <v>1</v>
      </c>
      <c r="K2039" s="2">
        <f t="shared" si="251"/>
        <v>4</v>
      </c>
      <c r="L2039" s="2">
        <f t="shared" si="252"/>
        <v>9</v>
      </c>
      <c r="M2039" s="3">
        <f t="shared" si="253"/>
        <v>298.14001500000001</v>
      </c>
      <c r="N2039" s="1">
        <f t="shared" ca="1" si="254"/>
        <v>298.14001500000001</v>
      </c>
      <c r="O2039" s="5">
        <f t="shared" si="255"/>
        <v>9.0560839342548327E-3</v>
      </c>
    </row>
    <row r="2040" spans="1:15" s="2" customFormat="1" x14ac:dyDescent="0.5">
      <c r="A2040" s="6">
        <v>43314</v>
      </c>
      <c r="B2040" s="1">
        <v>328.44000199999999</v>
      </c>
      <c r="C2040" s="1">
        <v>349.98998999999998</v>
      </c>
      <c r="D2040" s="1">
        <v>323.16000400000001</v>
      </c>
      <c r="E2040" s="1">
        <v>349.540009</v>
      </c>
      <c r="F2040" s="1">
        <v>349.540009</v>
      </c>
      <c r="G2040" s="2">
        <v>23215000</v>
      </c>
      <c r="H2040" s="2">
        <f t="shared" si="248"/>
        <v>2018</v>
      </c>
      <c r="I2040" s="2">
        <f t="shared" si="249"/>
        <v>8</v>
      </c>
      <c r="J2040" s="2">
        <f t="shared" si="250"/>
        <v>2</v>
      </c>
      <c r="K2040" s="2">
        <f t="shared" si="251"/>
        <v>5</v>
      </c>
      <c r="L2040" s="2">
        <f t="shared" si="252"/>
        <v>9</v>
      </c>
      <c r="M2040" s="3">
        <f t="shared" si="253"/>
        <v>300.83999599999999</v>
      </c>
      <c r="N2040" s="1">
        <f t="shared" ca="1" si="254"/>
        <v>300.83999599999999</v>
      </c>
      <c r="O2040" s="5">
        <f t="shared" si="255"/>
        <v>0.16188011450445572</v>
      </c>
    </row>
    <row r="2041" spans="1:15" s="2" customFormat="1" x14ac:dyDescent="0.5">
      <c r="A2041" s="6">
        <v>43315</v>
      </c>
      <c r="B2041" s="1">
        <v>347.80999800000001</v>
      </c>
      <c r="C2041" s="1">
        <v>355</v>
      </c>
      <c r="D2041" s="1">
        <v>342.52999899999998</v>
      </c>
      <c r="E2041" s="1">
        <v>348.17001299999998</v>
      </c>
      <c r="F2041" s="1">
        <v>348.17001299999998</v>
      </c>
      <c r="G2041" s="2">
        <v>13656500</v>
      </c>
      <c r="H2041" s="2">
        <f t="shared" si="248"/>
        <v>2018</v>
      </c>
      <c r="I2041" s="2">
        <f t="shared" si="249"/>
        <v>8</v>
      </c>
      <c r="J2041" s="2">
        <f t="shared" si="250"/>
        <v>3</v>
      </c>
      <c r="K2041" s="2">
        <f t="shared" si="251"/>
        <v>6</v>
      </c>
      <c r="L2041" s="2">
        <f t="shared" si="252"/>
        <v>9</v>
      </c>
      <c r="M2041" s="3">
        <f t="shared" si="253"/>
        <v>349.540009</v>
      </c>
      <c r="N2041" s="1">
        <f t="shared" ca="1" si="254"/>
        <v>349.540009</v>
      </c>
      <c r="O2041" s="5">
        <f t="shared" si="255"/>
        <v>-3.9194254297796327E-3</v>
      </c>
    </row>
    <row r="2042" spans="1:15" s="2" customFormat="1" x14ac:dyDescent="0.5">
      <c r="A2042" s="6">
        <v>43318</v>
      </c>
      <c r="B2042" s="1">
        <v>345.459991</v>
      </c>
      <c r="C2042" s="1">
        <v>354.98001099999999</v>
      </c>
      <c r="D2042" s="1">
        <v>341.82000699999998</v>
      </c>
      <c r="E2042" s="1">
        <v>341.98998999999998</v>
      </c>
      <c r="F2042" s="1">
        <v>341.98998999999998</v>
      </c>
      <c r="G2042" s="2">
        <v>8564300</v>
      </c>
      <c r="H2042" s="2">
        <f t="shared" si="248"/>
        <v>2018</v>
      </c>
      <c r="I2042" s="2">
        <f t="shared" si="249"/>
        <v>8</v>
      </c>
      <c r="J2042" s="2">
        <f t="shared" si="250"/>
        <v>6</v>
      </c>
      <c r="K2042" s="2">
        <f t="shared" si="251"/>
        <v>2</v>
      </c>
      <c r="L2042" s="2">
        <f t="shared" si="252"/>
        <v>9</v>
      </c>
      <c r="M2042" s="3">
        <f t="shared" si="253"/>
        <v>348.17001299999998</v>
      </c>
      <c r="N2042" s="1">
        <f t="shared" ca="1" si="254"/>
        <v>348.17001299999998</v>
      </c>
      <c r="O2042" s="5">
        <f t="shared" si="255"/>
        <v>-1.7750015134129327E-2</v>
      </c>
    </row>
    <row r="2043" spans="1:15" s="2" customFormat="1" x14ac:dyDescent="0.5">
      <c r="A2043" s="6">
        <v>43319</v>
      </c>
      <c r="B2043" s="1">
        <v>343.83999599999999</v>
      </c>
      <c r="C2043" s="1">
        <v>387.459991</v>
      </c>
      <c r="D2043" s="1">
        <v>339.14999399999999</v>
      </c>
      <c r="E2043" s="1">
        <v>379.57000699999998</v>
      </c>
      <c r="F2043" s="1">
        <v>379.57000699999998</v>
      </c>
      <c r="G2043" s="2">
        <v>30875800</v>
      </c>
      <c r="H2043" s="2">
        <f t="shared" si="248"/>
        <v>2018</v>
      </c>
      <c r="I2043" s="2">
        <f t="shared" si="249"/>
        <v>8</v>
      </c>
      <c r="J2043" s="2">
        <f t="shared" si="250"/>
        <v>7</v>
      </c>
      <c r="K2043" s="2">
        <f t="shared" si="251"/>
        <v>3</v>
      </c>
      <c r="L2043" s="2">
        <f t="shared" si="252"/>
        <v>9</v>
      </c>
      <c r="M2043" s="3">
        <f t="shared" si="253"/>
        <v>341.98998999999998</v>
      </c>
      <c r="N2043" s="1">
        <f t="shared" ca="1" si="254"/>
        <v>341.98998999999998</v>
      </c>
      <c r="O2043" s="5">
        <f t="shared" si="255"/>
        <v>0.10988630690623435</v>
      </c>
    </row>
    <row r="2044" spans="1:15" s="2" customFormat="1" x14ac:dyDescent="0.5">
      <c r="A2044" s="6">
        <v>43320</v>
      </c>
      <c r="B2044" s="1">
        <v>369.08999599999999</v>
      </c>
      <c r="C2044" s="1">
        <v>382.64001500000001</v>
      </c>
      <c r="D2044" s="1">
        <v>367.11999500000002</v>
      </c>
      <c r="E2044" s="1">
        <v>370.33999599999999</v>
      </c>
      <c r="F2044" s="1">
        <v>370.33999599999999</v>
      </c>
      <c r="G2044" s="2">
        <v>24571200</v>
      </c>
      <c r="H2044" s="2">
        <f t="shared" si="248"/>
        <v>2018</v>
      </c>
      <c r="I2044" s="2">
        <f t="shared" si="249"/>
        <v>8</v>
      </c>
      <c r="J2044" s="2">
        <f t="shared" si="250"/>
        <v>8</v>
      </c>
      <c r="K2044" s="2">
        <f t="shared" si="251"/>
        <v>4</v>
      </c>
      <c r="L2044" s="2">
        <f t="shared" si="252"/>
        <v>9</v>
      </c>
      <c r="M2044" s="3">
        <f t="shared" si="253"/>
        <v>379.57000699999998</v>
      </c>
      <c r="N2044" s="1">
        <f t="shared" ca="1" si="254"/>
        <v>379.57000699999998</v>
      </c>
      <c r="O2044" s="5">
        <f t="shared" si="255"/>
        <v>-2.4317018810182223E-2</v>
      </c>
    </row>
    <row r="2045" spans="1:15" s="2" customFormat="1" x14ac:dyDescent="0.5">
      <c r="A2045" s="6">
        <v>43321</v>
      </c>
      <c r="B2045" s="1">
        <v>365.54998799999998</v>
      </c>
      <c r="C2045" s="1">
        <v>367.01001000000002</v>
      </c>
      <c r="D2045" s="1">
        <v>345.73001099999999</v>
      </c>
      <c r="E2045" s="1">
        <v>352.45001200000002</v>
      </c>
      <c r="F2045" s="1">
        <v>352.45001200000002</v>
      </c>
      <c r="G2045" s="2">
        <v>17103700</v>
      </c>
      <c r="H2045" s="2">
        <f t="shared" si="248"/>
        <v>2018</v>
      </c>
      <c r="I2045" s="2">
        <f t="shared" si="249"/>
        <v>8</v>
      </c>
      <c r="J2045" s="2">
        <f t="shared" si="250"/>
        <v>9</v>
      </c>
      <c r="K2045" s="2">
        <f t="shared" si="251"/>
        <v>5</v>
      </c>
      <c r="L2045" s="2">
        <f t="shared" si="252"/>
        <v>9</v>
      </c>
      <c r="M2045" s="3">
        <f t="shared" si="253"/>
        <v>370.33999599999999</v>
      </c>
      <c r="N2045" s="1">
        <f t="shared" ca="1" si="254"/>
        <v>370.33999599999999</v>
      </c>
      <c r="O2045" s="5">
        <f t="shared" si="255"/>
        <v>-4.8306918489030792E-2</v>
      </c>
    </row>
    <row r="2046" spans="1:15" s="2" customFormat="1" x14ac:dyDescent="0.5">
      <c r="A2046" s="6">
        <v>43322</v>
      </c>
      <c r="B2046" s="1">
        <v>354</v>
      </c>
      <c r="C2046" s="1">
        <v>360</v>
      </c>
      <c r="D2046" s="1">
        <v>346</v>
      </c>
      <c r="E2046" s="1">
        <v>355.48998999999998</v>
      </c>
      <c r="F2046" s="1">
        <v>355.48998999999998</v>
      </c>
      <c r="G2046" s="2">
        <v>11552000</v>
      </c>
      <c r="H2046" s="2">
        <f t="shared" si="248"/>
        <v>2018</v>
      </c>
      <c r="I2046" s="2">
        <f t="shared" si="249"/>
        <v>8</v>
      </c>
      <c r="J2046" s="2">
        <f t="shared" si="250"/>
        <v>10</v>
      </c>
      <c r="K2046" s="2">
        <f t="shared" si="251"/>
        <v>6</v>
      </c>
      <c r="L2046" s="2">
        <f t="shared" si="252"/>
        <v>9</v>
      </c>
      <c r="M2046" s="3">
        <f t="shared" si="253"/>
        <v>352.45001200000002</v>
      </c>
      <c r="N2046" s="1">
        <f t="shared" ca="1" si="254"/>
        <v>352.45001200000002</v>
      </c>
      <c r="O2046" s="5">
        <f t="shared" si="255"/>
        <v>8.6252742133541282E-3</v>
      </c>
    </row>
    <row r="2047" spans="1:15" s="2" customFormat="1" x14ac:dyDescent="0.5">
      <c r="A2047" s="6">
        <v>43325</v>
      </c>
      <c r="B2047" s="1">
        <v>361.13000499999998</v>
      </c>
      <c r="C2047" s="1">
        <v>363.19000199999999</v>
      </c>
      <c r="D2047" s="1">
        <v>349.01998900000001</v>
      </c>
      <c r="E2047" s="1">
        <v>356.41000400000001</v>
      </c>
      <c r="F2047" s="1">
        <v>356.41000400000001</v>
      </c>
      <c r="G2047" s="2">
        <v>10450200</v>
      </c>
      <c r="H2047" s="2">
        <f t="shared" si="248"/>
        <v>2018</v>
      </c>
      <c r="I2047" s="2">
        <f t="shared" si="249"/>
        <v>8</v>
      </c>
      <c r="J2047" s="2">
        <f t="shared" si="250"/>
        <v>13</v>
      </c>
      <c r="K2047" s="2">
        <f t="shared" si="251"/>
        <v>2</v>
      </c>
      <c r="L2047" s="2">
        <f t="shared" si="252"/>
        <v>9</v>
      </c>
      <c r="M2047" s="3">
        <f t="shared" si="253"/>
        <v>355.48998999999998</v>
      </c>
      <c r="N2047" s="1">
        <f t="shared" ca="1" si="254"/>
        <v>355.48998999999998</v>
      </c>
      <c r="O2047" s="5">
        <f t="shared" si="255"/>
        <v>2.5880166133511739E-3</v>
      </c>
    </row>
    <row r="2048" spans="1:15" s="2" customFormat="1" x14ac:dyDescent="0.5">
      <c r="A2048" s="6">
        <v>43326</v>
      </c>
      <c r="B2048" s="1">
        <v>358.45001200000002</v>
      </c>
      <c r="C2048" s="1">
        <v>359.20001200000002</v>
      </c>
      <c r="D2048" s="1">
        <v>347.10000600000001</v>
      </c>
      <c r="E2048" s="1">
        <v>347.64001500000001</v>
      </c>
      <c r="F2048" s="1">
        <v>347.64001500000001</v>
      </c>
      <c r="G2048" s="2">
        <v>6986400</v>
      </c>
      <c r="H2048" s="2">
        <f t="shared" si="248"/>
        <v>2018</v>
      </c>
      <c r="I2048" s="2">
        <f t="shared" si="249"/>
        <v>8</v>
      </c>
      <c r="J2048" s="2">
        <f t="shared" si="250"/>
        <v>14</v>
      </c>
      <c r="K2048" s="2">
        <f t="shared" si="251"/>
        <v>3</v>
      </c>
      <c r="L2048" s="2">
        <f t="shared" si="252"/>
        <v>9</v>
      </c>
      <c r="M2048" s="3">
        <f t="shared" si="253"/>
        <v>356.41000400000001</v>
      </c>
      <c r="N2048" s="1">
        <f t="shared" ca="1" si="254"/>
        <v>356.41000400000001</v>
      </c>
      <c r="O2048" s="5">
        <f t="shared" si="255"/>
        <v>-2.4606461383165912E-2</v>
      </c>
    </row>
    <row r="2049" spans="1:15" s="2" customFormat="1" x14ac:dyDescent="0.5">
      <c r="A2049" s="6">
        <v>43327</v>
      </c>
      <c r="B2049" s="1">
        <v>341.91000400000001</v>
      </c>
      <c r="C2049" s="1">
        <v>344.48998999999998</v>
      </c>
      <c r="D2049" s="1">
        <v>332.14001500000001</v>
      </c>
      <c r="E2049" s="1">
        <v>338.69000199999999</v>
      </c>
      <c r="F2049" s="1">
        <v>338.69000199999999</v>
      </c>
      <c r="G2049" s="2">
        <v>9101300</v>
      </c>
      <c r="H2049" s="2">
        <f t="shared" si="248"/>
        <v>2018</v>
      </c>
      <c r="I2049" s="2">
        <f t="shared" si="249"/>
        <v>8</v>
      </c>
      <c r="J2049" s="2">
        <f t="shared" si="250"/>
        <v>15</v>
      </c>
      <c r="K2049" s="2">
        <f t="shared" si="251"/>
        <v>4</v>
      </c>
      <c r="L2049" s="2">
        <f t="shared" si="252"/>
        <v>9</v>
      </c>
      <c r="M2049" s="3">
        <f t="shared" si="253"/>
        <v>347.64001500000001</v>
      </c>
      <c r="N2049" s="1">
        <f t="shared" ca="1" si="254"/>
        <v>347.64001500000001</v>
      </c>
      <c r="O2049" s="5">
        <f t="shared" si="255"/>
        <v>-2.5745059871775777E-2</v>
      </c>
    </row>
    <row r="2050" spans="1:15" s="2" customFormat="1" x14ac:dyDescent="0.5">
      <c r="A2050" s="6">
        <v>43328</v>
      </c>
      <c r="B2050" s="1">
        <v>339.91000400000001</v>
      </c>
      <c r="C2050" s="1">
        <v>342.27999899999998</v>
      </c>
      <c r="D2050" s="1">
        <v>333.82000699999998</v>
      </c>
      <c r="E2050" s="1">
        <v>335.45001200000002</v>
      </c>
      <c r="F2050" s="1">
        <v>335.45001200000002</v>
      </c>
      <c r="G2050" s="2">
        <v>6064000</v>
      </c>
      <c r="H2050" s="2">
        <f t="shared" ref="H2050:H2100" si="256">YEAR(A2050)</f>
        <v>2018</v>
      </c>
      <c r="I2050" s="2">
        <f t="shared" ref="I2050:I2100" si="257">MONTH(A2050)</f>
        <v>8</v>
      </c>
      <c r="J2050" s="2">
        <f t="shared" ref="J2050:J2100" si="258">DAY(A2050)</f>
        <v>16</v>
      </c>
      <c r="K2050" s="2">
        <f t="shared" ref="K2050:K2100" si="259">WEEKDAY(A2050)</f>
        <v>5</v>
      </c>
      <c r="L2050" s="2">
        <f t="shared" si="252"/>
        <v>9</v>
      </c>
      <c r="M2050" s="3">
        <f t="shared" si="253"/>
        <v>338.69000199999999</v>
      </c>
      <c r="N2050" s="1">
        <f t="shared" ca="1" si="254"/>
        <v>338.69000199999999</v>
      </c>
      <c r="O2050" s="5">
        <f t="shared" si="255"/>
        <v>-9.5662404584354599E-3</v>
      </c>
    </row>
    <row r="2051" spans="1:15" s="2" customFormat="1" x14ac:dyDescent="0.5">
      <c r="A2051" s="6">
        <v>43329</v>
      </c>
      <c r="B2051" s="1">
        <v>323.5</v>
      </c>
      <c r="C2051" s="1">
        <v>326.76998900000001</v>
      </c>
      <c r="D2051" s="1">
        <v>303.52999899999998</v>
      </c>
      <c r="E2051" s="1">
        <v>305.5</v>
      </c>
      <c r="F2051" s="1">
        <v>305.5</v>
      </c>
      <c r="G2051" s="2">
        <v>18958600</v>
      </c>
      <c r="H2051" s="2">
        <f t="shared" si="256"/>
        <v>2018</v>
      </c>
      <c r="I2051" s="2">
        <f t="shared" si="257"/>
        <v>8</v>
      </c>
      <c r="J2051" s="2">
        <f t="shared" si="258"/>
        <v>17</v>
      </c>
      <c r="K2051" s="2">
        <f t="shared" si="259"/>
        <v>6</v>
      </c>
      <c r="L2051" s="2">
        <f t="shared" ref="L2051:L2100" si="260">I2051+1</f>
        <v>9</v>
      </c>
      <c r="M2051" s="3">
        <f t="shared" ref="M2051:M2100" si="261">F2050</f>
        <v>335.45001200000002</v>
      </c>
      <c r="N2051" s="1">
        <f t="shared" ref="N2051:N2100" ca="1" si="262">OFFSET(F2051, -1, 0)</f>
        <v>335.45001200000002</v>
      </c>
      <c r="O2051" s="5">
        <f t="shared" ref="O2051:O2100" si="263">(F2051/M2051)-1</f>
        <v>-8.9283085194821865E-2</v>
      </c>
    </row>
    <row r="2052" spans="1:15" s="2" customFormat="1" x14ac:dyDescent="0.5">
      <c r="A2052" s="6">
        <v>43332</v>
      </c>
      <c r="B2052" s="1">
        <v>291.70001200000002</v>
      </c>
      <c r="C2052" s="1">
        <v>308.5</v>
      </c>
      <c r="D2052" s="1">
        <v>288.20001200000002</v>
      </c>
      <c r="E2052" s="1">
        <v>308.44000199999999</v>
      </c>
      <c r="F2052" s="1">
        <v>308.44000199999999</v>
      </c>
      <c r="G2052" s="2">
        <v>17402300</v>
      </c>
      <c r="H2052" s="2">
        <f t="shared" si="256"/>
        <v>2018</v>
      </c>
      <c r="I2052" s="2">
        <f t="shared" si="257"/>
        <v>8</v>
      </c>
      <c r="J2052" s="2">
        <f t="shared" si="258"/>
        <v>20</v>
      </c>
      <c r="K2052" s="2">
        <f t="shared" si="259"/>
        <v>2</v>
      </c>
      <c r="L2052" s="2">
        <f t="shared" si="260"/>
        <v>9</v>
      </c>
      <c r="M2052" s="3">
        <f t="shared" si="261"/>
        <v>305.5</v>
      </c>
      <c r="N2052" s="1">
        <f t="shared" ca="1" si="262"/>
        <v>305.5</v>
      </c>
      <c r="O2052" s="5">
        <f t="shared" si="263"/>
        <v>9.6235744680850388E-3</v>
      </c>
    </row>
    <row r="2053" spans="1:15" s="2" customFormat="1" x14ac:dyDescent="0.5">
      <c r="A2053" s="6">
        <v>43333</v>
      </c>
      <c r="B2053" s="1">
        <v>310.60998499999999</v>
      </c>
      <c r="C2053" s="1">
        <v>324.790009</v>
      </c>
      <c r="D2053" s="1">
        <v>309</v>
      </c>
      <c r="E2053" s="1">
        <v>321.89999399999999</v>
      </c>
      <c r="F2053" s="1">
        <v>321.89999399999999</v>
      </c>
      <c r="G2053" s="2">
        <v>13172200</v>
      </c>
      <c r="H2053" s="2">
        <f t="shared" si="256"/>
        <v>2018</v>
      </c>
      <c r="I2053" s="2">
        <f t="shared" si="257"/>
        <v>8</v>
      </c>
      <c r="J2053" s="2">
        <f t="shared" si="258"/>
        <v>21</v>
      </c>
      <c r="K2053" s="2">
        <f t="shared" si="259"/>
        <v>3</v>
      </c>
      <c r="L2053" s="2">
        <f t="shared" si="260"/>
        <v>9</v>
      </c>
      <c r="M2053" s="3">
        <f t="shared" si="261"/>
        <v>308.44000199999999</v>
      </c>
      <c r="N2053" s="1">
        <f t="shared" ca="1" si="262"/>
        <v>308.44000199999999</v>
      </c>
      <c r="O2053" s="5">
        <f t="shared" si="263"/>
        <v>4.363893111374062E-2</v>
      </c>
    </row>
    <row r="2054" spans="1:15" s="2" customFormat="1" x14ac:dyDescent="0.5">
      <c r="A2054" s="6">
        <v>43334</v>
      </c>
      <c r="B2054" s="1">
        <v>320.86999500000002</v>
      </c>
      <c r="C2054" s="1">
        <v>323.88000499999998</v>
      </c>
      <c r="D2054" s="1">
        <v>314.67001299999998</v>
      </c>
      <c r="E2054" s="1">
        <v>321.64001500000001</v>
      </c>
      <c r="F2054" s="1">
        <v>321.64001500000001</v>
      </c>
      <c r="G2054" s="2">
        <v>5946000</v>
      </c>
      <c r="H2054" s="2">
        <f t="shared" si="256"/>
        <v>2018</v>
      </c>
      <c r="I2054" s="2">
        <f t="shared" si="257"/>
        <v>8</v>
      </c>
      <c r="J2054" s="2">
        <f t="shared" si="258"/>
        <v>22</v>
      </c>
      <c r="K2054" s="2">
        <f t="shared" si="259"/>
        <v>4</v>
      </c>
      <c r="L2054" s="2">
        <f t="shared" si="260"/>
        <v>9</v>
      </c>
      <c r="M2054" s="3">
        <f t="shared" si="261"/>
        <v>321.89999399999999</v>
      </c>
      <c r="N2054" s="1">
        <f t="shared" ca="1" si="262"/>
        <v>321.89999399999999</v>
      </c>
      <c r="O2054" s="5">
        <f t="shared" si="263"/>
        <v>-8.0763903338243459E-4</v>
      </c>
    </row>
    <row r="2055" spans="1:15" s="2" customFormat="1" x14ac:dyDescent="0.5">
      <c r="A2055" s="6">
        <v>43335</v>
      </c>
      <c r="B2055" s="1">
        <v>319.14001500000001</v>
      </c>
      <c r="C2055" s="1">
        <v>327.32000699999998</v>
      </c>
      <c r="D2055" s="1">
        <v>318.10000600000001</v>
      </c>
      <c r="E2055" s="1">
        <v>320.10000600000001</v>
      </c>
      <c r="F2055" s="1">
        <v>320.10000600000001</v>
      </c>
      <c r="G2055" s="2">
        <v>5147300</v>
      </c>
      <c r="H2055" s="2">
        <f t="shared" si="256"/>
        <v>2018</v>
      </c>
      <c r="I2055" s="2">
        <f t="shared" si="257"/>
        <v>8</v>
      </c>
      <c r="J2055" s="2">
        <f t="shared" si="258"/>
        <v>23</v>
      </c>
      <c r="K2055" s="2">
        <f t="shared" si="259"/>
        <v>5</v>
      </c>
      <c r="L2055" s="2">
        <f t="shared" si="260"/>
        <v>9</v>
      </c>
      <c r="M2055" s="3">
        <f t="shared" si="261"/>
        <v>321.64001500000001</v>
      </c>
      <c r="N2055" s="1">
        <f t="shared" ca="1" si="262"/>
        <v>321.64001500000001</v>
      </c>
      <c r="O2055" s="5">
        <f t="shared" si="263"/>
        <v>-4.7879894546081214E-3</v>
      </c>
    </row>
    <row r="2056" spans="1:15" s="2" customFormat="1" x14ac:dyDescent="0.5">
      <c r="A2056" s="6">
        <v>43336</v>
      </c>
      <c r="B2056" s="1">
        <v>320.70001200000002</v>
      </c>
      <c r="C2056" s="1">
        <v>323.85000600000001</v>
      </c>
      <c r="D2056" s="1">
        <v>319.39999399999999</v>
      </c>
      <c r="E2056" s="1">
        <v>322.82000699999998</v>
      </c>
      <c r="F2056" s="1">
        <v>322.82000699999998</v>
      </c>
      <c r="G2056" s="2">
        <v>3602600</v>
      </c>
      <c r="H2056" s="2">
        <f t="shared" si="256"/>
        <v>2018</v>
      </c>
      <c r="I2056" s="2">
        <f t="shared" si="257"/>
        <v>8</v>
      </c>
      <c r="J2056" s="2">
        <f t="shared" si="258"/>
        <v>24</v>
      </c>
      <c r="K2056" s="2">
        <f t="shared" si="259"/>
        <v>6</v>
      </c>
      <c r="L2056" s="2">
        <f t="shared" si="260"/>
        <v>9</v>
      </c>
      <c r="M2056" s="3">
        <f t="shared" si="261"/>
        <v>320.10000600000001</v>
      </c>
      <c r="N2056" s="1">
        <f t="shared" ca="1" si="262"/>
        <v>320.10000600000001</v>
      </c>
      <c r="O2056" s="5">
        <f t="shared" si="263"/>
        <v>8.49734754456688E-3</v>
      </c>
    </row>
    <row r="2057" spans="1:15" s="2" customFormat="1" x14ac:dyDescent="0.5">
      <c r="A2057" s="6">
        <v>43339</v>
      </c>
      <c r="B2057" s="1">
        <v>318</v>
      </c>
      <c r="C2057" s="1">
        <v>322.44000199999999</v>
      </c>
      <c r="D2057" s="1">
        <v>308.80999800000001</v>
      </c>
      <c r="E2057" s="1">
        <v>319.26998900000001</v>
      </c>
      <c r="F2057" s="1">
        <v>319.26998900000001</v>
      </c>
      <c r="G2057" s="2">
        <v>13079300</v>
      </c>
      <c r="H2057" s="2">
        <f t="shared" si="256"/>
        <v>2018</v>
      </c>
      <c r="I2057" s="2">
        <f t="shared" si="257"/>
        <v>8</v>
      </c>
      <c r="J2057" s="2">
        <f t="shared" si="258"/>
        <v>27</v>
      </c>
      <c r="K2057" s="2">
        <f t="shared" si="259"/>
        <v>2</v>
      </c>
      <c r="L2057" s="2">
        <f t="shared" si="260"/>
        <v>9</v>
      </c>
      <c r="M2057" s="3">
        <f t="shared" si="261"/>
        <v>322.82000699999998</v>
      </c>
      <c r="N2057" s="1">
        <f t="shared" ca="1" si="262"/>
        <v>322.82000699999998</v>
      </c>
      <c r="O2057" s="5">
        <f t="shared" si="263"/>
        <v>-1.0996895864635703E-2</v>
      </c>
    </row>
    <row r="2058" spans="1:15" s="2" customFormat="1" x14ac:dyDescent="0.5">
      <c r="A2058" s="6">
        <v>43340</v>
      </c>
      <c r="B2058" s="1">
        <v>318.41000400000001</v>
      </c>
      <c r="C2058" s="1">
        <v>318.88000499999998</v>
      </c>
      <c r="D2058" s="1">
        <v>311.19000199999999</v>
      </c>
      <c r="E2058" s="1">
        <v>311.85998499999999</v>
      </c>
      <c r="F2058" s="1">
        <v>311.85998499999999</v>
      </c>
      <c r="G2058" s="2">
        <v>7649100</v>
      </c>
      <c r="H2058" s="2">
        <f t="shared" si="256"/>
        <v>2018</v>
      </c>
      <c r="I2058" s="2">
        <f t="shared" si="257"/>
        <v>8</v>
      </c>
      <c r="J2058" s="2">
        <f t="shared" si="258"/>
        <v>28</v>
      </c>
      <c r="K2058" s="2">
        <f t="shared" si="259"/>
        <v>3</v>
      </c>
      <c r="L2058" s="2">
        <f t="shared" si="260"/>
        <v>9</v>
      </c>
      <c r="M2058" s="3">
        <f t="shared" si="261"/>
        <v>319.26998900000001</v>
      </c>
      <c r="N2058" s="1">
        <f t="shared" ca="1" si="262"/>
        <v>319.26998900000001</v>
      </c>
      <c r="O2058" s="5">
        <f t="shared" si="263"/>
        <v>-2.3209209306547129E-2</v>
      </c>
    </row>
    <row r="2059" spans="1:15" s="2" customFormat="1" x14ac:dyDescent="0.5">
      <c r="A2059" s="6">
        <v>43341</v>
      </c>
      <c r="B2059" s="1">
        <v>310.26998900000001</v>
      </c>
      <c r="C2059" s="1">
        <v>311.85000600000001</v>
      </c>
      <c r="D2059" s="1">
        <v>303.69000199999999</v>
      </c>
      <c r="E2059" s="1">
        <v>305.01001000000002</v>
      </c>
      <c r="F2059" s="1">
        <v>305.01001000000002</v>
      </c>
      <c r="G2059" s="2">
        <v>7447400</v>
      </c>
      <c r="H2059" s="2">
        <f t="shared" si="256"/>
        <v>2018</v>
      </c>
      <c r="I2059" s="2">
        <f t="shared" si="257"/>
        <v>8</v>
      </c>
      <c r="J2059" s="2">
        <f t="shared" si="258"/>
        <v>29</v>
      </c>
      <c r="K2059" s="2">
        <f t="shared" si="259"/>
        <v>4</v>
      </c>
      <c r="L2059" s="2">
        <f t="shared" si="260"/>
        <v>9</v>
      </c>
      <c r="M2059" s="3">
        <f t="shared" si="261"/>
        <v>311.85998499999999</v>
      </c>
      <c r="N2059" s="1">
        <f t="shared" ca="1" si="262"/>
        <v>311.85998499999999</v>
      </c>
      <c r="O2059" s="5">
        <f t="shared" si="263"/>
        <v>-2.1964905180124283E-2</v>
      </c>
    </row>
    <row r="2060" spans="1:15" s="2" customFormat="1" x14ac:dyDescent="0.5">
      <c r="A2060" s="6">
        <v>43342</v>
      </c>
      <c r="B2060" s="1">
        <v>302.26001000000002</v>
      </c>
      <c r="C2060" s="1">
        <v>304.60000600000001</v>
      </c>
      <c r="D2060" s="1">
        <v>297.72000100000002</v>
      </c>
      <c r="E2060" s="1">
        <v>303.14999399999999</v>
      </c>
      <c r="F2060" s="1">
        <v>303.14999399999999</v>
      </c>
      <c r="G2060" s="2">
        <v>7216700</v>
      </c>
      <c r="H2060" s="2">
        <f t="shared" si="256"/>
        <v>2018</v>
      </c>
      <c r="I2060" s="2">
        <f t="shared" si="257"/>
        <v>8</v>
      </c>
      <c r="J2060" s="2">
        <f t="shared" si="258"/>
        <v>30</v>
      </c>
      <c r="K2060" s="2">
        <f t="shared" si="259"/>
        <v>5</v>
      </c>
      <c r="L2060" s="2">
        <f t="shared" si="260"/>
        <v>9</v>
      </c>
      <c r="M2060" s="3">
        <f t="shared" si="261"/>
        <v>305.01001000000002</v>
      </c>
      <c r="N2060" s="1">
        <f t="shared" ca="1" si="262"/>
        <v>305.01001000000002</v>
      </c>
      <c r="O2060" s="5">
        <f t="shared" si="263"/>
        <v>-6.0982129734038493E-3</v>
      </c>
    </row>
    <row r="2061" spans="1:15" s="2" customFormat="1" x14ac:dyDescent="0.5">
      <c r="A2061" s="6">
        <v>43343</v>
      </c>
      <c r="B2061" s="1">
        <v>302</v>
      </c>
      <c r="C2061" s="1">
        <v>305.30999800000001</v>
      </c>
      <c r="D2061" s="1">
        <v>298.60000600000001</v>
      </c>
      <c r="E2061" s="1">
        <v>301.66000400000001</v>
      </c>
      <c r="F2061" s="1">
        <v>301.66000400000001</v>
      </c>
      <c r="G2061" s="2">
        <v>5375100</v>
      </c>
      <c r="H2061" s="2">
        <f t="shared" si="256"/>
        <v>2018</v>
      </c>
      <c r="I2061" s="2">
        <f t="shared" si="257"/>
        <v>8</v>
      </c>
      <c r="J2061" s="2">
        <f t="shared" si="258"/>
        <v>31</v>
      </c>
      <c r="K2061" s="2">
        <f t="shared" si="259"/>
        <v>6</v>
      </c>
      <c r="L2061" s="2">
        <f t="shared" si="260"/>
        <v>9</v>
      </c>
      <c r="M2061" s="3">
        <f t="shared" si="261"/>
        <v>303.14999399999999</v>
      </c>
      <c r="N2061" s="1">
        <f t="shared" ca="1" si="262"/>
        <v>303.14999399999999</v>
      </c>
      <c r="O2061" s="5">
        <f t="shared" si="263"/>
        <v>-4.9150256621808275E-3</v>
      </c>
    </row>
    <row r="2062" spans="1:15" s="2" customFormat="1" x14ac:dyDescent="0.5">
      <c r="A2062" s="6">
        <v>43347</v>
      </c>
      <c r="B2062" s="1">
        <v>296.94000199999999</v>
      </c>
      <c r="C2062" s="1">
        <v>298.19000199999999</v>
      </c>
      <c r="D2062" s="1">
        <v>288</v>
      </c>
      <c r="E2062" s="1">
        <v>288.95001200000002</v>
      </c>
      <c r="F2062" s="1">
        <v>288.95001200000002</v>
      </c>
      <c r="G2062" s="2">
        <v>8350500</v>
      </c>
      <c r="H2062" s="2">
        <f t="shared" si="256"/>
        <v>2018</v>
      </c>
      <c r="I2062" s="2">
        <f t="shared" si="257"/>
        <v>9</v>
      </c>
      <c r="J2062" s="2">
        <f t="shared" si="258"/>
        <v>4</v>
      </c>
      <c r="K2062" s="2">
        <f t="shared" si="259"/>
        <v>3</v>
      </c>
      <c r="L2062" s="2">
        <f t="shared" si="260"/>
        <v>10</v>
      </c>
      <c r="M2062" s="3">
        <f t="shared" si="261"/>
        <v>301.66000400000001</v>
      </c>
      <c r="N2062" s="1">
        <f t="shared" ca="1" si="262"/>
        <v>301.66000400000001</v>
      </c>
      <c r="O2062" s="5">
        <f t="shared" si="263"/>
        <v>-4.2133500734157669E-2</v>
      </c>
    </row>
    <row r="2063" spans="1:15" s="2" customFormat="1" x14ac:dyDescent="0.5">
      <c r="A2063" s="6">
        <v>43348</v>
      </c>
      <c r="B2063" s="1">
        <v>285.04998799999998</v>
      </c>
      <c r="C2063" s="1">
        <v>286.77999899999998</v>
      </c>
      <c r="D2063" s="1">
        <v>277.17999300000002</v>
      </c>
      <c r="E2063" s="1">
        <v>280.73998999999998</v>
      </c>
      <c r="F2063" s="1">
        <v>280.73998999999998</v>
      </c>
      <c r="G2063" s="2">
        <v>7720800</v>
      </c>
      <c r="H2063" s="2">
        <f t="shared" si="256"/>
        <v>2018</v>
      </c>
      <c r="I2063" s="2">
        <f t="shared" si="257"/>
        <v>9</v>
      </c>
      <c r="J2063" s="2">
        <f t="shared" si="258"/>
        <v>5</v>
      </c>
      <c r="K2063" s="2">
        <f t="shared" si="259"/>
        <v>4</v>
      </c>
      <c r="L2063" s="2">
        <f t="shared" si="260"/>
        <v>10</v>
      </c>
      <c r="M2063" s="3">
        <f t="shared" si="261"/>
        <v>288.95001200000002</v>
      </c>
      <c r="N2063" s="1">
        <f t="shared" ca="1" si="262"/>
        <v>288.95001200000002</v>
      </c>
      <c r="O2063" s="5">
        <f t="shared" si="263"/>
        <v>-2.8413295238070568E-2</v>
      </c>
    </row>
    <row r="2064" spans="1:15" s="2" customFormat="1" x14ac:dyDescent="0.5">
      <c r="A2064" s="6">
        <v>43349</v>
      </c>
      <c r="B2064" s="1">
        <v>284.79998799999998</v>
      </c>
      <c r="C2064" s="1">
        <v>291.17001299999998</v>
      </c>
      <c r="D2064" s="1">
        <v>278.88000499999998</v>
      </c>
      <c r="E2064" s="1">
        <v>280.95001200000002</v>
      </c>
      <c r="F2064" s="1">
        <v>280.95001200000002</v>
      </c>
      <c r="G2064" s="2">
        <v>7480800</v>
      </c>
      <c r="H2064" s="2">
        <f t="shared" si="256"/>
        <v>2018</v>
      </c>
      <c r="I2064" s="2">
        <f t="shared" si="257"/>
        <v>9</v>
      </c>
      <c r="J2064" s="2">
        <f t="shared" si="258"/>
        <v>6</v>
      </c>
      <c r="K2064" s="2">
        <f t="shared" si="259"/>
        <v>5</v>
      </c>
      <c r="L2064" s="2">
        <f t="shared" si="260"/>
        <v>10</v>
      </c>
      <c r="M2064" s="3">
        <f t="shared" si="261"/>
        <v>280.73998999999998</v>
      </c>
      <c r="N2064" s="1">
        <f t="shared" ca="1" si="262"/>
        <v>280.73998999999998</v>
      </c>
      <c r="O2064" s="5">
        <f t="shared" si="263"/>
        <v>7.4810147282566852E-4</v>
      </c>
    </row>
    <row r="2065" spans="1:15" s="2" customFormat="1" x14ac:dyDescent="0.5">
      <c r="A2065" s="6">
        <v>43350</v>
      </c>
      <c r="B2065" s="1">
        <v>260.10000600000001</v>
      </c>
      <c r="C2065" s="1">
        <v>268.35000600000001</v>
      </c>
      <c r="D2065" s="1">
        <v>252.25</v>
      </c>
      <c r="E2065" s="1">
        <v>263.23998999999998</v>
      </c>
      <c r="F2065" s="1">
        <v>263.23998999999998</v>
      </c>
      <c r="G2065" s="2">
        <v>22491900</v>
      </c>
      <c r="H2065" s="2">
        <f t="shared" si="256"/>
        <v>2018</v>
      </c>
      <c r="I2065" s="2">
        <f t="shared" si="257"/>
        <v>9</v>
      </c>
      <c r="J2065" s="2">
        <f t="shared" si="258"/>
        <v>7</v>
      </c>
      <c r="K2065" s="2">
        <f t="shared" si="259"/>
        <v>6</v>
      </c>
      <c r="L2065" s="2">
        <f t="shared" si="260"/>
        <v>10</v>
      </c>
      <c r="M2065" s="3">
        <f t="shared" si="261"/>
        <v>280.95001200000002</v>
      </c>
      <c r="N2065" s="1">
        <f t="shared" ca="1" si="262"/>
        <v>280.95001200000002</v>
      </c>
      <c r="O2065" s="5">
        <f t="shared" si="263"/>
        <v>-6.3036203038140615E-2</v>
      </c>
    </row>
    <row r="2066" spans="1:15" s="2" customFormat="1" x14ac:dyDescent="0.5">
      <c r="A2066" s="6">
        <v>43353</v>
      </c>
      <c r="B2066" s="1">
        <v>273.26001000000002</v>
      </c>
      <c r="C2066" s="1">
        <v>286.02999899999998</v>
      </c>
      <c r="D2066" s="1">
        <v>271</v>
      </c>
      <c r="E2066" s="1">
        <v>285.5</v>
      </c>
      <c r="F2066" s="1">
        <v>285.5</v>
      </c>
      <c r="G2066" s="2">
        <v>14283500</v>
      </c>
      <c r="H2066" s="2">
        <f t="shared" si="256"/>
        <v>2018</v>
      </c>
      <c r="I2066" s="2">
        <f t="shared" si="257"/>
        <v>9</v>
      </c>
      <c r="J2066" s="2">
        <f t="shared" si="258"/>
        <v>10</v>
      </c>
      <c r="K2066" s="2">
        <f t="shared" si="259"/>
        <v>2</v>
      </c>
      <c r="L2066" s="2">
        <f t="shared" si="260"/>
        <v>10</v>
      </c>
      <c r="M2066" s="3">
        <f t="shared" si="261"/>
        <v>263.23998999999998</v>
      </c>
      <c r="N2066" s="1">
        <f t="shared" ca="1" si="262"/>
        <v>263.23998999999998</v>
      </c>
      <c r="O2066" s="5">
        <f t="shared" si="263"/>
        <v>8.4561657976054638E-2</v>
      </c>
    </row>
    <row r="2067" spans="1:15" s="2" customFormat="1" x14ac:dyDescent="0.5">
      <c r="A2067" s="6">
        <v>43354</v>
      </c>
      <c r="B2067" s="1">
        <v>279.47000100000002</v>
      </c>
      <c r="C2067" s="1">
        <v>282</v>
      </c>
      <c r="D2067" s="1">
        <v>273.54998799999998</v>
      </c>
      <c r="E2067" s="1">
        <v>279.44000199999999</v>
      </c>
      <c r="F2067" s="1">
        <v>279.44000199999999</v>
      </c>
      <c r="G2067" s="2">
        <v>9170000</v>
      </c>
      <c r="H2067" s="2">
        <f t="shared" si="256"/>
        <v>2018</v>
      </c>
      <c r="I2067" s="2">
        <f t="shared" si="257"/>
        <v>9</v>
      </c>
      <c r="J2067" s="2">
        <f t="shared" si="258"/>
        <v>11</v>
      </c>
      <c r="K2067" s="2">
        <f t="shared" si="259"/>
        <v>3</v>
      </c>
      <c r="L2067" s="2">
        <f t="shared" si="260"/>
        <v>10</v>
      </c>
      <c r="M2067" s="3">
        <f t="shared" si="261"/>
        <v>285.5</v>
      </c>
      <c r="N2067" s="1">
        <f t="shared" ca="1" si="262"/>
        <v>285.5</v>
      </c>
      <c r="O2067" s="5">
        <f t="shared" si="263"/>
        <v>-2.1225912434325811E-2</v>
      </c>
    </row>
    <row r="2068" spans="1:15" s="2" customFormat="1" x14ac:dyDescent="0.5">
      <c r="A2068" s="6">
        <v>43355</v>
      </c>
      <c r="B2068" s="1">
        <v>281.44000199999999</v>
      </c>
      <c r="C2068" s="1">
        <v>292.5</v>
      </c>
      <c r="D2068" s="1">
        <v>278.64999399999999</v>
      </c>
      <c r="E2068" s="1">
        <v>290.540009</v>
      </c>
      <c r="F2068" s="1">
        <v>290.540009</v>
      </c>
      <c r="G2068" s="2">
        <v>10015400</v>
      </c>
      <c r="H2068" s="2">
        <f t="shared" si="256"/>
        <v>2018</v>
      </c>
      <c r="I2068" s="2">
        <f t="shared" si="257"/>
        <v>9</v>
      </c>
      <c r="J2068" s="2">
        <f t="shared" si="258"/>
        <v>12</v>
      </c>
      <c r="K2068" s="2">
        <f t="shared" si="259"/>
        <v>4</v>
      </c>
      <c r="L2068" s="2">
        <f t="shared" si="260"/>
        <v>10</v>
      </c>
      <c r="M2068" s="3">
        <f t="shared" si="261"/>
        <v>279.44000199999999</v>
      </c>
      <c r="N2068" s="1">
        <f t="shared" ca="1" si="262"/>
        <v>279.44000199999999</v>
      </c>
      <c r="O2068" s="5">
        <f t="shared" si="263"/>
        <v>3.9722326512150463E-2</v>
      </c>
    </row>
    <row r="2069" spans="1:15" s="2" customFormat="1" x14ac:dyDescent="0.5">
      <c r="A2069" s="6">
        <v>43356</v>
      </c>
      <c r="B2069" s="1">
        <v>288.01998900000001</v>
      </c>
      <c r="C2069" s="1">
        <v>295</v>
      </c>
      <c r="D2069" s="1">
        <v>285.17999300000002</v>
      </c>
      <c r="E2069" s="1">
        <v>289.459991</v>
      </c>
      <c r="F2069" s="1">
        <v>289.459991</v>
      </c>
      <c r="G2069" s="2">
        <v>6340300</v>
      </c>
      <c r="H2069" s="2">
        <f t="shared" si="256"/>
        <v>2018</v>
      </c>
      <c r="I2069" s="2">
        <f t="shared" si="257"/>
        <v>9</v>
      </c>
      <c r="J2069" s="2">
        <f t="shared" si="258"/>
        <v>13</v>
      </c>
      <c r="K2069" s="2">
        <f t="shared" si="259"/>
        <v>5</v>
      </c>
      <c r="L2069" s="2">
        <f t="shared" si="260"/>
        <v>10</v>
      </c>
      <c r="M2069" s="3">
        <f t="shared" si="261"/>
        <v>290.540009</v>
      </c>
      <c r="N2069" s="1">
        <f t="shared" ca="1" si="262"/>
        <v>290.540009</v>
      </c>
      <c r="O2069" s="5">
        <f t="shared" si="263"/>
        <v>-3.7172780565308816E-3</v>
      </c>
    </row>
    <row r="2070" spans="1:15" s="2" customFormat="1" x14ac:dyDescent="0.5">
      <c r="A2070" s="6">
        <v>43357</v>
      </c>
      <c r="B2070" s="1">
        <v>288.76001000000002</v>
      </c>
      <c r="C2070" s="1">
        <v>297.32998700000002</v>
      </c>
      <c r="D2070" s="1">
        <v>286.51998900000001</v>
      </c>
      <c r="E2070" s="1">
        <v>295.20001200000002</v>
      </c>
      <c r="F2070" s="1">
        <v>295.20001200000002</v>
      </c>
      <c r="G2070" s="2">
        <v>6765600</v>
      </c>
      <c r="H2070" s="2">
        <f t="shared" si="256"/>
        <v>2018</v>
      </c>
      <c r="I2070" s="2">
        <f t="shared" si="257"/>
        <v>9</v>
      </c>
      <c r="J2070" s="2">
        <f t="shared" si="258"/>
        <v>14</v>
      </c>
      <c r="K2070" s="2">
        <f t="shared" si="259"/>
        <v>6</v>
      </c>
      <c r="L2070" s="2">
        <f t="shared" si="260"/>
        <v>10</v>
      </c>
      <c r="M2070" s="3">
        <f t="shared" si="261"/>
        <v>289.459991</v>
      </c>
      <c r="N2070" s="1">
        <f t="shared" ca="1" si="262"/>
        <v>289.459991</v>
      </c>
      <c r="O2070" s="5">
        <f t="shared" si="263"/>
        <v>1.983010149406117E-2</v>
      </c>
    </row>
    <row r="2071" spans="1:15" s="2" customFormat="1" x14ac:dyDescent="0.5">
      <c r="A2071" s="6">
        <v>43360</v>
      </c>
      <c r="B2071" s="1">
        <v>290.040009</v>
      </c>
      <c r="C2071" s="1">
        <v>300.86999500000002</v>
      </c>
      <c r="D2071" s="1">
        <v>288.13000499999998</v>
      </c>
      <c r="E2071" s="1">
        <v>294.83999599999999</v>
      </c>
      <c r="F2071" s="1">
        <v>294.83999599999999</v>
      </c>
      <c r="G2071" s="2">
        <v>6887600</v>
      </c>
      <c r="H2071" s="2">
        <f t="shared" si="256"/>
        <v>2018</v>
      </c>
      <c r="I2071" s="2">
        <f t="shared" si="257"/>
        <v>9</v>
      </c>
      <c r="J2071" s="2">
        <f t="shared" si="258"/>
        <v>17</v>
      </c>
      <c r="K2071" s="2">
        <f t="shared" si="259"/>
        <v>2</v>
      </c>
      <c r="L2071" s="2">
        <f t="shared" si="260"/>
        <v>10</v>
      </c>
      <c r="M2071" s="3">
        <f t="shared" si="261"/>
        <v>295.20001200000002</v>
      </c>
      <c r="N2071" s="1">
        <f t="shared" ca="1" si="262"/>
        <v>295.20001200000002</v>
      </c>
      <c r="O2071" s="5">
        <f t="shared" si="263"/>
        <v>-1.2195663460882189E-3</v>
      </c>
    </row>
    <row r="2072" spans="1:15" s="2" customFormat="1" x14ac:dyDescent="0.5">
      <c r="A2072" s="6">
        <v>43361</v>
      </c>
      <c r="B2072" s="1">
        <v>296.69000199999999</v>
      </c>
      <c r="C2072" s="1">
        <v>302.64001500000001</v>
      </c>
      <c r="D2072" s="1">
        <v>275.5</v>
      </c>
      <c r="E2072" s="1">
        <v>284.959991</v>
      </c>
      <c r="F2072" s="1">
        <v>284.959991</v>
      </c>
      <c r="G2072" s="2">
        <v>16547500</v>
      </c>
      <c r="H2072" s="2">
        <f t="shared" si="256"/>
        <v>2018</v>
      </c>
      <c r="I2072" s="2">
        <f t="shared" si="257"/>
        <v>9</v>
      </c>
      <c r="J2072" s="2">
        <f t="shared" si="258"/>
        <v>18</v>
      </c>
      <c r="K2072" s="2">
        <f t="shared" si="259"/>
        <v>3</v>
      </c>
      <c r="L2072" s="2">
        <f t="shared" si="260"/>
        <v>10</v>
      </c>
      <c r="M2072" s="3">
        <f t="shared" si="261"/>
        <v>294.83999599999999</v>
      </c>
      <c r="N2072" s="1">
        <f t="shared" ca="1" si="262"/>
        <v>294.83999599999999</v>
      </c>
      <c r="O2072" s="5">
        <f t="shared" si="263"/>
        <v>-3.3509717589332744E-2</v>
      </c>
    </row>
    <row r="2073" spans="1:15" s="2" customFormat="1" x14ac:dyDescent="0.5">
      <c r="A2073" s="6">
        <v>43362</v>
      </c>
      <c r="B2073" s="1">
        <v>280.51001000000002</v>
      </c>
      <c r="C2073" s="1">
        <v>300</v>
      </c>
      <c r="D2073" s="1">
        <v>280.5</v>
      </c>
      <c r="E2073" s="1">
        <v>299.01998900000001</v>
      </c>
      <c r="F2073" s="1">
        <v>299.01998900000001</v>
      </c>
      <c r="G2073" s="2">
        <v>8294900</v>
      </c>
      <c r="H2073" s="2">
        <f t="shared" si="256"/>
        <v>2018</v>
      </c>
      <c r="I2073" s="2">
        <f t="shared" si="257"/>
        <v>9</v>
      </c>
      <c r="J2073" s="2">
        <f t="shared" si="258"/>
        <v>19</v>
      </c>
      <c r="K2073" s="2">
        <f t="shared" si="259"/>
        <v>4</v>
      </c>
      <c r="L2073" s="2">
        <f t="shared" si="260"/>
        <v>10</v>
      </c>
      <c r="M2073" s="3">
        <f t="shared" si="261"/>
        <v>284.959991</v>
      </c>
      <c r="N2073" s="1">
        <f t="shared" ca="1" si="262"/>
        <v>284.959991</v>
      </c>
      <c r="O2073" s="5">
        <f t="shared" si="263"/>
        <v>4.9340252821667097E-2</v>
      </c>
    </row>
    <row r="2074" spans="1:15" s="2" customFormat="1" x14ac:dyDescent="0.5">
      <c r="A2074" s="6">
        <v>43363</v>
      </c>
      <c r="B2074" s="1">
        <v>303.55999800000001</v>
      </c>
      <c r="C2074" s="1">
        <v>305.98001099999999</v>
      </c>
      <c r="D2074" s="1">
        <v>293.32998700000002</v>
      </c>
      <c r="E2074" s="1">
        <v>298.32998700000002</v>
      </c>
      <c r="F2074" s="1">
        <v>298.32998700000002</v>
      </c>
      <c r="G2074" s="2">
        <v>7349400</v>
      </c>
      <c r="H2074" s="2">
        <f t="shared" si="256"/>
        <v>2018</v>
      </c>
      <c r="I2074" s="2">
        <f t="shared" si="257"/>
        <v>9</v>
      </c>
      <c r="J2074" s="2">
        <f t="shared" si="258"/>
        <v>20</v>
      </c>
      <c r="K2074" s="2">
        <f t="shared" si="259"/>
        <v>5</v>
      </c>
      <c r="L2074" s="2">
        <f t="shared" si="260"/>
        <v>10</v>
      </c>
      <c r="M2074" s="3">
        <f t="shared" si="261"/>
        <v>299.01998900000001</v>
      </c>
      <c r="N2074" s="1">
        <f t="shared" ca="1" si="262"/>
        <v>299.01998900000001</v>
      </c>
      <c r="O2074" s="5">
        <f t="shared" si="263"/>
        <v>-2.3075447307303598E-3</v>
      </c>
    </row>
    <row r="2075" spans="1:15" s="2" customFormat="1" x14ac:dyDescent="0.5">
      <c r="A2075" s="6">
        <v>43364</v>
      </c>
      <c r="B2075" s="1">
        <v>297.70001200000002</v>
      </c>
      <c r="C2075" s="1">
        <v>300.57998700000002</v>
      </c>
      <c r="D2075" s="1">
        <v>295.36999500000002</v>
      </c>
      <c r="E2075" s="1">
        <v>299.10000600000001</v>
      </c>
      <c r="F2075" s="1">
        <v>299.10000600000001</v>
      </c>
      <c r="G2075" s="2">
        <v>5050500</v>
      </c>
      <c r="H2075" s="2">
        <f t="shared" si="256"/>
        <v>2018</v>
      </c>
      <c r="I2075" s="2">
        <f t="shared" si="257"/>
        <v>9</v>
      </c>
      <c r="J2075" s="2">
        <f t="shared" si="258"/>
        <v>21</v>
      </c>
      <c r="K2075" s="2">
        <f t="shared" si="259"/>
        <v>6</v>
      </c>
      <c r="L2075" s="2">
        <f t="shared" si="260"/>
        <v>10</v>
      </c>
      <c r="M2075" s="3">
        <f t="shared" si="261"/>
        <v>298.32998700000002</v>
      </c>
      <c r="N2075" s="1">
        <f t="shared" ca="1" si="262"/>
        <v>298.32998700000002</v>
      </c>
      <c r="O2075" s="5">
        <f t="shared" si="263"/>
        <v>2.5810982253018366E-3</v>
      </c>
    </row>
    <row r="2076" spans="1:15" s="2" customFormat="1" x14ac:dyDescent="0.5">
      <c r="A2076" s="6">
        <v>43367</v>
      </c>
      <c r="B2076" s="1">
        <v>298.48001099999999</v>
      </c>
      <c r="C2076" s="1">
        <v>303</v>
      </c>
      <c r="D2076" s="1">
        <v>293.57998700000002</v>
      </c>
      <c r="E2076" s="1">
        <v>299.67999300000002</v>
      </c>
      <c r="F2076" s="1">
        <v>299.67999300000002</v>
      </c>
      <c r="G2076" s="2">
        <v>4843000</v>
      </c>
      <c r="H2076" s="2">
        <f t="shared" si="256"/>
        <v>2018</v>
      </c>
      <c r="I2076" s="2">
        <f t="shared" si="257"/>
        <v>9</v>
      </c>
      <c r="J2076" s="2">
        <f t="shared" si="258"/>
        <v>24</v>
      </c>
      <c r="K2076" s="2">
        <f t="shared" si="259"/>
        <v>2</v>
      </c>
      <c r="L2076" s="2">
        <f t="shared" si="260"/>
        <v>10</v>
      </c>
      <c r="M2076" s="3">
        <f t="shared" si="261"/>
        <v>299.10000600000001</v>
      </c>
      <c r="N2076" s="1">
        <f t="shared" ca="1" si="262"/>
        <v>299.10000600000001</v>
      </c>
      <c r="O2076" s="5">
        <f t="shared" si="263"/>
        <v>1.9391072830670097E-3</v>
      </c>
    </row>
    <row r="2077" spans="1:15" s="2" customFormat="1" x14ac:dyDescent="0.5">
      <c r="A2077" s="6">
        <v>43368</v>
      </c>
      <c r="B2077" s="1">
        <v>300</v>
      </c>
      <c r="C2077" s="1">
        <v>304.60000600000001</v>
      </c>
      <c r="D2077" s="1">
        <v>296.5</v>
      </c>
      <c r="E2077" s="1">
        <v>300.98998999999998</v>
      </c>
      <c r="F2077" s="1">
        <v>300.98998999999998</v>
      </c>
      <c r="G2077" s="2">
        <v>4481700</v>
      </c>
      <c r="H2077" s="2">
        <f t="shared" si="256"/>
        <v>2018</v>
      </c>
      <c r="I2077" s="2">
        <f t="shared" si="257"/>
        <v>9</v>
      </c>
      <c r="J2077" s="2">
        <f t="shared" si="258"/>
        <v>25</v>
      </c>
      <c r="K2077" s="2">
        <f t="shared" si="259"/>
        <v>3</v>
      </c>
      <c r="L2077" s="2">
        <f t="shared" si="260"/>
        <v>10</v>
      </c>
      <c r="M2077" s="3">
        <f t="shared" si="261"/>
        <v>299.67999300000002</v>
      </c>
      <c r="N2077" s="1">
        <f t="shared" ca="1" si="262"/>
        <v>299.67999300000002</v>
      </c>
      <c r="O2077" s="5">
        <f t="shared" si="263"/>
        <v>4.3713195094741142E-3</v>
      </c>
    </row>
    <row r="2078" spans="1:15" s="2" customFormat="1" x14ac:dyDescent="0.5">
      <c r="A2078" s="6">
        <v>43369</v>
      </c>
      <c r="B2078" s="1">
        <v>301.91000400000001</v>
      </c>
      <c r="C2078" s="1">
        <v>313.89001500000001</v>
      </c>
      <c r="D2078" s="1">
        <v>301.10998499999999</v>
      </c>
      <c r="E2078" s="1">
        <v>309.57998700000002</v>
      </c>
      <c r="F2078" s="1">
        <v>309.57998700000002</v>
      </c>
      <c r="G2078" s="2">
        <v>7843200</v>
      </c>
      <c r="H2078" s="2">
        <f t="shared" si="256"/>
        <v>2018</v>
      </c>
      <c r="I2078" s="2">
        <f t="shared" si="257"/>
        <v>9</v>
      </c>
      <c r="J2078" s="2">
        <f t="shared" si="258"/>
        <v>26</v>
      </c>
      <c r="K2078" s="2">
        <f t="shared" si="259"/>
        <v>4</v>
      </c>
      <c r="L2078" s="2">
        <f t="shared" si="260"/>
        <v>10</v>
      </c>
      <c r="M2078" s="3">
        <f t="shared" si="261"/>
        <v>300.98998999999998</v>
      </c>
      <c r="N2078" s="1">
        <f t="shared" ca="1" si="262"/>
        <v>300.98998999999998</v>
      </c>
      <c r="O2078" s="5">
        <f t="shared" si="263"/>
        <v>2.8539145105789254E-2</v>
      </c>
    </row>
    <row r="2079" spans="1:15" s="2" customFormat="1" x14ac:dyDescent="0.5">
      <c r="A2079" s="6">
        <v>43370</v>
      </c>
      <c r="B2079" s="1">
        <v>312.89999399999999</v>
      </c>
      <c r="C2079" s="1">
        <v>314.959991</v>
      </c>
      <c r="D2079" s="1">
        <v>306.91000400000001</v>
      </c>
      <c r="E2079" s="1">
        <v>307.51998900000001</v>
      </c>
      <c r="F2079" s="1">
        <v>307.51998900000001</v>
      </c>
      <c r="G2079" s="2">
        <v>8509100</v>
      </c>
      <c r="H2079" s="2">
        <f t="shared" si="256"/>
        <v>2018</v>
      </c>
      <c r="I2079" s="2">
        <f t="shared" si="257"/>
        <v>9</v>
      </c>
      <c r="J2079" s="2">
        <f t="shared" si="258"/>
        <v>27</v>
      </c>
      <c r="K2079" s="2">
        <f t="shared" si="259"/>
        <v>5</v>
      </c>
      <c r="L2079" s="2">
        <f t="shared" si="260"/>
        <v>10</v>
      </c>
      <c r="M2079" s="3">
        <f t="shared" si="261"/>
        <v>309.57998700000002</v>
      </c>
      <c r="N2079" s="1">
        <f t="shared" ca="1" si="262"/>
        <v>309.57998700000002</v>
      </c>
      <c r="O2079" s="5">
        <f t="shared" si="263"/>
        <v>-6.6541704454557982E-3</v>
      </c>
    </row>
    <row r="2080" spans="1:15" s="2" customFormat="1" x14ac:dyDescent="0.5">
      <c r="A2080" s="6">
        <v>43371</v>
      </c>
      <c r="B2080" s="1">
        <v>270.26001000000002</v>
      </c>
      <c r="C2080" s="1">
        <v>278</v>
      </c>
      <c r="D2080" s="1">
        <v>260.55999800000001</v>
      </c>
      <c r="E2080" s="1">
        <v>264.76998900000001</v>
      </c>
      <c r="F2080" s="1">
        <v>264.76998900000001</v>
      </c>
      <c r="G2080" s="2">
        <v>33649700</v>
      </c>
      <c r="H2080" s="2">
        <f t="shared" si="256"/>
        <v>2018</v>
      </c>
      <c r="I2080" s="2">
        <f t="shared" si="257"/>
        <v>9</v>
      </c>
      <c r="J2080" s="2">
        <f t="shared" si="258"/>
        <v>28</v>
      </c>
      <c r="K2080" s="2">
        <f t="shared" si="259"/>
        <v>6</v>
      </c>
      <c r="L2080" s="2">
        <f t="shared" si="260"/>
        <v>10</v>
      </c>
      <c r="M2080" s="3">
        <f t="shared" si="261"/>
        <v>307.51998900000001</v>
      </c>
      <c r="N2080" s="1">
        <f t="shared" ca="1" si="262"/>
        <v>307.51998900000001</v>
      </c>
      <c r="O2080" s="5">
        <f t="shared" si="263"/>
        <v>-0.13901535356779682</v>
      </c>
    </row>
    <row r="2081" spans="1:15" s="2" customFormat="1" x14ac:dyDescent="0.5">
      <c r="A2081" s="6">
        <v>43374</v>
      </c>
      <c r="B2081" s="1">
        <v>305.76998900000001</v>
      </c>
      <c r="C2081" s="1">
        <v>311.44000199999999</v>
      </c>
      <c r="D2081" s="1">
        <v>301.04998799999998</v>
      </c>
      <c r="E2081" s="1">
        <v>310.70001200000002</v>
      </c>
      <c r="F2081" s="1">
        <v>310.70001200000002</v>
      </c>
      <c r="G2081" s="2">
        <v>21777600</v>
      </c>
      <c r="H2081" s="2">
        <f t="shared" si="256"/>
        <v>2018</v>
      </c>
      <c r="I2081" s="2">
        <f t="shared" si="257"/>
        <v>10</v>
      </c>
      <c r="J2081" s="2">
        <f t="shared" si="258"/>
        <v>1</v>
      </c>
      <c r="K2081" s="2">
        <f t="shared" si="259"/>
        <v>2</v>
      </c>
      <c r="L2081" s="2">
        <f t="shared" si="260"/>
        <v>11</v>
      </c>
      <c r="M2081" s="3">
        <f t="shared" si="261"/>
        <v>264.76998900000001</v>
      </c>
      <c r="N2081" s="1">
        <f t="shared" ca="1" si="262"/>
        <v>264.76998900000001</v>
      </c>
      <c r="O2081" s="5">
        <f t="shared" si="263"/>
        <v>0.17347140880079115</v>
      </c>
    </row>
    <row r="2082" spans="1:15" s="2" customFormat="1" x14ac:dyDescent="0.5">
      <c r="A2082" s="6">
        <v>43375</v>
      </c>
      <c r="B2082" s="1">
        <v>313.95001200000002</v>
      </c>
      <c r="C2082" s="1">
        <v>316.83999599999999</v>
      </c>
      <c r="D2082" s="1">
        <v>299.14999399999999</v>
      </c>
      <c r="E2082" s="1">
        <v>301.01998900000001</v>
      </c>
      <c r="F2082" s="1">
        <v>301.01998900000001</v>
      </c>
      <c r="G2082" s="2">
        <v>11743500</v>
      </c>
      <c r="H2082" s="2">
        <f t="shared" si="256"/>
        <v>2018</v>
      </c>
      <c r="I2082" s="2">
        <f t="shared" si="257"/>
        <v>10</v>
      </c>
      <c r="J2082" s="2">
        <f t="shared" si="258"/>
        <v>2</v>
      </c>
      <c r="K2082" s="2">
        <f t="shared" si="259"/>
        <v>3</v>
      </c>
      <c r="L2082" s="2">
        <f t="shared" si="260"/>
        <v>11</v>
      </c>
      <c r="M2082" s="3">
        <f t="shared" si="261"/>
        <v>310.70001200000002</v>
      </c>
      <c r="N2082" s="1">
        <f t="shared" ca="1" si="262"/>
        <v>310.70001200000002</v>
      </c>
      <c r="O2082" s="5">
        <f t="shared" si="263"/>
        <v>-3.1155528246326614E-2</v>
      </c>
    </row>
    <row r="2083" spans="1:15" s="2" customFormat="1" x14ac:dyDescent="0.5">
      <c r="A2083" s="6">
        <v>43376</v>
      </c>
      <c r="B2083" s="1">
        <v>303.32998700000002</v>
      </c>
      <c r="C2083" s="1">
        <v>304.60000600000001</v>
      </c>
      <c r="D2083" s="1">
        <v>291.57000699999998</v>
      </c>
      <c r="E2083" s="1">
        <v>294.79998799999998</v>
      </c>
      <c r="F2083" s="1">
        <v>294.79998799999998</v>
      </c>
      <c r="G2083" s="2">
        <v>7995000</v>
      </c>
      <c r="H2083" s="2">
        <f t="shared" si="256"/>
        <v>2018</v>
      </c>
      <c r="I2083" s="2">
        <f t="shared" si="257"/>
        <v>10</v>
      </c>
      <c r="J2083" s="2">
        <f t="shared" si="258"/>
        <v>3</v>
      </c>
      <c r="K2083" s="2">
        <f t="shared" si="259"/>
        <v>4</v>
      </c>
      <c r="L2083" s="2">
        <f t="shared" si="260"/>
        <v>11</v>
      </c>
      <c r="M2083" s="3">
        <f t="shared" si="261"/>
        <v>301.01998900000001</v>
      </c>
      <c r="N2083" s="1">
        <f t="shared" ca="1" si="262"/>
        <v>301.01998900000001</v>
      </c>
      <c r="O2083" s="5">
        <f t="shared" si="263"/>
        <v>-2.066308294230923E-2</v>
      </c>
    </row>
    <row r="2084" spans="1:15" s="2" customFormat="1" x14ac:dyDescent="0.5">
      <c r="A2084" s="6">
        <v>43377</v>
      </c>
      <c r="B2084" s="1">
        <v>293.95001200000002</v>
      </c>
      <c r="C2084" s="1">
        <v>294</v>
      </c>
      <c r="D2084" s="1">
        <v>277.67001299999998</v>
      </c>
      <c r="E2084" s="1">
        <v>281.82998700000002</v>
      </c>
      <c r="F2084" s="1">
        <v>281.82998700000002</v>
      </c>
      <c r="G2084" s="2">
        <v>9814200</v>
      </c>
      <c r="H2084" s="2">
        <f t="shared" si="256"/>
        <v>2018</v>
      </c>
      <c r="I2084" s="2">
        <f t="shared" si="257"/>
        <v>10</v>
      </c>
      <c r="J2084" s="2">
        <f t="shared" si="258"/>
        <v>4</v>
      </c>
      <c r="K2084" s="2">
        <f t="shared" si="259"/>
        <v>5</v>
      </c>
      <c r="L2084" s="2">
        <f t="shared" si="260"/>
        <v>11</v>
      </c>
      <c r="M2084" s="3">
        <f t="shared" si="261"/>
        <v>294.79998799999998</v>
      </c>
      <c r="N2084" s="1">
        <f t="shared" ca="1" si="262"/>
        <v>294.79998799999998</v>
      </c>
      <c r="O2084" s="5">
        <f t="shared" si="263"/>
        <v>-4.399593462670004E-2</v>
      </c>
    </row>
    <row r="2085" spans="1:15" s="2" customFormat="1" x14ac:dyDescent="0.5">
      <c r="A2085" s="6">
        <v>43378</v>
      </c>
      <c r="B2085" s="1">
        <v>274.64999399999999</v>
      </c>
      <c r="C2085" s="1">
        <v>274.88000499999998</v>
      </c>
      <c r="D2085" s="1">
        <v>260</v>
      </c>
      <c r="E2085" s="1">
        <v>261.95001200000002</v>
      </c>
      <c r="F2085" s="1">
        <v>261.95001200000002</v>
      </c>
      <c r="G2085" s="2">
        <v>17944500</v>
      </c>
      <c r="H2085" s="2">
        <f t="shared" si="256"/>
        <v>2018</v>
      </c>
      <c r="I2085" s="2">
        <f t="shared" si="257"/>
        <v>10</v>
      </c>
      <c r="J2085" s="2">
        <f t="shared" si="258"/>
        <v>5</v>
      </c>
      <c r="K2085" s="2">
        <f t="shared" si="259"/>
        <v>6</v>
      </c>
      <c r="L2085" s="2">
        <f t="shared" si="260"/>
        <v>11</v>
      </c>
      <c r="M2085" s="3">
        <f t="shared" si="261"/>
        <v>281.82998700000002</v>
      </c>
      <c r="N2085" s="1">
        <f t="shared" ca="1" si="262"/>
        <v>281.82998700000002</v>
      </c>
      <c r="O2085" s="5">
        <f t="shared" si="263"/>
        <v>-7.0538891945518878E-2</v>
      </c>
    </row>
    <row r="2086" spans="1:15" s="2" customFormat="1" x14ac:dyDescent="0.5">
      <c r="A2086" s="6">
        <v>43381</v>
      </c>
      <c r="B2086" s="1">
        <v>264.51998900000001</v>
      </c>
      <c r="C2086" s="1">
        <v>267.76001000000002</v>
      </c>
      <c r="D2086" s="1">
        <v>249</v>
      </c>
      <c r="E2086" s="1">
        <v>250.55999800000001</v>
      </c>
      <c r="F2086" s="1">
        <v>250.55999800000001</v>
      </c>
      <c r="G2086" s="2">
        <v>13472700</v>
      </c>
      <c r="H2086" s="2">
        <f t="shared" si="256"/>
        <v>2018</v>
      </c>
      <c r="I2086" s="2">
        <f t="shared" si="257"/>
        <v>10</v>
      </c>
      <c r="J2086" s="2">
        <f t="shared" si="258"/>
        <v>8</v>
      </c>
      <c r="K2086" s="2">
        <f t="shared" si="259"/>
        <v>2</v>
      </c>
      <c r="L2086" s="2">
        <f t="shared" si="260"/>
        <v>11</v>
      </c>
      <c r="M2086" s="3">
        <f t="shared" si="261"/>
        <v>261.95001200000002</v>
      </c>
      <c r="N2086" s="1">
        <f t="shared" ca="1" si="262"/>
        <v>261.95001200000002</v>
      </c>
      <c r="O2086" s="5">
        <f t="shared" si="263"/>
        <v>-4.3481631907693941E-2</v>
      </c>
    </row>
    <row r="2087" spans="1:15" s="2" customFormat="1" x14ac:dyDescent="0.5">
      <c r="A2087" s="6">
        <v>43382</v>
      </c>
      <c r="B2087" s="1">
        <v>255.25</v>
      </c>
      <c r="C2087" s="1">
        <v>266.76998900000001</v>
      </c>
      <c r="D2087" s="1">
        <v>253.300003</v>
      </c>
      <c r="E2087" s="1">
        <v>262.79998799999998</v>
      </c>
      <c r="F2087" s="1">
        <v>262.79998799999998</v>
      </c>
      <c r="G2087" s="2">
        <v>12060600</v>
      </c>
      <c r="H2087" s="2">
        <f t="shared" si="256"/>
        <v>2018</v>
      </c>
      <c r="I2087" s="2">
        <f t="shared" si="257"/>
        <v>10</v>
      </c>
      <c r="J2087" s="2">
        <f t="shared" si="258"/>
        <v>9</v>
      </c>
      <c r="K2087" s="2">
        <f t="shared" si="259"/>
        <v>3</v>
      </c>
      <c r="L2087" s="2">
        <f t="shared" si="260"/>
        <v>11</v>
      </c>
      <c r="M2087" s="3">
        <f t="shared" si="261"/>
        <v>250.55999800000001</v>
      </c>
      <c r="N2087" s="1">
        <f t="shared" ca="1" si="262"/>
        <v>250.55999800000001</v>
      </c>
      <c r="O2087" s="5">
        <f t="shared" si="263"/>
        <v>4.8850535191974132E-2</v>
      </c>
    </row>
    <row r="2088" spans="1:15" s="2" customFormat="1" x14ac:dyDescent="0.5">
      <c r="A2088" s="6">
        <v>43383</v>
      </c>
      <c r="B2088" s="1">
        <v>264.60998499999999</v>
      </c>
      <c r="C2088" s="1">
        <v>265.51001000000002</v>
      </c>
      <c r="D2088" s="1">
        <v>247.770004</v>
      </c>
      <c r="E2088" s="1">
        <v>256.88000499999998</v>
      </c>
      <c r="F2088" s="1">
        <v>256.88000499999998</v>
      </c>
      <c r="G2088" s="2">
        <v>12815300</v>
      </c>
      <c r="H2088" s="2">
        <f t="shared" si="256"/>
        <v>2018</v>
      </c>
      <c r="I2088" s="2">
        <f t="shared" si="257"/>
        <v>10</v>
      </c>
      <c r="J2088" s="2">
        <f t="shared" si="258"/>
        <v>10</v>
      </c>
      <c r="K2088" s="2">
        <f t="shared" si="259"/>
        <v>4</v>
      </c>
      <c r="L2088" s="2">
        <f t="shared" si="260"/>
        <v>11</v>
      </c>
      <c r="M2088" s="3">
        <f t="shared" si="261"/>
        <v>262.79998799999998</v>
      </c>
      <c r="N2088" s="1">
        <f t="shared" ca="1" si="262"/>
        <v>262.79998799999998</v>
      </c>
      <c r="O2088" s="5">
        <f t="shared" si="263"/>
        <v>-2.2526572565901293E-2</v>
      </c>
    </row>
    <row r="2089" spans="1:15" s="2" customFormat="1" x14ac:dyDescent="0.5">
      <c r="A2089" s="6">
        <v>43384</v>
      </c>
      <c r="B2089" s="1">
        <v>257.52999899999998</v>
      </c>
      <c r="C2089" s="1">
        <v>262.25</v>
      </c>
      <c r="D2089" s="1">
        <v>249.029999</v>
      </c>
      <c r="E2089" s="1">
        <v>252.229996</v>
      </c>
      <c r="F2089" s="1">
        <v>252.229996</v>
      </c>
      <c r="G2089" s="2">
        <v>8167700</v>
      </c>
      <c r="H2089" s="2">
        <f t="shared" si="256"/>
        <v>2018</v>
      </c>
      <c r="I2089" s="2">
        <f t="shared" si="257"/>
        <v>10</v>
      </c>
      <c r="J2089" s="2">
        <f t="shared" si="258"/>
        <v>11</v>
      </c>
      <c r="K2089" s="2">
        <f t="shared" si="259"/>
        <v>5</v>
      </c>
      <c r="L2089" s="2">
        <f t="shared" si="260"/>
        <v>11</v>
      </c>
      <c r="M2089" s="3">
        <f t="shared" si="261"/>
        <v>256.88000499999998</v>
      </c>
      <c r="N2089" s="1">
        <f t="shared" ca="1" si="262"/>
        <v>256.88000499999998</v>
      </c>
      <c r="O2089" s="5">
        <f t="shared" si="263"/>
        <v>-1.8101872117294526E-2</v>
      </c>
    </row>
    <row r="2090" spans="1:15" s="2" customFormat="1" x14ac:dyDescent="0.5">
      <c r="A2090" s="6">
        <v>43385</v>
      </c>
      <c r="B2090" s="1">
        <v>261</v>
      </c>
      <c r="C2090" s="1">
        <v>261.98998999999998</v>
      </c>
      <c r="D2090" s="1">
        <v>252.009995</v>
      </c>
      <c r="E2090" s="1">
        <v>258.77999899999998</v>
      </c>
      <c r="F2090" s="1">
        <v>258.77999899999998</v>
      </c>
      <c r="G2090" s="2">
        <v>7201400</v>
      </c>
      <c r="H2090" s="2">
        <f t="shared" si="256"/>
        <v>2018</v>
      </c>
      <c r="I2090" s="2">
        <f t="shared" si="257"/>
        <v>10</v>
      </c>
      <c r="J2090" s="2">
        <f t="shared" si="258"/>
        <v>12</v>
      </c>
      <c r="K2090" s="2">
        <f t="shared" si="259"/>
        <v>6</v>
      </c>
      <c r="L2090" s="2">
        <f t="shared" si="260"/>
        <v>11</v>
      </c>
      <c r="M2090" s="3">
        <f t="shared" si="261"/>
        <v>252.229996</v>
      </c>
      <c r="N2090" s="1">
        <f t="shared" ca="1" si="262"/>
        <v>252.229996</v>
      </c>
      <c r="O2090" s="5">
        <f t="shared" si="263"/>
        <v>2.5968374514821591E-2</v>
      </c>
    </row>
    <row r="2091" spans="1:15" s="2" customFormat="1" x14ac:dyDescent="0.5">
      <c r="A2091" s="6">
        <v>43388</v>
      </c>
      <c r="B2091" s="1">
        <v>259.05999800000001</v>
      </c>
      <c r="C2091" s="1">
        <v>263.27999899999998</v>
      </c>
      <c r="D2091" s="1">
        <v>254.53999300000001</v>
      </c>
      <c r="E2091" s="1">
        <v>259.58999599999999</v>
      </c>
      <c r="F2091" s="1">
        <v>259.58999599999999</v>
      </c>
      <c r="G2091" s="2">
        <v>6200000</v>
      </c>
      <c r="H2091" s="2">
        <f t="shared" si="256"/>
        <v>2018</v>
      </c>
      <c r="I2091" s="2">
        <f t="shared" si="257"/>
        <v>10</v>
      </c>
      <c r="J2091" s="2">
        <f t="shared" si="258"/>
        <v>15</v>
      </c>
      <c r="K2091" s="2">
        <f t="shared" si="259"/>
        <v>2</v>
      </c>
      <c r="L2091" s="2">
        <f t="shared" si="260"/>
        <v>11</v>
      </c>
      <c r="M2091" s="3">
        <f t="shared" si="261"/>
        <v>258.77999899999998</v>
      </c>
      <c r="N2091" s="1">
        <f t="shared" ca="1" si="262"/>
        <v>258.77999899999998</v>
      </c>
      <c r="O2091" s="5">
        <f t="shared" si="263"/>
        <v>3.1300602949613232E-3</v>
      </c>
    </row>
    <row r="2092" spans="1:15" s="2" customFormat="1" x14ac:dyDescent="0.5">
      <c r="A2092" s="6">
        <v>43389</v>
      </c>
      <c r="B2092" s="1">
        <v>265.70001200000002</v>
      </c>
      <c r="C2092" s="1">
        <v>277.38000499999998</v>
      </c>
      <c r="D2092" s="1">
        <v>262.23998999999998</v>
      </c>
      <c r="E2092" s="1">
        <v>276.58999599999999</v>
      </c>
      <c r="F2092" s="1">
        <v>276.58999599999999</v>
      </c>
      <c r="G2092" s="2">
        <v>9526400</v>
      </c>
      <c r="H2092" s="2">
        <f t="shared" si="256"/>
        <v>2018</v>
      </c>
      <c r="I2092" s="2">
        <f t="shared" si="257"/>
        <v>10</v>
      </c>
      <c r="J2092" s="2">
        <f t="shared" si="258"/>
        <v>16</v>
      </c>
      <c r="K2092" s="2">
        <f t="shared" si="259"/>
        <v>3</v>
      </c>
      <c r="L2092" s="2">
        <f t="shared" si="260"/>
        <v>11</v>
      </c>
      <c r="M2092" s="3">
        <f t="shared" si="261"/>
        <v>259.58999599999999</v>
      </c>
      <c r="N2092" s="1">
        <f t="shared" ca="1" si="262"/>
        <v>259.58999599999999</v>
      </c>
      <c r="O2092" s="5">
        <f t="shared" si="263"/>
        <v>6.5487885750419972E-2</v>
      </c>
    </row>
    <row r="2093" spans="1:15" s="2" customFormat="1" x14ac:dyDescent="0.5">
      <c r="A2093" s="6">
        <v>43390</v>
      </c>
      <c r="B2093" s="1">
        <v>282.39999399999999</v>
      </c>
      <c r="C2093" s="1">
        <v>282.70001200000002</v>
      </c>
      <c r="D2093" s="1">
        <v>265.79998799999998</v>
      </c>
      <c r="E2093" s="1">
        <v>271.77999899999998</v>
      </c>
      <c r="F2093" s="1">
        <v>271.77999899999998</v>
      </c>
      <c r="G2093" s="2">
        <v>8655500</v>
      </c>
      <c r="H2093" s="2">
        <f t="shared" si="256"/>
        <v>2018</v>
      </c>
      <c r="I2093" s="2">
        <f t="shared" si="257"/>
        <v>10</v>
      </c>
      <c r="J2093" s="2">
        <f t="shared" si="258"/>
        <v>17</v>
      </c>
      <c r="K2093" s="2">
        <f t="shared" si="259"/>
        <v>4</v>
      </c>
      <c r="L2093" s="2">
        <f t="shared" si="260"/>
        <v>11</v>
      </c>
      <c r="M2093" s="3">
        <f t="shared" si="261"/>
        <v>276.58999599999999</v>
      </c>
      <c r="N2093" s="1">
        <f t="shared" ca="1" si="262"/>
        <v>276.58999599999999</v>
      </c>
      <c r="O2093" s="5">
        <f t="shared" si="263"/>
        <v>-1.739035058954197E-2</v>
      </c>
    </row>
    <row r="2094" spans="1:15" s="2" customFormat="1" x14ac:dyDescent="0.5">
      <c r="A2094" s="6">
        <v>43391</v>
      </c>
      <c r="B2094" s="1">
        <v>269.290009</v>
      </c>
      <c r="C2094" s="1">
        <v>271</v>
      </c>
      <c r="D2094" s="1">
        <v>263</v>
      </c>
      <c r="E2094" s="1">
        <v>263.91000400000001</v>
      </c>
      <c r="F2094" s="1">
        <v>263.91000400000001</v>
      </c>
      <c r="G2094" s="2">
        <v>5421200</v>
      </c>
      <c r="H2094" s="2">
        <f t="shared" si="256"/>
        <v>2018</v>
      </c>
      <c r="I2094" s="2">
        <f t="shared" si="257"/>
        <v>10</v>
      </c>
      <c r="J2094" s="2">
        <f t="shared" si="258"/>
        <v>18</v>
      </c>
      <c r="K2094" s="2">
        <f t="shared" si="259"/>
        <v>5</v>
      </c>
      <c r="L2094" s="2">
        <f t="shared" si="260"/>
        <v>11</v>
      </c>
      <c r="M2094" s="3">
        <f t="shared" si="261"/>
        <v>271.77999899999998</v>
      </c>
      <c r="N2094" s="1">
        <f t="shared" ca="1" si="262"/>
        <v>271.77999899999998</v>
      </c>
      <c r="O2094" s="5">
        <f t="shared" si="263"/>
        <v>-2.8957226539690906E-2</v>
      </c>
    </row>
    <row r="2095" spans="1:15" s="2" customFormat="1" x14ac:dyDescent="0.5">
      <c r="A2095" s="6">
        <v>43392</v>
      </c>
      <c r="B2095" s="1">
        <v>267.39001500000001</v>
      </c>
      <c r="C2095" s="1">
        <v>269.66000400000001</v>
      </c>
      <c r="D2095" s="1">
        <v>253.5</v>
      </c>
      <c r="E2095" s="1">
        <v>260</v>
      </c>
      <c r="F2095" s="1">
        <v>260</v>
      </c>
      <c r="G2095" s="2">
        <v>9375500</v>
      </c>
      <c r="H2095" s="2">
        <f t="shared" si="256"/>
        <v>2018</v>
      </c>
      <c r="I2095" s="2">
        <f t="shared" si="257"/>
        <v>10</v>
      </c>
      <c r="J2095" s="2">
        <f t="shared" si="258"/>
        <v>19</v>
      </c>
      <c r="K2095" s="2">
        <f t="shared" si="259"/>
        <v>6</v>
      </c>
      <c r="L2095" s="2">
        <f t="shared" si="260"/>
        <v>11</v>
      </c>
      <c r="M2095" s="3">
        <f t="shared" si="261"/>
        <v>263.91000400000001</v>
      </c>
      <c r="N2095" s="1">
        <f t="shared" ca="1" si="262"/>
        <v>263.91000400000001</v>
      </c>
      <c r="O2095" s="5">
        <f t="shared" si="263"/>
        <v>-1.4815671784840778E-2</v>
      </c>
    </row>
    <row r="2096" spans="1:15" s="2" customFormat="1" x14ac:dyDescent="0.5">
      <c r="A2096" s="6">
        <v>43395</v>
      </c>
      <c r="B2096" s="1">
        <v>260.67999300000002</v>
      </c>
      <c r="C2096" s="1">
        <v>261.85998499999999</v>
      </c>
      <c r="D2096" s="1">
        <v>252.58999600000001</v>
      </c>
      <c r="E2096" s="1">
        <v>260.95001200000002</v>
      </c>
      <c r="F2096" s="1">
        <v>260.95001200000002</v>
      </c>
      <c r="G2096" s="2">
        <v>5600300</v>
      </c>
      <c r="H2096" s="2">
        <f t="shared" si="256"/>
        <v>2018</v>
      </c>
      <c r="I2096" s="2">
        <f t="shared" si="257"/>
        <v>10</v>
      </c>
      <c r="J2096" s="2">
        <f t="shared" si="258"/>
        <v>22</v>
      </c>
      <c r="K2096" s="2">
        <f t="shared" si="259"/>
        <v>2</v>
      </c>
      <c r="L2096" s="2">
        <f t="shared" si="260"/>
        <v>11</v>
      </c>
      <c r="M2096" s="3">
        <f t="shared" si="261"/>
        <v>260</v>
      </c>
      <c r="N2096" s="1">
        <f t="shared" ca="1" si="262"/>
        <v>260</v>
      </c>
      <c r="O2096" s="5">
        <f t="shared" si="263"/>
        <v>3.653892307692308E-3</v>
      </c>
    </row>
    <row r="2097" spans="1:15" s="2" customFormat="1" x14ac:dyDescent="0.5">
      <c r="A2097" s="6">
        <v>43396</v>
      </c>
      <c r="B2097" s="1">
        <v>263.86999500000002</v>
      </c>
      <c r="C2097" s="1">
        <v>297.92999300000002</v>
      </c>
      <c r="D2097" s="1">
        <v>262.10000600000001</v>
      </c>
      <c r="E2097" s="1">
        <v>294.14001500000001</v>
      </c>
      <c r="F2097" s="1">
        <v>294.14001500000001</v>
      </c>
      <c r="G2097" s="2">
        <v>19027800</v>
      </c>
      <c r="H2097" s="2">
        <f t="shared" si="256"/>
        <v>2018</v>
      </c>
      <c r="I2097" s="2">
        <f t="shared" si="257"/>
        <v>10</v>
      </c>
      <c r="J2097" s="2">
        <f t="shared" si="258"/>
        <v>23</v>
      </c>
      <c r="K2097" s="2">
        <f t="shared" si="259"/>
        <v>3</v>
      </c>
      <c r="L2097" s="2">
        <f t="shared" si="260"/>
        <v>11</v>
      </c>
      <c r="M2097" s="3">
        <f t="shared" si="261"/>
        <v>260.95001200000002</v>
      </c>
      <c r="N2097" s="1">
        <f t="shared" ca="1" si="262"/>
        <v>260.95001200000002</v>
      </c>
      <c r="O2097" s="5">
        <f t="shared" si="263"/>
        <v>0.12718912233657997</v>
      </c>
    </row>
    <row r="2098" spans="1:15" s="2" customFormat="1" x14ac:dyDescent="0.5">
      <c r="A2098" s="6">
        <v>43397</v>
      </c>
      <c r="B2098" s="1">
        <v>301.04998799999998</v>
      </c>
      <c r="C2098" s="1">
        <v>304.44000199999999</v>
      </c>
      <c r="D2098" s="1">
        <v>285.73001099999999</v>
      </c>
      <c r="E2098" s="1">
        <v>288.5</v>
      </c>
      <c r="F2098" s="1">
        <v>288.5</v>
      </c>
      <c r="G2098" s="2">
        <v>20058300</v>
      </c>
      <c r="H2098" s="2">
        <f t="shared" si="256"/>
        <v>2018</v>
      </c>
      <c r="I2098" s="2">
        <f t="shared" si="257"/>
        <v>10</v>
      </c>
      <c r="J2098" s="2">
        <f t="shared" si="258"/>
        <v>24</v>
      </c>
      <c r="K2098" s="2">
        <f t="shared" si="259"/>
        <v>4</v>
      </c>
      <c r="L2098" s="2">
        <f t="shared" si="260"/>
        <v>11</v>
      </c>
      <c r="M2098" s="3">
        <f t="shared" si="261"/>
        <v>294.14001500000001</v>
      </c>
      <c r="N2098" s="1">
        <f t="shared" ca="1" si="262"/>
        <v>294.14001500000001</v>
      </c>
      <c r="O2098" s="5">
        <f t="shared" si="263"/>
        <v>-1.917459275304656E-2</v>
      </c>
    </row>
    <row r="2099" spans="1:15" s="2" customFormat="1" x14ac:dyDescent="0.5">
      <c r="A2099" s="6">
        <v>43398</v>
      </c>
      <c r="B2099" s="1">
        <v>317.22000100000002</v>
      </c>
      <c r="C2099" s="1">
        <v>321</v>
      </c>
      <c r="D2099" s="1">
        <v>301.01001000000002</v>
      </c>
      <c r="E2099" s="1">
        <v>314.85998499999999</v>
      </c>
      <c r="F2099" s="1">
        <v>314.85998499999999</v>
      </c>
      <c r="G2099" s="2">
        <v>20840700</v>
      </c>
      <c r="H2099" s="2">
        <f t="shared" si="256"/>
        <v>2018</v>
      </c>
      <c r="I2099" s="2">
        <f t="shared" si="257"/>
        <v>10</v>
      </c>
      <c r="J2099" s="2">
        <f t="shared" si="258"/>
        <v>25</v>
      </c>
      <c r="K2099" s="2">
        <f t="shared" si="259"/>
        <v>5</v>
      </c>
      <c r="L2099" s="2">
        <f t="shared" si="260"/>
        <v>11</v>
      </c>
      <c r="M2099" s="3">
        <f t="shared" si="261"/>
        <v>288.5</v>
      </c>
      <c r="N2099" s="1">
        <f t="shared" ca="1" si="262"/>
        <v>288.5</v>
      </c>
      <c r="O2099" s="5">
        <f t="shared" si="263"/>
        <v>9.1369098786828307E-2</v>
      </c>
    </row>
    <row r="2100" spans="1:15" s="2" customFormat="1" x14ac:dyDescent="0.5">
      <c r="A2100" s="6">
        <v>43399</v>
      </c>
      <c r="B2100" s="1">
        <v>308.25</v>
      </c>
      <c r="C2100" s="1">
        <v>339.89999399999999</v>
      </c>
      <c r="D2100" s="1">
        <v>306.64999399999999</v>
      </c>
      <c r="E2100" s="1">
        <v>330.89999399999999</v>
      </c>
      <c r="F2100" s="1">
        <v>330.89999399999999</v>
      </c>
      <c r="G2100" s="2">
        <v>27389700</v>
      </c>
      <c r="H2100" s="2">
        <f t="shared" si="256"/>
        <v>2018</v>
      </c>
      <c r="I2100" s="2">
        <f t="shared" si="257"/>
        <v>10</v>
      </c>
      <c r="J2100" s="2">
        <f t="shared" si="258"/>
        <v>26</v>
      </c>
      <c r="K2100" s="2">
        <f t="shared" si="259"/>
        <v>6</v>
      </c>
      <c r="L2100" s="2">
        <f t="shared" si="260"/>
        <v>11</v>
      </c>
      <c r="M2100" s="3">
        <f t="shared" si="261"/>
        <v>314.85998499999999</v>
      </c>
      <c r="N2100" s="1">
        <f t="shared" ca="1" si="262"/>
        <v>314.85998499999999</v>
      </c>
      <c r="O2100" s="5">
        <f t="shared" si="263"/>
        <v>5.0943307387885328E-2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tsla_stock_price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Suresh Paul</cp:lastModifiedBy>
  <dcterms:created xsi:type="dcterms:W3CDTF">2026-09-24T14:16:10Z</dcterms:created>
  <dcterms:modified xsi:type="dcterms:W3CDTF">2026-09-30T20:43:07Z</dcterms:modified>
</cp:coreProperties>
</file>